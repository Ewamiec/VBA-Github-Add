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mm\Desktop\VBA i Excel\Rozwiązania\Zajecia 3\"/>
    </mc:Choice>
  </mc:AlternateContent>
  <xr:revisionPtr revIDLastSave="0" documentId="8_{6CD9B400-4AAE-4AE9-AB62-71E666ED33E2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Samouczek" sheetId="7" r:id="rId1"/>
    <sheet name="Zadanie 1" sheetId="9" r:id="rId2"/>
    <sheet name="Zadanie 2" sheetId="4" r:id="rId3"/>
    <sheet name="Zadanie 3" sheetId="2" r:id="rId4"/>
    <sheet name="Zadanie 4" sheetId="10" r:id="rId5"/>
  </sheets>
  <definedNames>
    <definedName name="dane">OFFSET(#REF!,1,,COUNTA(#REF!),3)</definedName>
    <definedName name="_xlnm.Print_Area" localSheetId="0">Samouczek!$A$1:$J$201</definedName>
    <definedName name="_xlnm.Print_Area" localSheetId="4">'Zadanie 4'!$A$1:$K$37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4" l="1"/>
  <c r="E17" i="4"/>
  <c r="E18" i="4"/>
  <c r="E19" i="4"/>
  <c r="E20" i="4"/>
  <c r="G16" i="9"/>
  <c r="G17" i="9"/>
  <c r="G18" i="9"/>
  <c r="G19" i="9"/>
  <c r="G20" i="9"/>
  <c r="G21" i="9"/>
</calcChain>
</file>

<file path=xl/sharedStrings.xml><?xml version="1.0" encoding="utf-8"?>
<sst xmlns="http://schemas.openxmlformats.org/spreadsheetml/2006/main" count="293" uniqueCount="241">
  <si>
    <t>wymagane argumenty:</t>
  </si>
  <si>
    <t>Przykład:</t>
  </si>
  <si>
    <t>Produkt</t>
  </si>
  <si>
    <t>Cena bez rabatu</t>
  </si>
  <si>
    <t>Cena po rabacie</t>
  </si>
  <si>
    <t>Lodówka</t>
  </si>
  <si>
    <t>Pralka</t>
  </si>
  <si>
    <t>TV</t>
  </si>
  <si>
    <t>Zmywarka</t>
  </si>
  <si>
    <t>Kino domowe</t>
  </si>
  <si>
    <t>opcjonalne argumenty:</t>
  </si>
  <si>
    <r>
      <t>prompt</t>
    </r>
    <r>
      <rPr>
        <sz val="10"/>
        <rFont val="Arial"/>
        <family val="2"/>
        <charset val="238"/>
      </rPr>
      <t xml:space="preserve"> - komunikat, jaki ma zostać wyświetlony w oknie dialogowym</t>
    </r>
  </si>
  <si>
    <r>
      <t>buttons</t>
    </r>
    <r>
      <rPr>
        <sz val="10"/>
        <rFont val="Arial"/>
        <family val="2"/>
        <charset val="238"/>
      </rPr>
      <t xml:space="preserve"> - przyciski i ikony jakie mają pojawić się w komunikacie;</t>
    </r>
  </si>
  <si>
    <r>
      <t>title</t>
    </r>
    <r>
      <rPr>
        <sz val="10"/>
        <rFont val="Arial"/>
        <family val="2"/>
        <charset val="238"/>
      </rPr>
      <t xml:space="preserve"> - tekst na pasku naszego komunikatu;</t>
    </r>
  </si>
  <si>
    <r>
      <t>helpfile</t>
    </r>
    <r>
      <rPr>
        <sz val="10"/>
        <rFont val="Arial"/>
        <family val="2"/>
        <charset val="238"/>
      </rPr>
      <t xml:space="preserve"> - nazwa pliku pomocy;</t>
    </r>
  </si>
  <si>
    <r>
      <t>context</t>
    </r>
    <r>
      <rPr>
        <sz val="10"/>
        <rFont val="Arial"/>
        <family val="2"/>
        <charset val="238"/>
      </rPr>
      <t xml:space="preserve"> - identyfikator kontekstu związany z tematem pomocy.</t>
    </r>
  </si>
  <si>
    <r>
      <t xml:space="preserve">wartości argumentu </t>
    </r>
    <r>
      <rPr>
        <i/>
        <sz val="10"/>
        <rFont val="Arial"/>
        <family val="2"/>
        <charset val="238"/>
      </rPr>
      <t>buttons</t>
    </r>
    <r>
      <rPr>
        <sz val="10"/>
        <rFont val="Arial"/>
        <family val="2"/>
        <charset val="238"/>
      </rPr>
      <t>:</t>
    </r>
  </si>
  <si>
    <t>vbOKOnly</t>
  </si>
  <si>
    <t>VbOKCancel</t>
  </si>
  <si>
    <t>VbAbortRetrylgnore</t>
  </si>
  <si>
    <t>VbYesNoCancel</t>
  </si>
  <si>
    <t>VbYesNo</t>
  </si>
  <si>
    <t>VbRetryCancel</t>
  </si>
  <si>
    <t>VbCritical</t>
  </si>
  <si>
    <t>VbQuestion</t>
  </si>
  <si>
    <t>VbExclamation</t>
  </si>
  <si>
    <t>VbInformation</t>
  </si>
  <si>
    <t>VbDefaultButton1</t>
  </si>
  <si>
    <t>VbDefaultButton2</t>
  </si>
  <si>
    <t>VbDefaultButton3</t>
  </si>
  <si>
    <t>VbDefaultButton4</t>
  </si>
  <si>
    <t>VbSystemModal</t>
  </si>
  <si>
    <t>Skrót</t>
  </si>
  <si>
    <t>Pełna nazwa</t>
  </si>
  <si>
    <t>Opis</t>
  </si>
  <si>
    <t>przyciski: Przerwij, Ponów i Ignoruj</t>
  </si>
  <si>
    <t>przyciski: OK i Anuluj</t>
  </si>
  <si>
    <t>przycisk: OK</t>
  </si>
  <si>
    <t>przyciski: Tak, Nie i Anuluj</t>
  </si>
  <si>
    <t>przyciski: Tak i Nie</t>
  </si>
  <si>
    <t>przyciski: Ponów i Anuluj</t>
  </si>
  <si>
    <t>ikona: Komunikat krytyczny</t>
  </si>
  <si>
    <t>ikona: Pytanie ostrzegawcze</t>
  </si>
  <si>
    <t>ikona: Komunikat ostrzegawczy</t>
  </si>
  <si>
    <t>ikona Komunikat informacyjny</t>
  </si>
  <si>
    <t>domyślnym przyciskiem jest przycisk pierwszy</t>
  </si>
  <si>
    <t>domyślnym przyciskiem jest przycisk drugi</t>
  </si>
  <si>
    <t>domyślnym przyciskiem jest przycisk trzeci</t>
  </si>
  <si>
    <t>domyślnym przyciskiem jest przycisk czwarty</t>
  </si>
  <si>
    <t>UWAGA - KOMUNIKAT KRYTYCZNY !!!</t>
  </si>
  <si>
    <t>vbOK</t>
  </si>
  <si>
    <t>vbCancel</t>
  </si>
  <si>
    <t>vbAbort</t>
  </si>
  <si>
    <t>vbRetry</t>
  </si>
  <si>
    <t>vbIgnore</t>
  </si>
  <si>
    <t>vbYes</t>
  </si>
  <si>
    <t>vbNo</t>
  </si>
  <si>
    <t>Naciśnięto przycisk OK.</t>
  </si>
  <si>
    <t>Naciśnięto przycisk Anuluj.</t>
  </si>
  <si>
    <t>Naciśnięto przycisk Przerwij.</t>
  </si>
  <si>
    <t>Naciśnięto przycisk Ponów.</t>
  </si>
  <si>
    <t>Naciśnięto przycisk Ignoruj.</t>
  </si>
  <si>
    <t>Naciśnięto przycisk Tak.</t>
  </si>
  <si>
    <t>Naciśnięto przycisk Nie.</t>
  </si>
  <si>
    <t>Funkcja MsgBox pozwala użytkownikowi na wyświetlanie komunikatów w trakcie pracy makra.</t>
  </si>
  <si>
    <t>Imię</t>
  </si>
  <si>
    <t>Ocena</t>
  </si>
  <si>
    <t>Płeć</t>
  </si>
  <si>
    <t>M</t>
  </si>
  <si>
    <t>Anna</t>
  </si>
  <si>
    <t>K</t>
  </si>
  <si>
    <t>Przemysław</t>
  </si>
  <si>
    <t>Krzysztof</t>
  </si>
  <si>
    <t>Julia</t>
  </si>
  <si>
    <t>Małgorzata</t>
  </si>
  <si>
    <t>Aleksandra</t>
  </si>
  <si>
    <t>Lp.</t>
  </si>
  <si>
    <t>&lt;--</t>
  </si>
  <si>
    <r>
      <t xml:space="preserve">Treść przykładowego komunikatu może być bardzo niepokojąca, np.:
</t>
    </r>
    <r>
      <rPr>
        <b/>
        <sz val="10"/>
        <color theme="0"/>
        <rFont val="Arial"/>
        <family val="2"/>
        <charset val="238"/>
      </rPr>
      <t>Naciśnij przycisk OK, w celu usunięcia wszystkich plików z pamięci przenośnej USB.</t>
    </r>
    <r>
      <rPr>
        <sz val="10"/>
        <color theme="0"/>
        <rFont val="Arial"/>
        <family val="2"/>
        <charset val="238"/>
      </rPr>
      <t xml:space="preserve">
… proszę pamiętać o wirusach</t>
    </r>
  </si>
  <si>
    <t>3. Funkcje wykonywane w VBA</t>
  </si>
  <si>
    <t>Data urodzenia</t>
  </si>
  <si>
    <t>'Miesiąc na podstawie daty</t>
  </si>
  <si>
    <t>'Małe litery</t>
  </si>
  <si>
    <t>'Skończone lata (w przybliżeniu)</t>
  </si>
  <si>
    <t>4. Funkcje Excelowe</t>
  </si>
  <si>
    <t>'Średnia ocen</t>
  </si>
  <si>
    <t>2. Formuły wykonywane w Excelu</t>
  </si>
  <si>
    <t>1. Formuły wykonywane w VBA</t>
  </si>
  <si>
    <t>Średnia dla mężczyzn - odwołania bezwzględne</t>
  </si>
  <si>
    <t>Średnia dla mężczyzn - odwołania względne</t>
  </si>
  <si>
    <t>Proszę zdefiniować obiekt, którym będzie arkusz, a następnie</t>
  </si>
  <si>
    <t>wyświetlić po kolei komunikaty z nazwami poszczególnych arkuszy.</t>
  </si>
  <si>
    <t>Funkcje i formuły w VBA:</t>
  </si>
  <si>
    <t>Dane:</t>
  </si>
  <si>
    <t>Pierwszą metodą wykonywania podstawowych obliczeń w VBA jest użycie odpowiednich formuł</t>
  </si>
  <si>
    <t>wykonywane na stałych, zmiennych, bądź zakresach (komórkach Excela). W ostatnim przypadku</t>
  </si>
  <si>
    <t>możliwe jest także stosowanie odwołań względnych, bądź bezwzględnych.</t>
  </si>
  <si>
    <t>Średnia dla mężczyzn - stałe</t>
  </si>
  <si>
    <t>W przypadku bardziej zaawansowanych formuł, wygodniejszą metodą jest wykonanie obliczeń</t>
  </si>
  <si>
    <t>bezpośrednio w instrukcjach. Metoda jest podobna do stosowanej w Excelu. Działania mogą być</t>
  </si>
  <si>
    <t>bezpośrednio w Excelu. W takim przypadku procedura VBA będzie jedynie wstawiać odpowiednią</t>
  </si>
  <si>
    <t>formułę do komórek Excela.</t>
  </si>
  <si>
    <r>
      <rPr>
        <u/>
        <sz val="10"/>
        <rFont val="Arial"/>
        <family val="2"/>
        <charset val="238"/>
      </rPr>
      <t>Uwaga:</t>
    </r>
    <r>
      <rPr>
        <sz val="10"/>
        <rFont val="Arial"/>
        <family val="2"/>
        <charset val="238"/>
      </rPr>
      <t xml:space="preserve"> najłatwiejszą metodą pisania kodu, jest w tym przypadku rejestracja makra.</t>
    </r>
  </si>
  <si>
    <t>VBA posiada także wbudowane funkcje. Ich spis można znaleźć w pomocy:</t>
  </si>
  <si>
    <t>http://msdn.microsoft.com/en-us/library/office/jj692811(v=office.15).aspx</t>
  </si>
  <si>
    <t>Range("B38").FormulaR1C1 = "=(R10C7+R11C7)/2"</t>
  </si>
  <si>
    <t>Range("B39").Formula = "=($G$10+$G$11)/2"</t>
  </si>
  <si>
    <t>Range("B42").FormulaR1C1 = "=(R[-32]C[5]+R[-31]C[5])/2"</t>
  </si>
  <si>
    <t>Range("B43").Formula = "=(G10+G11)/2"</t>
  </si>
  <si>
    <t>http://msdn.microsoft.com/en-us/library/office/ff822194(v=office.15).aspx</t>
  </si>
  <si>
    <t>W VBA można także korzystać ze wszystkich funkcji Excela. Podobnie, jak w przypadku formuł,</t>
  </si>
  <si>
    <t>Range("B50") = MonthName(Month(Range("E9")))</t>
  </si>
  <si>
    <t>Range("B53") = LCase(Range("D9"))</t>
  </si>
  <si>
    <t>Range("B56") = Int((Date - Range("E9")) / 365)</t>
  </si>
  <si>
    <t>Najłatwiejszym sposobem jest: (i) napisanie odpowiedniej funkcji w Excelu; (ii) włączenie rejestratora makr;</t>
  </si>
  <si>
    <t>(iii) aktywowanie komórki z funkcją i naciśnięcie klawisza Enter; (iv) zakończenie rejestracji makra;</t>
  </si>
  <si>
    <t>W celu wykonania obliczeń bezpośrednio w VBA, wybieramy odpowiednią funkcję z grupy</t>
  </si>
  <si>
    <r>
      <rPr>
        <i/>
        <sz val="10"/>
        <rFont val="Arial"/>
        <family val="2"/>
        <charset val="238"/>
      </rPr>
      <t>WorksheetFunction</t>
    </r>
    <r>
      <rPr>
        <sz val="10"/>
        <rFont val="Arial"/>
        <family val="2"/>
        <charset val="238"/>
      </rPr>
      <t>. Składnia jest następująca:</t>
    </r>
  </si>
  <si>
    <t>MsgBox / InputBox:</t>
  </si>
  <si>
    <t>Składnia:</t>
  </si>
  <si>
    <t>Składania:</t>
  </si>
  <si>
    <t>MsgBox:</t>
  </si>
  <si>
    <t>InputBox:</t>
  </si>
  <si>
    <t>od lewego górnego rogu ekranu.</t>
  </si>
  <si>
    <t>Funkcja MsgBox zwraca wartości od 1 do 7 w zależności od wybranego przez użytkownika przycisku,</t>
  </si>
  <si>
    <t>co przedstawia tabela poniżej. Funkcja InputBox zwraca natomiast podaną przez użytkownika wartość.</t>
  </si>
  <si>
    <t>'Ocena Przemysława (funkcja wyszukaj pionowo)</t>
  </si>
  <si>
    <t>'Średnia ocen dla mężczyzn (funkcja średnia jeżeli)</t>
  </si>
  <si>
    <t>Range("B85") = Application.WorksheetFunction.Average(Range("G9:G14"))</t>
  </si>
  <si>
    <t>Range("B88") = Application.WorksheetFunction.AverageIf(Range("F9:F14"), "M", Range("G9:G14"))</t>
  </si>
  <si>
    <t>Range("B72") = "=AVERAGE(G9:G14)"</t>
  </si>
  <si>
    <t>Range("B71") = "=AVERAGE($G$9:$G$14)"</t>
  </si>
  <si>
    <t>Range("B70").FormulaR1C1 = "=AVERAGE(R9C7:R14C7)"</t>
  </si>
  <si>
    <t>Range("B75").FormulaR1C1 = "=AVERAGEIF(R9C6:R14C6,""M"",R9C7:R14C7)"</t>
  </si>
  <si>
    <t>Range("B91") = Application.WorksheetFunction.VLookup("Przemysław", Range("D9:G14"), 4, 0)</t>
  </si>
  <si>
    <t>wyświetla okno z polem do uzupełnienia przez użytkownika.</t>
  </si>
  <si>
    <t>Stała VBA</t>
  </si>
  <si>
    <t>działanie wszystkich aplikacji zostanie wstrzymane,</t>
  </si>
  <si>
    <t>aż do zamknięcia okna dialogowego</t>
  </si>
  <si>
    <t>'Wyświetlenie wartości komórki B94</t>
  </si>
  <si>
    <t>'Użycie zmiennych VBA do zapamiętania wartości parametrów funkcji MsgBox</t>
  </si>
  <si>
    <t xml:space="preserve">    MsgBox "Wartość komórki B94 = " &amp; Range("B94").Value, vbYesNo + vbQuestion, "Wyświetl wartość"</t>
  </si>
  <si>
    <t xml:space="preserve">    Komunikat = "Wartość komórki B94 = " &amp; Range("B94").Value</t>
  </si>
  <si>
    <t xml:space="preserve">    Przycisk = vbYesNo + vbQuestion</t>
  </si>
  <si>
    <t xml:space="preserve">    Tytul = "Wyświetl wartość"</t>
  </si>
  <si>
    <t xml:space="preserve">    MsgBox Komunikat, Przycisk, Tytul</t>
  </si>
  <si>
    <r>
      <t>Sub</t>
    </r>
    <r>
      <rPr>
        <sz val="10"/>
        <color rgb="FF000000"/>
        <rFont val="Arial"/>
        <family val="2"/>
        <charset val="238"/>
      </rPr>
      <t xml:space="preserve"> MsgBox7()</t>
    </r>
  </si>
  <si>
    <r>
      <t xml:space="preserve">    </t>
    </r>
    <r>
      <rPr>
        <sz val="10"/>
        <color rgb="FF008000"/>
        <rFont val="Arial"/>
        <family val="2"/>
        <charset val="238"/>
      </rPr>
      <t>'Metoda 1</t>
    </r>
  </si>
  <si>
    <r>
      <t xml:space="preserve">    </t>
    </r>
    <r>
      <rPr>
        <sz val="10"/>
        <color rgb="FF008000"/>
        <rFont val="Arial"/>
        <family val="2"/>
        <charset val="238"/>
      </rPr>
      <t>'Metoda 2</t>
    </r>
  </si>
  <si>
    <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Sub</t>
    </r>
  </si>
  <si>
    <t>InputBox jest funkcją, która, w przeciwieństwie do MsgBoxa, pozwala wprowadzić użytkownikowi tekst:</t>
  </si>
  <si>
    <t>'Wyświetlenie okna dialogowego InputBox</t>
  </si>
  <si>
    <t>'Użycie zmiennych VBA do zapamiętania wartości parametrów funkcji InputBox</t>
  </si>
  <si>
    <t xml:space="preserve">    InputBox "Jak masz na imię?", "Imię", "ND"</t>
  </si>
  <si>
    <t xml:space="preserve">    </t>
  </si>
  <si>
    <t xml:space="preserve">    InputBox Pytanie, Tytul_okna, Wartosc_domyslna</t>
  </si>
  <si>
    <r>
      <t>Sub</t>
    </r>
    <r>
      <rPr>
        <sz val="10"/>
        <color rgb="FF000000"/>
        <rFont val="Arial"/>
        <family val="2"/>
        <charset val="238"/>
      </rPr>
      <t xml:space="preserve"> InputBox1()</t>
    </r>
  </si>
  <si>
    <r>
      <t xml:space="preserve">    Pytanie = "Jak masz na imię?"    </t>
    </r>
    <r>
      <rPr>
        <sz val="10"/>
        <color rgb="FF008000"/>
        <rFont val="Arial"/>
        <family val="2"/>
        <charset val="238"/>
      </rPr>
      <t>'wyświetlany komunikatu</t>
    </r>
  </si>
  <si>
    <r>
      <t xml:space="preserve">    Tytul_okna = "Imię"    </t>
    </r>
    <r>
      <rPr>
        <sz val="10"/>
        <color rgb="FF008000"/>
        <rFont val="Arial"/>
        <family val="2"/>
        <charset val="238"/>
      </rPr>
      <t>'tytuł okna</t>
    </r>
  </si>
  <si>
    <r>
      <t xml:space="preserve">    Wartosc_domyslna = "ND"    </t>
    </r>
    <r>
      <rPr>
        <sz val="10"/>
        <color rgb="FF008000"/>
        <rFont val="Arial"/>
        <family val="2"/>
        <charset val="238"/>
      </rPr>
      <t>'wartość domyślna</t>
    </r>
  </si>
  <si>
    <t>Zapamiętanie wyborów użytkownika:</t>
  </si>
  <si>
    <t>Jeżeli chcemy wykorzystać informację na temat wybranego przez użytkownika przycisku w oknie MsgBox,</t>
  </si>
  <si>
    <t>bądź podanej informacji w oknie InputBox, należy umieścić argumenty funkcji w nawiasach i przypisać</t>
  </si>
  <si>
    <t>zwracaną przez nią wartość do zmiennej, np.</t>
  </si>
  <si>
    <t>Odpowiedz1 = MsgBox("Czy jesteś zadowolony(a) z kursu?", vbYesNo, "Zadowolenie")</t>
  </si>
  <si>
    <t>Odpowiedz2 = InputBox("Czy jesteś zadowolony(a) z kursu?", "Zadowolenie", "Tak, bardzo!")</t>
  </si>
  <si>
    <t>obliczenia mogą być wykonywane w Excelu, bądź bezpośrednio w VBA. Spis wszystkich funkcji</t>
  </si>
  <si>
    <t>Excelowych wraz z instrukcją użycia ich w VBA znajduje się na stronie:</t>
  </si>
  <si>
    <t>MsgBox i InputBox są wbudowanymi oknami dialogowymi, które pozwalają programiście na kontakt z</t>
  </si>
  <si>
    <t>użytkownikiem programu. Funkcja MsgBox wyświetla okno z komunikatem, zaś funkcja InputBox</t>
  </si>
  <si>
    <t>Wartość</t>
  </si>
  <si>
    <t>Przykładowy komunikat:</t>
  </si>
  <si>
    <t>Rabat:</t>
  </si>
  <si>
    <t>uzupełni komórkę z rabatem i dla każdej pozycji w  tabeli dopisze cenę po rabacie.</t>
  </si>
  <si>
    <t>Proszę stworzyć makro, które zapyta użytkownika o wysokość rabatu, a następnie</t>
  </si>
  <si>
    <t>Zadanie rozwiąż dwoma metodami:</t>
  </si>
  <si>
    <t>1) Dla każdej komórki pojedynczo oblicz w VBA cenę po rabacie i wstaw wartość</t>
  </si>
  <si>
    <t>2) Wstaw jedną formułę do wszystkich komórek Excela jednocześnie.</t>
  </si>
  <si>
    <t xml:space="preserve">    do Excela.</t>
  </si>
  <si>
    <t>Liczba lat</t>
  </si>
  <si>
    <t>(Excel)</t>
  </si>
  <si>
    <t>(VBA)</t>
  </si>
  <si>
    <t>Oblicz liczbę skończonych lat na podstawie daty urodzenia. Zadanie rozwiąż dwoma metodami:</t>
  </si>
  <si>
    <t>2) Wykonaj obliczenia w VBA dla każdej komórki pojedynczo i wstaw wartości do Excela.</t>
  </si>
  <si>
    <r>
      <rPr>
        <u/>
        <sz val="10"/>
        <rFont val="Arial"/>
        <family val="2"/>
        <charset val="238"/>
      </rPr>
      <t>Podpowiedź do metody 2:</t>
    </r>
    <r>
      <rPr>
        <sz val="10"/>
        <rFont val="Arial"/>
        <family val="2"/>
        <charset val="238"/>
      </rPr>
      <t xml:space="preserve"> użyj konstrukcji</t>
    </r>
    <r>
      <rPr>
        <i/>
        <sz val="10"/>
        <rFont val="Arial"/>
        <family val="2"/>
        <charset val="238"/>
      </rPr>
      <t xml:space="preserve"> For Each … Next</t>
    </r>
    <r>
      <rPr>
        <sz val="10"/>
        <rFont val="Arial"/>
        <family val="2"/>
        <charset val="238"/>
      </rPr>
      <t xml:space="preserve"> oraz funkcji</t>
    </r>
  </si>
  <si>
    <r>
      <rPr>
        <u/>
        <sz val="10"/>
        <rFont val="Arial"/>
        <family val="2"/>
        <charset val="238"/>
      </rPr>
      <t>Podpowiedź do metody 1:</t>
    </r>
    <r>
      <rPr>
        <sz val="10"/>
        <rFont val="Arial"/>
        <family val="2"/>
        <charset val="238"/>
      </rPr>
      <t xml:space="preserve"> użyj funkcji </t>
    </r>
    <r>
      <rPr>
        <i/>
        <sz val="10"/>
        <rFont val="Arial"/>
        <family val="2"/>
        <charset val="238"/>
      </rPr>
      <t>CZĘŚĆ.ROKU() / YEARFRAC(),</t>
    </r>
    <r>
      <rPr>
        <sz val="10"/>
        <rFont val="Arial"/>
        <family val="2"/>
        <charset val="238"/>
      </rPr>
      <t xml:space="preserve"> </t>
    </r>
    <r>
      <rPr>
        <i/>
        <sz val="10"/>
        <rFont val="Arial"/>
        <family val="2"/>
        <charset val="238"/>
      </rPr>
      <t>DZIŚ() / TODAY()</t>
    </r>
  </si>
  <si>
    <r>
      <t xml:space="preserve">                                       oraz </t>
    </r>
    <r>
      <rPr>
        <i/>
        <sz val="10"/>
        <rFont val="Arial"/>
        <family val="2"/>
        <charset val="238"/>
      </rPr>
      <t>ZAOKR.DO.CAŁK() / INT()</t>
    </r>
  </si>
  <si>
    <r>
      <rPr>
        <i/>
        <sz val="10"/>
        <rFont val="Arial"/>
        <family val="2"/>
        <charset val="238"/>
      </rPr>
      <t xml:space="preserve">                                       Application.WorksheetFunction.YearFrac</t>
    </r>
    <r>
      <rPr>
        <sz val="10"/>
        <rFont val="Arial"/>
        <family val="2"/>
        <charset val="238"/>
      </rPr>
      <t xml:space="preserve">, </t>
    </r>
    <r>
      <rPr>
        <i/>
        <sz val="10"/>
        <rFont val="Arial"/>
        <family val="2"/>
        <charset val="238"/>
      </rPr>
      <t>Date</t>
    </r>
    <r>
      <rPr>
        <sz val="10"/>
        <rFont val="Arial"/>
        <family val="2"/>
        <charset val="238"/>
      </rPr>
      <t xml:space="preserve"> i </t>
    </r>
    <r>
      <rPr>
        <i/>
        <sz val="10"/>
        <rFont val="Arial"/>
        <family val="2"/>
        <charset val="238"/>
      </rPr>
      <t>Int</t>
    </r>
  </si>
  <si>
    <t>Czas na zadanie aplikacyjne!</t>
  </si>
  <si>
    <t>Naszym celem jest stworzenie mini aplikacji, która będzie służyć do sprawdzania zależności pomiędzy</t>
  </si>
  <si>
    <t>Krok 1:</t>
  </si>
  <si>
    <t>o wczytanie katalogu i nazwy importowanego pliku z danymi za pomocą InputBoxa;</t>
  </si>
  <si>
    <t>o otwarcie pliku tekstowego w nowym pliku Excela (polecenie Plik--&gt;Otwórz);</t>
  </si>
  <si>
    <t>Krok 2:</t>
  </si>
  <si>
    <t>Import danych z pliku tekstowego do Excela:</t>
  </si>
  <si>
    <t>Wyliczenie stóp zwrotu:</t>
  </si>
  <si>
    <t>o stworzenie kopii arkusza Ceny_zamknięcia i nazwanie go Stopy_zwrotu;</t>
  </si>
  <si>
    <t>Krok 3:</t>
  </si>
  <si>
    <t>Stworzenie tabeli korelacyjnej:</t>
  </si>
  <si>
    <t>o stworzenie nagłówków tabeli z nazwami analizowanych aktywów (w wierszu 1 i w</t>
  </si>
  <si>
    <t xml:space="preserve">   kolumnie A);</t>
  </si>
  <si>
    <t>o wyliczenie współczynnika korelacji dla każdego aktywa;</t>
  </si>
  <si>
    <t>o przeniesienie całego arkusza z danymi do niniejszego pliku i zmiana jego nazwy</t>
  </si>
  <si>
    <t>o wyróżnienie trzech najmniejszych statystyk (formatowanie warunkowe).</t>
  </si>
  <si>
    <t>Uwaga:</t>
  </si>
  <si>
    <t>Makro powinno składać się z następujących kroków:</t>
  </si>
  <si>
    <t>Range("B23") = (3 + 4) / 2</t>
  </si>
  <si>
    <t>Range("B26") = (Range("G10") + Range("G11")) / 2</t>
  </si>
  <si>
    <t>Używanie formuł i funkcji w VBA jest stosunkowo proste. Obliczenia można wykonywać bezpośrednio w</t>
  </si>
  <si>
    <t>VBA, korzystając z wbudowanych funkcji tego programu, bądź odwoływać się do funkcji Excela.</t>
  </si>
  <si>
    <t>Range("B29") = (Range("B29").Offset(-19, 5) + Range("B29").Offset(-18, 5)) / 2</t>
  </si>
  <si>
    <t>Range("B78").FormulaR1C1 = "=VLOOKUP(""Przemysław"",R9C4:R14C7,4,0)"</t>
  </si>
  <si>
    <r>
      <rPr>
        <b/>
        <i/>
        <sz val="10"/>
        <rFont val="Arial"/>
        <family val="2"/>
        <charset val="238"/>
      </rPr>
      <t>Application.WorksheetFunction.XXX</t>
    </r>
    <r>
      <rPr>
        <sz val="10"/>
        <rFont val="Arial"/>
        <family val="2"/>
        <charset val="238"/>
      </rPr>
      <t xml:space="preserve">, gdzie </t>
    </r>
    <r>
      <rPr>
        <i/>
        <sz val="10"/>
        <rFont val="Arial"/>
        <family val="2"/>
        <charset val="238"/>
      </rPr>
      <t>XXX</t>
    </r>
    <r>
      <rPr>
        <sz val="10"/>
        <rFont val="Arial"/>
        <family val="2"/>
        <charset val="238"/>
      </rPr>
      <t xml:space="preserve"> jest nazwą odpowiedniej funkcji.</t>
    </r>
  </si>
  <si>
    <t>1) Wstaw odpowiednią formułę do wszystkich komórek Excela jednocześnie.</t>
  </si>
  <si>
    <t>Podpowiedź:</t>
  </si>
  <si>
    <r>
      <t xml:space="preserve">o liczba arkuszy w pliku - właściwość </t>
    </r>
    <r>
      <rPr>
        <i/>
        <sz val="10"/>
        <rFont val="Arial"/>
        <family val="2"/>
        <charset val="238"/>
      </rPr>
      <t>Count</t>
    </r>
    <r>
      <rPr>
        <sz val="10"/>
        <rFont val="Arial"/>
        <family val="2"/>
        <charset val="238"/>
      </rPr>
      <t xml:space="preserve"> kolekcji </t>
    </r>
    <r>
      <rPr>
        <i/>
        <sz val="10"/>
        <rFont val="Arial"/>
        <family val="2"/>
        <charset val="238"/>
      </rPr>
      <t>Worksheets</t>
    </r>
    <r>
      <rPr>
        <sz val="10"/>
        <rFont val="Arial"/>
        <family val="2"/>
        <charset val="238"/>
      </rPr>
      <t>;</t>
    </r>
  </si>
  <si>
    <r>
      <t xml:space="preserve">o numer arkusza - właściwość </t>
    </r>
    <r>
      <rPr>
        <i/>
        <sz val="10"/>
        <rFont val="Arial"/>
        <family val="2"/>
        <charset val="238"/>
      </rPr>
      <t>Index</t>
    </r>
    <r>
      <rPr>
        <sz val="10"/>
        <rFont val="Arial"/>
        <family val="2"/>
        <charset val="238"/>
      </rPr>
      <t xml:space="preserve"> obiektu </t>
    </r>
    <r>
      <rPr>
        <i/>
        <sz val="10"/>
        <rFont val="Arial"/>
        <family val="2"/>
        <charset val="238"/>
      </rPr>
      <t>Worksheet</t>
    </r>
    <r>
      <rPr>
        <sz val="10"/>
        <rFont val="Arial"/>
        <family val="2"/>
        <charset val="238"/>
      </rPr>
      <t>;</t>
    </r>
  </si>
  <si>
    <r>
      <t xml:space="preserve">o nazwa arkusza - właściwość </t>
    </r>
    <r>
      <rPr>
        <i/>
        <sz val="10"/>
        <rFont val="Arial"/>
        <family val="2"/>
        <charset val="238"/>
      </rPr>
      <t>Name</t>
    </r>
    <r>
      <rPr>
        <sz val="10"/>
        <rFont val="Arial"/>
        <family val="2"/>
        <charset val="238"/>
      </rPr>
      <t xml:space="preserve"> obiektu </t>
    </r>
    <r>
      <rPr>
        <i/>
        <sz val="10"/>
        <rFont val="Arial"/>
        <family val="2"/>
        <charset val="238"/>
      </rPr>
      <t>Worksheet.</t>
    </r>
  </si>
  <si>
    <r>
      <t xml:space="preserve">   - </t>
    </r>
    <r>
      <rPr>
        <i/>
        <sz val="10"/>
        <rFont val="Arial"/>
        <family val="2"/>
        <charset val="238"/>
      </rPr>
      <t>ActiveWorkbook</t>
    </r>
    <r>
      <rPr>
        <sz val="10"/>
        <rFont val="Arial"/>
        <family val="2"/>
        <charset val="238"/>
      </rPr>
      <t xml:space="preserve"> - obiekt będący aktywnym plikiem Excela</t>
    </r>
  </si>
  <si>
    <r>
      <t xml:space="preserve">   - </t>
    </r>
    <r>
      <rPr>
        <i/>
        <sz val="10"/>
        <rFont val="Arial"/>
        <family val="2"/>
        <charset val="238"/>
      </rPr>
      <t>ThisWorkbook</t>
    </r>
    <r>
      <rPr>
        <sz val="10"/>
        <rFont val="Arial"/>
        <family val="2"/>
        <charset val="238"/>
      </rPr>
      <t xml:space="preserve"> - obiekt będący plikiem Excela, w którym znajduje się uruchomiona procedura</t>
    </r>
  </si>
  <si>
    <t xml:space="preserve">   na Ceny_zamknięcia.</t>
  </si>
  <si>
    <t>Korelację w kroku 3 oblicz trzema metodami.</t>
  </si>
  <si>
    <t>1) Wstaw odpowiednią formułę do komórek Excela</t>
  </si>
  <si>
    <t>2) Odpowiednie obliczenia wykonaj w VBA i do komórek Excela wstaw wartości</t>
  </si>
  <si>
    <r>
      <t xml:space="preserve">    - użyj funkcji </t>
    </r>
    <r>
      <rPr>
        <i/>
        <sz val="10"/>
        <rFont val="Arial"/>
        <family val="2"/>
        <charset val="238"/>
      </rPr>
      <t>Application.WorksheetFunction.Correl</t>
    </r>
  </si>
  <si>
    <r>
      <t xml:space="preserve">    - użyj funkcji: </t>
    </r>
    <r>
      <rPr>
        <i/>
        <sz val="10"/>
        <rFont val="Arial"/>
        <family val="2"/>
        <charset val="238"/>
      </rPr>
      <t>WSP.KORELACJI, INDEKS, PODAJ.POZYCJĘ</t>
    </r>
  </si>
  <si>
    <t xml:space="preserve">    - użyj rejestratora makr</t>
  </si>
  <si>
    <t>3) użyj narzędzia Excela Analiza danych</t>
  </si>
  <si>
    <t>zwrotami z akcji największych spółek notowanych na GPW (Giełda Papierów Wartościowych w Warszawie).</t>
  </si>
  <si>
    <t>o wyliczenie stóp zwrotu w stworzonym arkuszu.</t>
  </si>
  <si>
    <t>(v) dostosowanie nagranego kodu do własnych potrzeb.</t>
  </si>
  <si>
    <t>Zadanie 4</t>
  </si>
  <si>
    <t>Zadanie 3</t>
  </si>
  <si>
    <t>Zadanie 2</t>
  </si>
  <si>
    <t>Zadanie 1</t>
  </si>
  <si>
    <r>
      <t>ã</t>
    </r>
    <r>
      <rPr>
        <i/>
        <sz val="10"/>
        <rFont val="Arial"/>
        <family val="2"/>
        <charset val="238"/>
      </rPr>
      <t xml:space="preserve"> LabMasters.pl</t>
    </r>
  </si>
  <si>
    <t>Pierwsza metoda (tak samo, jak w punkcie 2), polega na wstawieniu odpowiedniej funkcji do komórki Excela.</t>
  </si>
  <si>
    <t>Składnia jest bardzo podobna do MsgBox. Argumenty xpos oraz ypos oznaczają pozycję okna liczoną</t>
  </si>
  <si>
    <t>o stworzenie nowego arkusza i nazwanie go Korelacje;</t>
  </si>
  <si>
    <t>MsgBox(prompt[, buttons] [, title] [, helpfile] [, context])</t>
  </si>
  <si>
    <t>InputBox(prompt [, title] [, default] [, xpos] [, ypos] [, helpfile] [, context])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</si>
</sst>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yyyy\-mm\-dd;@"/>
  </numFmts>
  <fonts count="2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i/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  <charset val="238"/>
    </font>
    <font>
      <sz val="10"/>
      <name val="Arial Unicode MS"/>
      <family val="2"/>
      <charset val="238"/>
    </font>
    <font>
      <sz val="10"/>
      <color indexed="17"/>
      <name val="Arial"/>
      <family val="2"/>
      <charset val="238"/>
    </font>
    <font>
      <u/>
      <sz val="10"/>
      <color indexed="12"/>
      <name val="Arial"/>
      <family val="2"/>
      <charset val="238"/>
    </font>
    <font>
      <u/>
      <sz val="10"/>
      <name val="Arial"/>
      <family val="2"/>
      <charset val="238"/>
    </font>
    <font>
      <b/>
      <u/>
      <sz val="10"/>
      <name val="Arial"/>
      <family val="2"/>
      <charset val="238"/>
    </font>
    <font>
      <sz val="12"/>
      <name val="Symbol"/>
      <family val="1"/>
      <charset val="2"/>
    </font>
    <font>
      <sz val="10"/>
      <color theme="0"/>
      <name val="Arial"/>
      <family val="2"/>
      <charset val="238"/>
    </font>
    <font>
      <sz val="10"/>
      <color rgb="FF339933"/>
      <name val="Arial"/>
      <family val="2"/>
      <charset val="238"/>
    </font>
    <font>
      <sz val="10"/>
      <color rgb="FF3333FF"/>
      <name val="Arial Unicode MS"/>
      <family val="2"/>
      <charset val="238"/>
    </font>
    <font>
      <sz val="10"/>
      <color rgb="FF3333FF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theme="0" tint="-0.499984740745262"/>
      <name val="Arial"/>
      <family val="2"/>
      <charset val="238"/>
    </font>
    <font>
      <b/>
      <u/>
      <sz val="12"/>
      <name val="Arial"/>
      <family val="2"/>
      <charset val="238"/>
    </font>
    <font>
      <sz val="10"/>
      <color rgb="FF000000"/>
      <name val="Arial"/>
      <family val="2"/>
      <charset val="238"/>
    </font>
    <font>
      <sz val="10"/>
      <color rgb="FF0000FF"/>
      <name val="Arial"/>
      <family val="2"/>
      <charset val="238"/>
    </font>
    <font>
      <sz val="10"/>
      <color rgb="FF008000"/>
      <name val="Arial"/>
      <family val="2"/>
      <charset val="238"/>
    </font>
    <font>
      <b/>
      <u/>
      <sz val="14"/>
      <name val="Arial"/>
      <family val="2"/>
      <charset val="238"/>
    </font>
    <font>
      <b/>
      <i/>
      <sz val="10"/>
      <name val="Arial"/>
      <family val="2"/>
      <charset val="238"/>
    </font>
    <font>
      <sz val="1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4" fillId="0" borderId="0"/>
    <xf numFmtId="0" fontId="3" fillId="0" borderId="0"/>
    <xf numFmtId="0" fontId="2" fillId="0" borderId="0"/>
    <xf numFmtId="0" fontId="1" fillId="0" borderId="0"/>
    <xf numFmtId="9" fontId="27" fillId="0" borderId="0" applyFont="0" applyFill="0" applyBorder="0" applyAlignment="0" applyProtection="0"/>
  </cellStyleXfs>
  <cellXfs count="113">
    <xf numFmtId="0" fontId="0" fillId="0" borderId="0" xfId="0"/>
    <xf numFmtId="0" fontId="8" fillId="0" borderId="0" xfId="2" applyFill="1"/>
    <xf numFmtId="0" fontId="6" fillId="0" borderId="0" xfId="2" applyFont="1" applyFill="1"/>
    <xf numFmtId="0" fontId="8" fillId="0" borderId="0" xfId="2" applyFont="1" applyFill="1"/>
    <xf numFmtId="0" fontId="5" fillId="0" borderId="0" xfId="2" applyFont="1" applyFill="1"/>
    <xf numFmtId="0" fontId="9" fillId="0" borderId="0" xfId="2" applyFont="1" applyFill="1"/>
    <xf numFmtId="0" fontId="8" fillId="0" borderId="0" xfId="2" applyFont="1"/>
    <xf numFmtId="0" fontId="12" fillId="0" borderId="0" xfId="2" applyFont="1" applyFill="1"/>
    <xf numFmtId="0" fontId="8" fillId="0" borderId="5" xfId="2" applyFill="1" applyBorder="1"/>
    <xf numFmtId="0" fontId="8" fillId="0" borderId="6" xfId="2" applyFill="1" applyBorder="1"/>
    <xf numFmtId="0" fontId="8" fillId="0" borderId="4" xfId="2" applyBorder="1" applyAlignment="1">
      <alignment horizontal="center"/>
    </xf>
    <xf numFmtId="0" fontId="8" fillId="0" borderId="4" xfId="2" applyBorder="1"/>
    <xf numFmtId="0" fontId="8" fillId="0" borderId="6" xfId="2" applyFont="1" applyBorder="1"/>
    <xf numFmtId="0" fontId="8" fillId="0" borderId="3" xfId="2" applyBorder="1" applyAlignment="1">
      <alignment horizontal="center"/>
    </xf>
    <xf numFmtId="0" fontId="8" fillId="0" borderId="3" xfId="2" applyBorder="1"/>
    <xf numFmtId="0" fontId="8" fillId="0" borderId="1" xfId="2" applyFill="1" applyBorder="1"/>
    <xf numFmtId="0" fontId="8" fillId="0" borderId="0" xfId="2" applyFont="1" applyBorder="1"/>
    <xf numFmtId="0" fontId="8" fillId="0" borderId="0" xfId="2" applyFill="1" applyBorder="1"/>
    <xf numFmtId="0" fontId="8" fillId="0" borderId="7" xfId="2" applyBorder="1" applyAlignment="1">
      <alignment horizontal="center"/>
    </xf>
    <xf numFmtId="0" fontId="8" fillId="0" borderId="7" xfId="2" applyBorder="1"/>
    <xf numFmtId="0" fontId="8" fillId="0" borderId="8" xfId="2" applyFill="1" applyBorder="1"/>
    <xf numFmtId="0" fontId="8" fillId="0" borderId="9" xfId="2" applyFont="1" applyBorder="1"/>
    <xf numFmtId="0" fontId="8" fillId="0" borderId="9" xfId="2" applyFill="1" applyBorder="1"/>
    <xf numFmtId="0" fontId="15" fillId="0" borderId="0" xfId="2" applyFont="1" applyFill="1"/>
    <xf numFmtId="0" fontId="8" fillId="0" borderId="0" xfId="2" applyAlignment="1">
      <alignment horizontal="center"/>
    </xf>
    <xf numFmtId="0" fontId="8" fillId="0" borderId="0" xfId="2"/>
    <xf numFmtId="0" fontId="10" fillId="0" borderId="0" xfId="2" applyFont="1" applyFill="1"/>
    <xf numFmtId="0" fontId="6" fillId="0" borderId="10" xfId="2" applyFont="1" applyFill="1" applyBorder="1"/>
    <xf numFmtId="0" fontId="8" fillId="0" borderId="10" xfId="2" applyFont="1" applyFill="1" applyBorder="1"/>
    <xf numFmtId="0" fontId="8" fillId="0" borderId="11" xfId="2" applyFill="1" applyBorder="1"/>
    <xf numFmtId="0" fontId="8" fillId="0" borderId="12" xfId="2" applyFill="1" applyBorder="1"/>
    <xf numFmtId="0" fontId="8" fillId="0" borderId="13" xfId="2" applyBorder="1" applyAlignment="1">
      <alignment horizontal="center"/>
    </xf>
    <xf numFmtId="0" fontId="8" fillId="0" borderId="2" xfId="2" applyBorder="1" applyAlignment="1">
      <alignment horizontal="center"/>
    </xf>
    <xf numFmtId="0" fontId="8" fillId="0" borderId="14" xfId="2" applyBorder="1" applyAlignment="1">
      <alignment horizontal="center"/>
    </xf>
    <xf numFmtId="0" fontId="8" fillId="0" borderId="9" xfId="2" applyBorder="1"/>
    <xf numFmtId="0" fontId="16" fillId="0" borderId="0" xfId="2" applyFont="1" applyFill="1"/>
    <xf numFmtId="0" fontId="17" fillId="0" borderId="0" xfId="2" applyFont="1" applyFill="1"/>
    <xf numFmtId="0" fontId="18" fillId="0" borderId="0" xfId="2" applyFont="1" applyFill="1"/>
    <xf numFmtId="0" fontId="14" fillId="0" borderId="0" xfId="2" applyFont="1" applyFill="1"/>
    <xf numFmtId="0" fontId="8" fillId="0" borderId="0" xfId="2" applyFill="1" applyAlignment="1">
      <alignment horizontal="center"/>
    </xf>
    <xf numFmtId="0" fontId="8" fillId="0" borderId="5" xfId="2" applyFill="1" applyBorder="1" applyAlignment="1">
      <alignment horizontal="center" vertical="center"/>
    </xf>
    <xf numFmtId="0" fontId="8" fillId="0" borderId="1" xfId="2" applyFill="1" applyBorder="1" applyAlignment="1">
      <alignment horizontal="center" vertical="center"/>
    </xf>
    <xf numFmtId="0" fontId="8" fillId="0" borderId="8" xfId="2" applyFill="1" applyBorder="1" applyAlignment="1">
      <alignment horizontal="center" vertical="center"/>
    </xf>
    <xf numFmtId="0" fontId="8" fillId="0" borderId="13" xfId="2" applyFill="1" applyBorder="1" applyAlignment="1">
      <alignment vertical="center"/>
    </xf>
    <xf numFmtId="0" fontId="8" fillId="0" borderId="2" xfId="2" applyFill="1" applyBorder="1" applyAlignment="1">
      <alignment vertical="center"/>
    </xf>
    <xf numFmtId="0" fontId="8" fillId="0" borderId="14" xfId="2" applyFill="1" applyBorder="1" applyAlignment="1">
      <alignment vertical="center"/>
    </xf>
    <xf numFmtId="0" fontId="8" fillId="0" borderId="4" xfId="2" applyFill="1" applyBorder="1" applyAlignment="1">
      <alignment horizontal="center" vertical="center"/>
    </xf>
    <xf numFmtId="0" fontId="8" fillId="0" borderId="3" xfId="2" applyFill="1" applyBorder="1" applyAlignment="1">
      <alignment horizontal="center" vertical="center"/>
    </xf>
    <xf numFmtId="0" fontId="8" fillId="0" borderId="7" xfId="2" applyFill="1" applyBorder="1" applyAlignment="1">
      <alignment horizontal="center" vertical="center"/>
    </xf>
    <xf numFmtId="0" fontId="15" fillId="2" borderId="0" xfId="2" applyFont="1" applyFill="1"/>
    <xf numFmtId="0" fontId="15" fillId="2" borderId="0" xfId="2" applyFont="1" applyFill="1" applyAlignment="1"/>
    <xf numFmtId="14" fontId="8" fillId="0" borderId="2" xfId="2" applyNumberFormat="1" applyFill="1" applyBorder="1" applyAlignment="1">
      <alignment horizontal="center"/>
    </xf>
    <xf numFmtId="14" fontId="8" fillId="0" borderId="14" xfId="2" applyNumberFormat="1" applyFill="1" applyBorder="1" applyAlignment="1">
      <alignment horizontal="center"/>
    </xf>
    <xf numFmtId="0" fontId="16" fillId="0" borderId="0" xfId="2" quotePrefix="1" applyFont="1" applyFill="1"/>
    <xf numFmtId="0" fontId="8" fillId="0" borderId="15" xfId="2" applyFill="1" applyBorder="1" applyAlignment="1">
      <alignment horizontal="center"/>
    </xf>
    <xf numFmtId="164" fontId="8" fillId="0" borderId="15" xfId="2" applyNumberFormat="1" applyFill="1" applyBorder="1" applyAlignment="1">
      <alignment horizontal="center"/>
    </xf>
    <xf numFmtId="0" fontId="20" fillId="0" borderId="0" xfId="2" applyFont="1" applyFill="1"/>
    <xf numFmtId="0" fontId="11" fillId="0" borderId="0" xfId="1" applyFill="1" applyAlignment="1" applyProtection="1"/>
    <xf numFmtId="0" fontId="21" fillId="0" borderId="0" xfId="2" applyFont="1" applyFill="1"/>
    <xf numFmtId="0" fontId="8" fillId="0" borderId="0" xfId="2" applyFill="1" applyBorder="1" applyAlignment="1">
      <alignment horizontal="center"/>
    </xf>
    <xf numFmtId="164" fontId="8" fillId="0" borderId="0" xfId="2" applyNumberFormat="1" applyFill="1" applyBorder="1" applyAlignment="1">
      <alignment horizontal="center"/>
    </xf>
    <xf numFmtId="0" fontId="13" fillId="0" borderId="0" xfId="2" applyFont="1" applyFill="1"/>
    <xf numFmtId="0" fontId="5" fillId="0" borderId="4" xfId="2" applyFont="1" applyFill="1" applyBorder="1" applyAlignment="1">
      <alignment horizontal="center"/>
    </xf>
    <xf numFmtId="0" fontId="22" fillId="0" borderId="0" xfId="2" applyFont="1" applyFill="1"/>
    <xf numFmtId="0" fontId="23" fillId="0" borderId="0" xfId="2" applyFont="1" applyFill="1"/>
    <xf numFmtId="0" fontId="24" fillId="0" borderId="0" xfId="2" applyFont="1" applyFill="1"/>
    <xf numFmtId="0" fontId="0" fillId="3" borderId="13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1" xfId="0" applyFill="1" applyBorder="1"/>
    <xf numFmtId="0" fontId="0" fillId="3" borderId="14" xfId="0" applyFill="1" applyBorder="1"/>
    <xf numFmtId="0" fontId="0" fillId="3" borderId="8" xfId="0" applyFill="1" applyBorder="1"/>
    <xf numFmtId="0" fontId="8" fillId="3" borderId="2" xfId="0" applyFont="1" applyFill="1" applyBorder="1"/>
    <xf numFmtId="0" fontId="8" fillId="4" borderId="4" xfId="2" applyFill="1" applyBorder="1" applyAlignment="1">
      <alignment horizontal="center" vertical="center"/>
    </xf>
    <xf numFmtId="0" fontId="8" fillId="4" borderId="13" xfId="2" applyFill="1" applyBorder="1" applyAlignment="1">
      <alignment horizontal="center" vertical="center"/>
    </xf>
    <xf numFmtId="0" fontId="8" fillId="4" borderId="15" xfId="2" applyFill="1" applyBorder="1" applyAlignment="1">
      <alignment horizontal="center"/>
    </xf>
    <xf numFmtId="0" fontId="8" fillId="4" borderId="5" xfId="2" applyFill="1" applyBorder="1" applyAlignment="1">
      <alignment horizontal="center" vertical="center"/>
    </xf>
    <xf numFmtId="0" fontId="8" fillId="0" borderId="0" xfId="2" applyFont="1" applyFill="1" applyBorder="1" applyAlignment="1">
      <alignment horizontal="right"/>
    </xf>
    <xf numFmtId="0" fontId="8" fillId="5" borderId="12" xfId="2" applyFont="1" applyFill="1" applyBorder="1" applyAlignment="1">
      <alignment vertical="center"/>
    </xf>
    <xf numFmtId="0" fontId="5" fillId="5" borderId="12" xfId="2" applyFont="1" applyFill="1" applyBorder="1" applyAlignment="1">
      <alignment vertical="center"/>
    </xf>
    <xf numFmtId="0" fontId="0" fillId="0" borderId="0" xfId="0" applyFill="1"/>
    <xf numFmtId="0" fontId="8" fillId="0" borderId="0" xfId="0" applyFont="1" applyFill="1"/>
    <xf numFmtId="0" fontId="12" fillId="0" borderId="0" xfId="0" applyFont="1" applyFill="1"/>
    <xf numFmtId="0" fontId="0" fillId="0" borderId="13" xfId="0" applyFill="1" applyBorder="1"/>
    <xf numFmtId="0" fontId="0" fillId="0" borderId="2" xfId="0" applyFill="1" applyBorder="1"/>
    <xf numFmtId="0" fontId="0" fillId="0" borderId="14" xfId="0" applyFill="1" applyBorder="1"/>
    <xf numFmtId="0" fontId="8" fillId="6" borderId="4" xfId="2" applyFill="1" applyBorder="1" applyAlignment="1">
      <alignment horizontal="center" vertical="center"/>
    </xf>
    <xf numFmtId="0" fontId="8" fillId="6" borderId="13" xfId="2" applyFill="1" applyBorder="1" applyAlignment="1">
      <alignment horizontal="center" vertical="center"/>
    </xf>
    <xf numFmtId="0" fontId="8" fillId="6" borderId="15" xfId="2" applyFill="1" applyBorder="1" applyAlignment="1">
      <alignment horizontal="center"/>
    </xf>
    <xf numFmtId="0" fontId="8" fillId="6" borderId="5" xfId="2" applyFill="1" applyBorder="1" applyAlignment="1">
      <alignment horizontal="center" vertical="center"/>
    </xf>
    <xf numFmtId="0" fontId="8" fillId="6" borderId="6" xfId="2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/>
    </xf>
    <xf numFmtId="0" fontId="8" fillId="6" borderId="11" xfId="0" applyFont="1" applyFill="1" applyBorder="1" applyAlignment="1">
      <alignment horizontal="center"/>
    </xf>
    <xf numFmtId="0" fontId="0" fillId="0" borderId="4" xfId="0" applyFill="1" applyBorder="1"/>
    <xf numFmtId="0" fontId="0" fillId="0" borderId="3" xfId="0" applyFill="1" applyBorder="1"/>
    <xf numFmtId="0" fontId="0" fillId="0" borderId="7" xfId="0" applyFill="1" applyBorder="1"/>
    <xf numFmtId="0" fontId="8" fillId="0" borderId="0" xfId="0" applyFont="1" applyFill="1" applyBorder="1"/>
    <xf numFmtId="0" fontId="0" fillId="0" borderId="0" xfId="0" applyFill="1" applyBorder="1"/>
    <xf numFmtId="0" fontId="0" fillId="6" borderId="4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8" fillId="6" borderId="15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0" xfId="0" applyFont="1" applyFill="1"/>
    <xf numFmtId="14" fontId="0" fillId="0" borderId="0" xfId="0" applyNumberFormat="1" applyFill="1"/>
    <xf numFmtId="165" fontId="0" fillId="0" borderId="0" xfId="0" applyNumberFormat="1" applyFill="1"/>
    <xf numFmtId="0" fontId="25" fillId="0" borderId="0" xfId="2" applyFont="1" applyFill="1" applyAlignment="1">
      <alignment horizontal="center"/>
    </xf>
    <xf numFmtId="0" fontId="5" fillId="0" borderId="10" xfId="2" applyFont="1" applyFill="1" applyBorder="1" applyAlignment="1">
      <alignment horizontal="center"/>
    </xf>
    <xf numFmtId="0" fontId="5" fillId="0" borderId="11" xfId="2" applyFont="1" applyFill="1" applyBorder="1" applyAlignment="1">
      <alignment horizontal="center"/>
    </xf>
    <xf numFmtId="0" fontId="5" fillId="0" borderId="12" xfId="2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8" fillId="6" borderId="5" xfId="0" applyFont="1" applyFill="1" applyBorder="1" applyAlignment="1">
      <alignment horizontal="center"/>
    </xf>
    <xf numFmtId="9" fontId="0" fillId="3" borderId="11" xfId="7" applyFont="1" applyFill="1" applyBorder="1" applyAlignment="1">
      <alignment horizontal="center" vertical="center"/>
    </xf>
  </cellXfs>
  <cellStyles count="8">
    <cellStyle name="Hiperłącze" xfId="1" builtinId="8"/>
    <cellStyle name="Normalny" xfId="0" builtinId="0"/>
    <cellStyle name="Normalny 2" xfId="2" xr:uid="{00000000-0005-0000-0000-000002000000}"/>
    <cellStyle name="Normalny 3" xfId="3" xr:uid="{00000000-0005-0000-0000-000003000000}"/>
    <cellStyle name="Normalny 4" xfId="4" xr:uid="{00000000-0005-0000-0000-000004000000}"/>
    <cellStyle name="Normalny 5" xfId="5" xr:uid="{00000000-0005-0000-0000-000005000000}"/>
    <cellStyle name="Normalny 6" xfId="6" xr:uid="{00000000-0005-0000-0000-000006000000}"/>
    <cellStyle name="Procentowy" xfId="7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129</xdr:row>
      <xdr:rowOff>0</xdr:rowOff>
    </xdr:from>
    <xdr:to>
      <xdr:col>6</xdr:col>
      <xdr:colOff>304400</xdr:colOff>
      <xdr:row>138</xdr:row>
      <xdr:rowOff>123627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57300" y="21031200"/>
          <a:ext cx="3200000" cy="15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6</xdr:col>
      <xdr:colOff>532971</xdr:colOff>
      <xdr:row>169</xdr:row>
      <xdr:rowOff>152219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57300" y="26355675"/>
          <a:ext cx="3428571" cy="1447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66675</xdr:rowOff>
    </xdr:from>
    <xdr:to>
      <xdr:col>5</xdr:col>
      <xdr:colOff>200025</xdr:colOff>
      <xdr:row>19</xdr:row>
      <xdr:rowOff>76200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00150"/>
          <a:ext cx="2638425" cy="1952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12</xdr:col>
      <xdr:colOff>0</xdr:colOff>
      <xdr:row>9</xdr:row>
      <xdr:rowOff>148477</xdr:rowOff>
    </xdr:to>
    <xdr:sp macro="[0]!Zad4_1" textlink="">
      <xdr:nvSpPr>
        <xdr:cNvPr id="7" name="Prostokąt z rogami zaokrąglonymi po przekątnej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096000" y="1371600"/>
          <a:ext cx="1219200" cy="310402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pl-PL" sz="1000"/>
            <a:t>Krok 1.</a:t>
          </a:r>
          <a:r>
            <a:rPr lang="pl-PL" sz="1000" baseline="0"/>
            <a:t> Import danych</a:t>
          </a:r>
          <a:endParaRPr lang="pl-PL" sz="1000"/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12</xdr:col>
      <xdr:colOff>0</xdr:colOff>
      <xdr:row>30</xdr:row>
      <xdr:rowOff>148477</xdr:rowOff>
    </xdr:to>
    <xdr:sp macro="[0]!Zad4_3_v1" textlink="">
      <xdr:nvSpPr>
        <xdr:cNvPr id="8" name="Prostokąt z rogami zaokrąglonymi po przekątnej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096000" y="4772025"/>
          <a:ext cx="1219200" cy="310402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pl-PL" sz="1000"/>
            <a:t>Krok 3 v1.</a:t>
          </a:r>
          <a:r>
            <a:rPr lang="pl-PL" sz="1000" baseline="0"/>
            <a:t> Korelacje</a:t>
          </a:r>
          <a:endParaRPr lang="pl-PL" sz="1000"/>
        </a:p>
      </xdr:txBody>
    </xdr:sp>
    <xdr:clientData/>
  </xdr:twoCellAnchor>
  <xdr:twoCellAnchor>
    <xdr:from>
      <xdr:col>10</xdr:col>
      <xdr:colOff>0</xdr:colOff>
      <xdr:row>32</xdr:row>
      <xdr:rowOff>0</xdr:rowOff>
    </xdr:from>
    <xdr:to>
      <xdr:col>12</xdr:col>
      <xdr:colOff>0</xdr:colOff>
      <xdr:row>33</xdr:row>
      <xdr:rowOff>148477</xdr:rowOff>
    </xdr:to>
    <xdr:sp macro="[0]!Zad4_3_v2" textlink="">
      <xdr:nvSpPr>
        <xdr:cNvPr id="9" name="Prostokąt z rogami zaokrąglonymi po przekątnej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096000" y="5257800"/>
          <a:ext cx="1219200" cy="310402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pl-PL" sz="1000"/>
            <a:t>Krok </a:t>
          </a:r>
          <a:r>
            <a:rPr lang="pl-PL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 v2.</a:t>
          </a:r>
          <a:r>
            <a:rPr lang="pl-PL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Korelacje</a:t>
          </a:r>
          <a:endParaRPr lang="pl-PL" sz="1000">
            <a:effectLst/>
          </a:endParaRP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12</xdr:col>
      <xdr:colOff>0</xdr:colOff>
      <xdr:row>36</xdr:row>
      <xdr:rowOff>148477</xdr:rowOff>
    </xdr:to>
    <xdr:sp macro="[0]!Zad4_3_v3" textlink="">
      <xdr:nvSpPr>
        <xdr:cNvPr id="10" name="Prostokąt z rogami zaokrąglonymi po przekątnej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5743575"/>
          <a:ext cx="1219200" cy="310402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pl-PL" sz="1000"/>
            <a:t>Krok </a:t>
          </a:r>
          <a:r>
            <a:rPr lang="pl-PL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 v3.</a:t>
          </a:r>
          <a:r>
            <a:rPr lang="pl-PL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Korelacje</a:t>
          </a:r>
          <a:endParaRPr lang="pl-PL" sz="1000">
            <a:effectLst/>
          </a:endParaRPr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12</xdr:col>
      <xdr:colOff>0</xdr:colOff>
      <xdr:row>18</xdr:row>
      <xdr:rowOff>148477</xdr:rowOff>
    </xdr:to>
    <xdr:sp macro="[0]!Zad4_2" textlink="">
      <xdr:nvSpPr>
        <xdr:cNvPr id="11" name="Prostokąt z rogami zaokrąglonymi po przekątnej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096000" y="2828925"/>
          <a:ext cx="1219200" cy="310402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lIns="0" tIns="0" rIns="0" bIns="0" rtlCol="0" anchor="ctr"/>
        <a:lstStyle/>
        <a:p>
          <a:pPr algn="ctr"/>
          <a:r>
            <a:rPr lang="pl-PL" sz="1000"/>
            <a:t>Krok 2.</a:t>
          </a:r>
          <a:r>
            <a:rPr lang="pl-PL" sz="1000" baseline="0"/>
            <a:t> Stopy zwrotu</a:t>
          </a:r>
          <a:endParaRPr lang="pl-PL" sz="10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msdn.microsoft.com/en-us/library/office/ff822194(v=office.15).aspx" TargetMode="External"/><Relationship Id="rId1" Type="http://schemas.openxmlformats.org/officeDocument/2006/relationships/hyperlink" Target="http://msdn.microsoft.com/en-us/library/office/jj692811(v=office.15).aspx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AL201"/>
  <sheetViews>
    <sheetView showGridLines="0" zoomScaleNormal="100" zoomScaleSheetLayoutView="85" workbookViewId="0"/>
  </sheetViews>
  <sheetFormatPr defaultColWidth="9.109375" defaultRowHeight="13.2"/>
  <cols>
    <col min="1" max="1" width="9.109375" style="1"/>
    <col min="2" max="2" width="9.6640625" style="1" bestFit="1" customWidth="1"/>
    <col min="3" max="3" width="9.109375" style="1"/>
    <col min="4" max="4" width="11.44140625" style="1" customWidth="1"/>
    <col min="5" max="5" width="13.6640625" style="1" customWidth="1"/>
    <col min="6" max="6" width="9.109375" style="1" customWidth="1"/>
    <col min="7" max="8" width="9.109375" style="1"/>
    <col min="9" max="10" width="9.109375" style="1" customWidth="1"/>
    <col min="11" max="16384" width="9.109375" style="1"/>
  </cols>
  <sheetData>
    <row r="1" spans="1:10" ht="15">
      <c r="A1" s="38" t="s">
        <v>235</v>
      </c>
    </row>
    <row r="2" spans="1:10" ht="17.399999999999999">
      <c r="B2" s="106" t="s">
        <v>92</v>
      </c>
      <c r="C2" s="106"/>
      <c r="D2" s="106"/>
      <c r="E2" s="106"/>
      <c r="F2" s="106"/>
      <c r="G2" s="106"/>
      <c r="H2" s="106"/>
      <c r="I2" s="106"/>
      <c r="J2" s="106"/>
    </row>
    <row r="4" spans="1:10">
      <c r="B4" s="1" t="s">
        <v>208</v>
      </c>
    </row>
    <row r="5" spans="1:10">
      <c r="B5" s="1" t="s">
        <v>209</v>
      </c>
    </row>
    <row r="7" spans="1:10">
      <c r="B7" s="7" t="s">
        <v>93</v>
      </c>
    </row>
    <row r="8" spans="1:10">
      <c r="B8" s="39"/>
      <c r="C8" s="73" t="s">
        <v>76</v>
      </c>
      <c r="D8" s="74" t="s">
        <v>65</v>
      </c>
      <c r="E8" s="75" t="s">
        <v>80</v>
      </c>
      <c r="F8" s="76" t="s">
        <v>67</v>
      </c>
      <c r="G8" s="76" t="s">
        <v>66</v>
      </c>
    </row>
    <row r="9" spans="1:10">
      <c r="C9" s="46">
        <v>1</v>
      </c>
      <c r="D9" s="43" t="s">
        <v>69</v>
      </c>
      <c r="E9" s="51">
        <v>27854</v>
      </c>
      <c r="F9" s="40" t="s">
        <v>70</v>
      </c>
      <c r="G9" s="40">
        <v>5</v>
      </c>
    </row>
    <row r="10" spans="1:10">
      <c r="C10" s="47">
        <v>2</v>
      </c>
      <c r="D10" s="44" t="s">
        <v>71</v>
      </c>
      <c r="E10" s="51">
        <v>31081</v>
      </c>
      <c r="F10" s="41" t="s">
        <v>68</v>
      </c>
      <c r="G10" s="41">
        <v>3</v>
      </c>
    </row>
    <row r="11" spans="1:10">
      <c r="C11" s="47">
        <v>3</v>
      </c>
      <c r="D11" s="44" t="s">
        <v>72</v>
      </c>
      <c r="E11" s="51">
        <v>34676</v>
      </c>
      <c r="F11" s="41" t="s">
        <v>68</v>
      </c>
      <c r="G11" s="41">
        <v>4</v>
      </c>
    </row>
    <row r="12" spans="1:10">
      <c r="C12" s="47">
        <v>4</v>
      </c>
      <c r="D12" s="44" t="s">
        <v>73</v>
      </c>
      <c r="E12" s="51">
        <v>29777</v>
      </c>
      <c r="F12" s="41" t="s">
        <v>70</v>
      </c>
      <c r="G12" s="41">
        <v>4</v>
      </c>
    </row>
    <row r="13" spans="1:10">
      <c r="C13" s="47">
        <v>5</v>
      </c>
      <c r="D13" s="44" t="s">
        <v>74</v>
      </c>
      <c r="E13" s="51">
        <v>31868</v>
      </c>
      <c r="F13" s="41" t="s">
        <v>70</v>
      </c>
      <c r="G13" s="41">
        <v>4</v>
      </c>
    </row>
    <row r="14" spans="1:10">
      <c r="C14" s="48">
        <v>6</v>
      </c>
      <c r="D14" s="45" t="s">
        <v>75</v>
      </c>
      <c r="E14" s="52">
        <v>34600</v>
      </c>
      <c r="F14" s="42" t="s">
        <v>70</v>
      </c>
      <c r="G14" s="42">
        <v>4.5</v>
      </c>
    </row>
    <row r="16" spans="1:10">
      <c r="B16" s="7" t="s">
        <v>87</v>
      </c>
    </row>
    <row r="17" spans="1:4">
      <c r="B17" s="3" t="s">
        <v>94</v>
      </c>
    </row>
    <row r="18" spans="1:4">
      <c r="B18" s="3" t="s">
        <v>99</v>
      </c>
    </row>
    <row r="19" spans="1:4">
      <c r="B19" s="3" t="s">
        <v>95</v>
      </c>
    </row>
    <row r="20" spans="1:4">
      <c r="B20" s="3" t="s">
        <v>96</v>
      </c>
    </row>
    <row r="21" spans="1:4">
      <c r="B21" s="3"/>
    </row>
    <row r="22" spans="1:4">
      <c r="B22" s="53" t="s">
        <v>97</v>
      </c>
    </row>
    <row r="23" spans="1:4">
      <c r="B23" s="54"/>
      <c r="C23" s="39" t="s">
        <v>77</v>
      </c>
      <c r="D23" s="1" t="s">
        <v>206</v>
      </c>
    </row>
    <row r="24" spans="1:4">
      <c r="B24" s="3"/>
    </row>
    <row r="25" spans="1:4">
      <c r="B25" s="53" t="s">
        <v>88</v>
      </c>
    </row>
    <row r="26" spans="1:4">
      <c r="A26" s="56"/>
      <c r="B26" s="54"/>
      <c r="C26" s="39" t="s">
        <v>77</v>
      </c>
      <c r="D26" s="1" t="s">
        <v>207</v>
      </c>
    </row>
    <row r="27" spans="1:4">
      <c r="B27" s="39"/>
      <c r="C27" s="39"/>
    </row>
    <row r="28" spans="1:4">
      <c r="B28" s="53" t="s">
        <v>89</v>
      </c>
    </row>
    <row r="29" spans="1:4">
      <c r="A29" s="56"/>
      <c r="B29" s="54"/>
      <c r="C29" s="39" t="s">
        <v>77</v>
      </c>
      <c r="D29" s="1" t="s">
        <v>210</v>
      </c>
    </row>
    <row r="31" spans="1:4">
      <c r="B31" s="7" t="s">
        <v>86</v>
      </c>
    </row>
    <row r="32" spans="1:4">
      <c r="B32" s="3" t="s">
        <v>98</v>
      </c>
    </row>
    <row r="33" spans="1:4">
      <c r="B33" s="3" t="s">
        <v>100</v>
      </c>
    </row>
    <row r="34" spans="1:4">
      <c r="B34" s="3" t="s">
        <v>101</v>
      </c>
    </row>
    <row r="35" spans="1:4">
      <c r="B35" s="3" t="s">
        <v>102</v>
      </c>
    </row>
    <row r="36" spans="1:4">
      <c r="B36" s="3"/>
    </row>
    <row r="37" spans="1:4">
      <c r="B37" s="53" t="s">
        <v>88</v>
      </c>
    </row>
    <row r="38" spans="1:4">
      <c r="A38" s="56"/>
      <c r="B38" s="54"/>
      <c r="C38" s="39" t="s">
        <v>77</v>
      </c>
      <c r="D38" s="1" t="s">
        <v>105</v>
      </c>
    </row>
    <row r="39" spans="1:4">
      <c r="B39" s="54"/>
      <c r="C39" s="39" t="s">
        <v>77</v>
      </c>
      <c r="D39" s="1" t="s">
        <v>106</v>
      </c>
    </row>
    <row r="41" spans="1:4">
      <c r="B41" s="53" t="s">
        <v>89</v>
      </c>
    </row>
    <row r="42" spans="1:4">
      <c r="B42" s="54"/>
      <c r="C42" s="39" t="s">
        <v>77</v>
      </c>
      <c r="D42" s="1" t="s">
        <v>107</v>
      </c>
    </row>
    <row r="43" spans="1:4">
      <c r="B43" s="54"/>
      <c r="C43" s="39" t="s">
        <v>77</v>
      </c>
      <c r="D43" s="1" t="s">
        <v>108</v>
      </c>
    </row>
    <row r="45" spans="1:4">
      <c r="B45" s="7" t="s">
        <v>79</v>
      </c>
    </row>
    <row r="46" spans="1:4">
      <c r="B46" s="3" t="s">
        <v>103</v>
      </c>
    </row>
    <row r="47" spans="1:4">
      <c r="B47" s="57" t="s">
        <v>104</v>
      </c>
    </row>
    <row r="49" spans="2:4">
      <c r="B49" s="35" t="s">
        <v>81</v>
      </c>
    </row>
    <row r="50" spans="2:4">
      <c r="B50" s="54"/>
      <c r="C50" s="39" t="s">
        <v>77</v>
      </c>
      <c r="D50" s="1" t="s">
        <v>111</v>
      </c>
    </row>
    <row r="51" spans="2:4">
      <c r="B51" s="59"/>
      <c r="C51" s="39"/>
    </row>
    <row r="52" spans="2:4">
      <c r="B52" s="35" t="s">
        <v>82</v>
      </c>
    </row>
    <row r="53" spans="2:4">
      <c r="B53" s="54"/>
      <c r="C53" s="39" t="s">
        <v>77</v>
      </c>
      <c r="D53" s="1" t="s">
        <v>112</v>
      </c>
    </row>
    <row r="54" spans="2:4">
      <c r="B54" s="59"/>
      <c r="C54" s="39"/>
    </row>
    <row r="55" spans="2:4">
      <c r="B55" s="35" t="s">
        <v>83</v>
      </c>
    </row>
    <row r="56" spans="2:4">
      <c r="B56" s="54"/>
      <c r="C56" s="39" t="s">
        <v>77</v>
      </c>
      <c r="D56" s="1" t="s">
        <v>113</v>
      </c>
    </row>
    <row r="58" spans="2:4">
      <c r="B58" s="7" t="s">
        <v>84</v>
      </c>
    </row>
    <row r="59" spans="2:4">
      <c r="B59" s="1" t="s">
        <v>110</v>
      </c>
    </row>
    <row r="60" spans="2:4">
      <c r="B60" s="1" t="s">
        <v>166</v>
      </c>
    </row>
    <row r="61" spans="2:4">
      <c r="B61" s="1" t="s">
        <v>167</v>
      </c>
    </row>
    <row r="62" spans="2:4">
      <c r="B62" s="57" t="s">
        <v>109</v>
      </c>
    </row>
    <row r="64" spans="2:4">
      <c r="B64" s="1" t="s">
        <v>236</v>
      </c>
    </row>
    <row r="65" spans="2:4">
      <c r="B65" s="1" t="s">
        <v>114</v>
      </c>
    </row>
    <row r="66" spans="2:4">
      <c r="B66" s="1" t="s">
        <v>115</v>
      </c>
    </row>
    <row r="67" spans="2:4">
      <c r="B67" s="1" t="s">
        <v>230</v>
      </c>
    </row>
    <row r="69" spans="2:4">
      <c r="B69" s="53" t="s">
        <v>85</v>
      </c>
    </row>
    <row r="70" spans="2:4">
      <c r="B70" s="55"/>
      <c r="C70" s="39" t="s">
        <v>77</v>
      </c>
      <c r="D70" s="1" t="s">
        <v>132</v>
      </c>
    </row>
    <row r="71" spans="2:4">
      <c r="B71" s="55"/>
      <c r="C71" s="39" t="s">
        <v>77</v>
      </c>
      <c r="D71" s="1" t="s">
        <v>131</v>
      </c>
    </row>
    <row r="72" spans="2:4">
      <c r="B72" s="55"/>
      <c r="C72" s="39" t="s">
        <v>77</v>
      </c>
      <c r="D72" s="1" t="s">
        <v>130</v>
      </c>
    </row>
    <row r="73" spans="2:4">
      <c r="B73" s="60"/>
      <c r="C73" s="39"/>
    </row>
    <row r="74" spans="2:4">
      <c r="B74" s="53" t="s">
        <v>127</v>
      </c>
    </row>
    <row r="75" spans="2:4">
      <c r="B75" s="54"/>
      <c r="C75" s="39" t="s">
        <v>77</v>
      </c>
      <c r="D75" s="1" t="s">
        <v>133</v>
      </c>
    </row>
    <row r="76" spans="2:4">
      <c r="B76" s="59"/>
      <c r="C76" s="39"/>
    </row>
    <row r="77" spans="2:4">
      <c r="B77" s="53" t="s">
        <v>126</v>
      </c>
    </row>
    <row r="78" spans="2:4">
      <c r="B78" s="54"/>
      <c r="C78" s="39" t="s">
        <v>77</v>
      </c>
      <c r="D78" s="1" t="s">
        <v>211</v>
      </c>
    </row>
    <row r="80" spans="2:4">
      <c r="B80" s="1" t="s">
        <v>116</v>
      </c>
    </row>
    <row r="81" spans="2:4">
      <c r="B81" s="1" t="s">
        <v>117</v>
      </c>
    </row>
    <row r="82" spans="2:4">
      <c r="B82" s="1" t="s">
        <v>212</v>
      </c>
    </row>
    <row r="83" spans="2:4">
      <c r="B83" s="53"/>
    </row>
    <row r="84" spans="2:4">
      <c r="B84" s="53" t="s">
        <v>85</v>
      </c>
    </row>
    <row r="85" spans="2:4">
      <c r="B85" s="55"/>
      <c r="C85" s="39" t="s">
        <v>77</v>
      </c>
      <c r="D85" s="1" t="s">
        <v>128</v>
      </c>
    </row>
    <row r="86" spans="2:4">
      <c r="B86" s="60"/>
      <c r="C86" s="39"/>
    </row>
    <row r="87" spans="2:4">
      <c r="B87" s="53" t="s">
        <v>127</v>
      </c>
    </row>
    <row r="88" spans="2:4">
      <c r="B88" s="54"/>
      <c r="C88" s="39" t="s">
        <v>77</v>
      </c>
      <c r="D88" s="1" t="s">
        <v>129</v>
      </c>
    </row>
    <row r="89" spans="2:4">
      <c r="B89" s="59"/>
      <c r="C89" s="39"/>
    </row>
    <row r="90" spans="2:4">
      <c r="B90" s="53" t="s">
        <v>126</v>
      </c>
    </row>
    <row r="91" spans="2:4">
      <c r="B91" s="54"/>
      <c r="C91" s="39" t="s">
        <v>77</v>
      </c>
      <c r="D91" s="1" t="s">
        <v>134</v>
      </c>
    </row>
    <row r="92" spans="2:4">
      <c r="B92" s="59"/>
      <c r="C92" s="39"/>
    </row>
    <row r="94" spans="2:4" ht="15.6">
      <c r="B94" s="58" t="s">
        <v>118</v>
      </c>
    </row>
    <row r="95" spans="2:4">
      <c r="B95" s="1" t="s">
        <v>168</v>
      </c>
    </row>
    <row r="96" spans="2:4">
      <c r="B96" s="1" t="s">
        <v>169</v>
      </c>
    </row>
    <row r="97" spans="2:38">
      <c r="B97" s="1" t="s">
        <v>135</v>
      </c>
    </row>
    <row r="99" spans="2:38">
      <c r="B99" s="61" t="s">
        <v>121</v>
      </c>
    </row>
    <row r="100" spans="2:38">
      <c r="B100" s="1" t="s">
        <v>64</v>
      </c>
    </row>
    <row r="101" spans="2:38">
      <c r="B101" s="7" t="s">
        <v>119</v>
      </c>
      <c r="C101" s="4" t="s">
        <v>239</v>
      </c>
    </row>
    <row r="102" spans="2:38">
      <c r="B102" s="1" t="s">
        <v>0</v>
      </c>
    </row>
    <row r="103" spans="2:38">
      <c r="C103" s="2" t="s">
        <v>11</v>
      </c>
    </row>
    <row r="104" spans="2:38">
      <c r="B104" s="1" t="s">
        <v>10</v>
      </c>
    </row>
    <row r="105" spans="2:38">
      <c r="C105" s="2" t="s">
        <v>12</v>
      </c>
    </row>
    <row r="106" spans="2:38">
      <c r="C106" s="2" t="s">
        <v>13</v>
      </c>
    </row>
    <row r="107" spans="2:38">
      <c r="C107" s="2" t="s">
        <v>14</v>
      </c>
    </row>
    <row r="108" spans="2:38">
      <c r="C108" s="2" t="s">
        <v>15</v>
      </c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</row>
    <row r="109" spans="2:38">
      <c r="B109" s="3" t="s">
        <v>16</v>
      </c>
      <c r="C109" s="2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</row>
    <row r="110" spans="2:38">
      <c r="B110" s="3"/>
      <c r="C110" s="62" t="s">
        <v>170</v>
      </c>
      <c r="D110" s="107" t="s">
        <v>136</v>
      </c>
      <c r="E110" s="108"/>
      <c r="F110" s="107" t="s">
        <v>34</v>
      </c>
      <c r="G110" s="109"/>
      <c r="H110" s="109"/>
      <c r="I110" s="109"/>
      <c r="J110" s="108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</row>
    <row r="111" spans="2:38">
      <c r="C111" s="10">
        <v>0</v>
      </c>
      <c r="D111" s="11" t="s">
        <v>17</v>
      </c>
      <c r="E111" s="8"/>
      <c r="F111" s="12" t="s">
        <v>37</v>
      </c>
      <c r="G111" s="9"/>
      <c r="H111" s="9"/>
      <c r="I111" s="9"/>
      <c r="J111" s="8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</row>
    <row r="112" spans="2:38">
      <c r="C112" s="13">
        <v>1</v>
      </c>
      <c r="D112" s="14" t="s">
        <v>18</v>
      </c>
      <c r="E112" s="15"/>
      <c r="F112" s="16" t="s">
        <v>36</v>
      </c>
      <c r="G112" s="17"/>
      <c r="H112" s="17"/>
      <c r="I112" s="17"/>
      <c r="J112" s="15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</row>
    <row r="113" spans="2:38">
      <c r="C113" s="13">
        <v>2</v>
      </c>
      <c r="D113" s="14" t="s">
        <v>19</v>
      </c>
      <c r="E113" s="15"/>
      <c r="F113" s="16" t="s">
        <v>35</v>
      </c>
      <c r="G113" s="17"/>
      <c r="H113" s="17"/>
      <c r="I113" s="17"/>
      <c r="J113" s="15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</row>
    <row r="114" spans="2:38">
      <c r="C114" s="13">
        <v>3</v>
      </c>
      <c r="D114" s="14" t="s">
        <v>20</v>
      </c>
      <c r="E114" s="15"/>
      <c r="F114" s="16" t="s">
        <v>38</v>
      </c>
      <c r="G114" s="17"/>
      <c r="H114" s="17"/>
      <c r="I114" s="17"/>
      <c r="J114" s="15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</row>
    <row r="115" spans="2:38">
      <c r="C115" s="13">
        <v>4</v>
      </c>
      <c r="D115" s="14" t="s">
        <v>21</v>
      </c>
      <c r="E115" s="15"/>
      <c r="F115" s="16" t="s">
        <v>39</v>
      </c>
      <c r="G115" s="17"/>
      <c r="H115" s="17"/>
      <c r="I115" s="17"/>
      <c r="J115" s="15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</row>
    <row r="116" spans="2:38">
      <c r="C116" s="13">
        <v>5</v>
      </c>
      <c r="D116" s="14" t="s">
        <v>22</v>
      </c>
      <c r="E116" s="15"/>
      <c r="F116" s="16" t="s">
        <v>40</v>
      </c>
      <c r="G116" s="17"/>
      <c r="H116" s="17"/>
      <c r="I116" s="17"/>
      <c r="J116" s="15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</row>
    <row r="117" spans="2:38">
      <c r="C117" s="10">
        <v>16</v>
      </c>
      <c r="D117" s="11" t="s">
        <v>23</v>
      </c>
      <c r="E117" s="8"/>
      <c r="F117" s="12" t="s">
        <v>41</v>
      </c>
      <c r="G117" s="9"/>
      <c r="H117" s="9"/>
      <c r="I117" s="9"/>
      <c r="J117" s="8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2:38">
      <c r="C118" s="13">
        <v>32</v>
      </c>
      <c r="D118" s="14" t="s">
        <v>24</v>
      </c>
      <c r="E118" s="15"/>
      <c r="F118" s="16" t="s">
        <v>42</v>
      </c>
      <c r="G118" s="17"/>
      <c r="H118" s="17"/>
      <c r="I118" s="17"/>
      <c r="J118" s="15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2:38">
      <c r="C119" s="13">
        <v>48</v>
      </c>
      <c r="D119" s="14" t="s">
        <v>25</v>
      </c>
      <c r="E119" s="15"/>
      <c r="F119" s="16" t="s">
        <v>43</v>
      </c>
      <c r="G119" s="17"/>
      <c r="H119" s="17"/>
      <c r="I119" s="17"/>
      <c r="J119" s="15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2:38">
      <c r="C120" s="18">
        <v>64</v>
      </c>
      <c r="D120" s="19" t="s">
        <v>26</v>
      </c>
      <c r="E120" s="20"/>
      <c r="F120" s="21" t="s">
        <v>44</v>
      </c>
      <c r="G120" s="22"/>
      <c r="H120" s="22"/>
      <c r="I120" s="22"/>
      <c r="J120" s="20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2:38">
      <c r="C121" s="13">
        <v>0</v>
      </c>
      <c r="D121" s="14" t="s">
        <v>27</v>
      </c>
      <c r="E121" s="15"/>
      <c r="F121" s="16" t="s">
        <v>45</v>
      </c>
      <c r="G121" s="17"/>
      <c r="H121" s="17"/>
      <c r="I121" s="17"/>
      <c r="J121" s="15"/>
      <c r="T121" s="23"/>
      <c r="U121" s="23"/>
      <c r="V121" s="23"/>
      <c r="W121" s="23"/>
      <c r="X121" s="23"/>
      <c r="Y121" s="49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2:38">
      <c r="C122" s="13">
        <v>256</v>
      </c>
      <c r="D122" s="14" t="s">
        <v>28</v>
      </c>
      <c r="E122" s="15"/>
      <c r="F122" s="16" t="s">
        <v>46</v>
      </c>
      <c r="G122" s="17"/>
      <c r="H122" s="17"/>
      <c r="I122" s="17"/>
      <c r="J122" s="15"/>
      <c r="T122" s="23"/>
      <c r="U122" s="23"/>
      <c r="V122" s="23"/>
      <c r="W122" s="23"/>
      <c r="X122" s="23"/>
      <c r="Y122" s="49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</row>
    <row r="123" spans="2:38">
      <c r="C123" s="13">
        <v>512</v>
      </c>
      <c r="D123" s="14" t="s">
        <v>29</v>
      </c>
      <c r="E123" s="15"/>
      <c r="F123" s="16" t="s">
        <v>47</v>
      </c>
      <c r="G123" s="17"/>
      <c r="H123" s="17"/>
      <c r="I123" s="17"/>
      <c r="J123" s="15"/>
      <c r="T123" s="23"/>
      <c r="U123" s="23"/>
      <c r="V123" s="23"/>
      <c r="W123" s="23"/>
      <c r="X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</row>
    <row r="124" spans="2:38">
      <c r="C124" s="18">
        <v>768</v>
      </c>
      <c r="D124" s="19" t="s">
        <v>30</v>
      </c>
      <c r="E124" s="20"/>
      <c r="F124" s="21" t="s">
        <v>48</v>
      </c>
      <c r="G124" s="22"/>
      <c r="H124" s="22"/>
      <c r="I124" s="22"/>
      <c r="J124" s="20"/>
      <c r="T124" s="23"/>
      <c r="U124" s="23"/>
      <c r="V124" s="23"/>
      <c r="W124" s="23"/>
      <c r="X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</row>
    <row r="125" spans="2:38">
      <c r="C125" s="10">
        <v>4096</v>
      </c>
      <c r="D125" s="11" t="s">
        <v>31</v>
      </c>
      <c r="E125" s="8"/>
      <c r="F125" s="12" t="s">
        <v>137</v>
      </c>
      <c r="G125" s="9"/>
      <c r="H125" s="9"/>
      <c r="I125" s="9"/>
      <c r="J125" s="8"/>
      <c r="T125" s="23"/>
      <c r="U125" s="23"/>
      <c r="V125" s="23"/>
      <c r="W125" s="23"/>
      <c r="X125" s="23"/>
      <c r="Y125" s="49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</row>
    <row r="126" spans="2:38">
      <c r="C126" s="18"/>
      <c r="D126" s="19"/>
      <c r="E126" s="20"/>
      <c r="F126" s="21" t="s">
        <v>138</v>
      </c>
      <c r="G126" s="22"/>
      <c r="H126" s="22"/>
      <c r="I126" s="22"/>
      <c r="J126" s="20"/>
      <c r="T126" s="23"/>
      <c r="U126" s="23"/>
      <c r="V126" s="23"/>
      <c r="W126" s="23"/>
      <c r="X126" s="23"/>
      <c r="Y126" s="49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</row>
    <row r="127" spans="2:38">
      <c r="C127" s="24"/>
      <c r="D127" s="25"/>
      <c r="F127" s="25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</row>
    <row r="128" spans="2:38">
      <c r="B128" s="7" t="s">
        <v>1</v>
      </c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</row>
    <row r="129" spans="2:38">
      <c r="B129" s="7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</row>
    <row r="130" spans="2:38">
      <c r="B130" s="7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</row>
    <row r="131" spans="2:38">
      <c r="B131" s="7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2:38">
      <c r="B132" s="7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</row>
    <row r="133" spans="2:38">
      <c r="B133" s="7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</row>
    <row r="134" spans="2:38">
      <c r="B134" s="7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</row>
    <row r="135" spans="2:38">
      <c r="B135" s="7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</row>
    <row r="136" spans="2:38">
      <c r="B136" s="7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</row>
    <row r="137" spans="2:38">
      <c r="B137" s="7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</row>
    <row r="138" spans="2:38">
      <c r="B138" s="7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</row>
    <row r="139" spans="2:38">
      <c r="B139" s="7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</row>
    <row r="140" spans="2:38">
      <c r="B140" s="7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</row>
    <row r="141" spans="2:38">
      <c r="B141" s="5"/>
      <c r="C141" s="64" t="s">
        <v>146</v>
      </c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</row>
    <row r="142" spans="2:38">
      <c r="B142" s="5"/>
      <c r="C142" s="65" t="s">
        <v>139</v>
      </c>
      <c r="O142" s="50" t="s">
        <v>78</v>
      </c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</row>
    <row r="143" spans="2:38">
      <c r="B143" s="5"/>
      <c r="C143" s="65" t="s">
        <v>140</v>
      </c>
      <c r="O143" s="49" t="s">
        <v>49</v>
      </c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</row>
    <row r="144" spans="2:38">
      <c r="B144" s="5"/>
      <c r="C144" s="63" t="s">
        <v>147</v>
      </c>
      <c r="O144" s="50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</row>
    <row r="145" spans="2:38">
      <c r="B145" s="36"/>
      <c r="C145" s="63" t="s">
        <v>141</v>
      </c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</row>
    <row r="146" spans="2:38">
      <c r="C146" s="6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</row>
    <row r="147" spans="2:38">
      <c r="C147" s="63" t="s">
        <v>148</v>
      </c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</row>
    <row r="148" spans="2:38">
      <c r="C148" s="63" t="s">
        <v>142</v>
      </c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</row>
    <row r="149" spans="2:38">
      <c r="C149" s="63" t="s">
        <v>143</v>
      </c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</row>
    <row r="150" spans="2:38">
      <c r="C150" s="63" t="s">
        <v>144</v>
      </c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</row>
    <row r="151" spans="2:38">
      <c r="C151" s="63" t="s">
        <v>145</v>
      </c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</row>
    <row r="152" spans="2:38">
      <c r="C152" s="64" t="s">
        <v>149</v>
      </c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</row>
    <row r="153" spans="2:38"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</row>
    <row r="154" spans="2:38">
      <c r="B154" s="61" t="s">
        <v>122</v>
      </c>
    </row>
    <row r="155" spans="2:38">
      <c r="B155" s="1" t="s">
        <v>150</v>
      </c>
    </row>
    <row r="156" spans="2:38">
      <c r="B156" s="7" t="s">
        <v>120</v>
      </c>
      <c r="C156" s="4" t="s">
        <v>240</v>
      </c>
    </row>
    <row r="157" spans="2:38">
      <c r="B157" s="3" t="s">
        <v>237</v>
      </c>
    </row>
    <row r="158" spans="2:38">
      <c r="B158" s="1" t="s">
        <v>123</v>
      </c>
    </row>
    <row r="160" spans="2:38">
      <c r="B160" s="7" t="s">
        <v>1</v>
      </c>
    </row>
    <row r="162" spans="2:3">
      <c r="B162" s="3"/>
    </row>
    <row r="164" spans="2:3">
      <c r="B164" s="26"/>
    </row>
    <row r="165" spans="2:3">
      <c r="B165" s="3"/>
    </row>
    <row r="166" spans="2:3">
      <c r="B166" s="37"/>
    </row>
    <row r="172" spans="2:3">
      <c r="C172" s="64" t="s">
        <v>156</v>
      </c>
    </row>
    <row r="173" spans="2:3">
      <c r="C173" s="65" t="s">
        <v>151</v>
      </c>
    </row>
    <row r="174" spans="2:3">
      <c r="C174" s="65" t="s">
        <v>152</v>
      </c>
    </row>
    <row r="175" spans="2:3">
      <c r="C175" s="63" t="s">
        <v>147</v>
      </c>
    </row>
    <row r="176" spans="2:3">
      <c r="C176" s="63" t="s">
        <v>153</v>
      </c>
    </row>
    <row r="177" spans="2:3">
      <c r="C177" s="63" t="s">
        <v>154</v>
      </c>
    </row>
    <row r="178" spans="2:3">
      <c r="C178" s="63" t="s">
        <v>148</v>
      </c>
    </row>
    <row r="179" spans="2:3">
      <c r="C179" s="63" t="s">
        <v>157</v>
      </c>
    </row>
    <row r="180" spans="2:3">
      <c r="C180" s="63" t="s">
        <v>158</v>
      </c>
    </row>
    <row r="181" spans="2:3">
      <c r="C181" s="63" t="s">
        <v>159</v>
      </c>
    </row>
    <row r="182" spans="2:3">
      <c r="C182" s="63" t="s">
        <v>155</v>
      </c>
    </row>
    <row r="183" spans="2:3">
      <c r="C183" s="64" t="s">
        <v>149</v>
      </c>
    </row>
    <row r="185" spans="2:3">
      <c r="B185" s="61" t="s">
        <v>160</v>
      </c>
      <c r="C185" s="2"/>
    </row>
    <row r="186" spans="2:3">
      <c r="B186" s="6" t="s">
        <v>161</v>
      </c>
      <c r="C186" s="2"/>
    </row>
    <row r="187" spans="2:3">
      <c r="B187" s="6" t="s">
        <v>162</v>
      </c>
      <c r="C187" s="2"/>
    </row>
    <row r="188" spans="2:3">
      <c r="B188" s="6" t="s">
        <v>163</v>
      </c>
      <c r="C188" s="2"/>
    </row>
    <row r="189" spans="2:3">
      <c r="B189" s="6"/>
      <c r="C189" s="2" t="s">
        <v>164</v>
      </c>
    </row>
    <row r="190" spans="2:3">
      <c r="B190" s="4"/>
      <c r="C190" s="2" t="s">
        <v>165</v>
      </c>
    </row>
    <row r="191" spans="2:3">
      <c r="B191" s="4"/>
      <c r="C191" s="2"/>
    </row>
    <row r="192" spans="2:3">
      <c r="B192" s="3" t="s">
        <v>124</v>
      </c>
      <c r="C192" s="2"/>
    </row>
    <row r="193" spans="1:8">
      <c r="B193" s="3" t="s">
        <v>125</v>
      </c>
      <c r="C193" s="2"/>
    </row>
    <row r="194" spans="1:8">
      <c r="B194" s="3"/>
      <c r="C194" s="27" t="s">
        <v>32</v>
      </c>
      <c r="D194" s="28" t="s">
        <v>33</v>
      </c>
      <c r="E194" s="29"/>
      <c r="F194" s="28" t="s">
        <v>34</v>
      </c>
      <c r="G194" s="30"/>
      <c r="H194" s="29"/>
    </row>
    <row r="195" spans="1:8">
      <c r="C195" s="31">
        <v>1</v>
      </c>
      <c r="D195" s="25" t="s">
        <v>50</v>
      </c>
      <c r="E195" s="15"/>
      <c r="F195" s="14" t="s">
        <v>57</v>
      </c>
      <c r="G195" s="17"/>
      <c r="H195" s="15"/>
    </row>
    <row r="196" spans="1:8">
      <c r="A196" s="25"/>
      <c r="B196" s="25"/>
      <c r="C196" s="32">
        <v>2</v>
      </c>
      <c r="D196" s="25" t="s">
        <v>51</v>
      </c>
      <c r="E196" s="15"/>
      <c r="F196" s="14" t="s">
        <v>58</v>
      </c>
      <c r="G196" s="17"/>
      <c r="H196" s="15"/>
    </row>
    <row r="197" spans="1:8">
      <c r="A197" s="25"/>
      <c r="B197" s="25"/>
      <c r="C197" s="32">
        <v>3</v>
      </c>
      <c r="D197" s="25" t="s">
        <v>52</v>
      </c>
      <c r="E197" s="15"/>
      <c r="F197" s="14" t="s">
        <v>59</v>
      </c>
      <c r="G197" s="17"/>
      <c r="H197" s="15"/>
    </row>
    <row r="198" spans="1:8">
      <c r="A198" s="25"/>
      <c r="B198" s="25"/>
      <c r="C198" s="32">
        <v>4</v>
      </c>
      <c r="D198" s="25" t="s">
        <v>53</v>
      </c>
      <c r="E198" s="15"/>
      <c r="F198" s="14" t="s">
        <v>60</v>
      </c>
      <c r="G198" s="17"/>
      <c r="H198" s="15"/>
    </row>
    <row r="199" spans="1:8">
      <c r="A199" s="25"/>
      <c r="B199" s="25"/>
      <c r="C199" s="32">
        <v>5</v>
      </c>
      <c r="D199" s="25" t="s">
        <v>54</v>
      </c>
      <c r="E199" s="15"/>
      <c r="F199" s="14" t="s">
        <v>61</v>
      </c>
      <c r="G199" s="17"/>
      <c r="H199" s="15"/>
    </row>
    <row r="200" spans="1:8">
      <c r="A200" s="25"/>
      <c r="B200" s="25"/>
      <c r="C200" s="32">
        <v>6</v>
      </c>
      <c r="D200" s="25" t="s">
        <v>55</v>
      </c>
      <c r="E200" s="15"/>
      <c r="F200" s="14" t="s">
        <v>62</v>
      </c>
      <c r="G200" s="17"/>
      <c r="H200" s="15"/>
    </row>
    <row r="201" spans="1:8">
      <c r="C201" s="33">
        <v>7</v>
      </c>
      <c r="D201" s="34" t="s">
        <v>56</v>
      </c>
      <c r="E201" s="20"/>
      <c r="F201" s="34" t="s">
        <v>63</v>
      </c>
      <c r="G201" s="22"/>
      <c r="H201" s="20"/>
    </row>
  </sheetData>
  <mergeCells count="3">
    <mergeCell ref="B2:J2"/>
    <mergeCell ref="D110:E110"/>
    <mergeCell ref="F110:J110"/>
  </mergeCells>
  <hyperlinks>
    <hyperlink ref="B47" r:id="rId1" xr:uid="{00000000-0004-0000-0000-000000000000}"/>
    <hyperlink ref="B62" r:id="rId2" xr:uid="{00000000-0004-0000-0000-000001000000}"/>
  </hyperlinks>
  <pageMargins left="0.75" right="0.75" top="1" bottom="1" header="0.5" footer="0.5"/>
  <pageSetup paperSize="9" scale="51" orientation="portrait" r:id="rId3"/>
  <headerFooter alignWithMargins="0">
    <oddFooter>&amp;Lã LabMasters.pl</oddFooter>
  </headerFooter>
  <rowBreaks count="3" manualBreakCount="3">
    <brk id="57" max="9" man="1"/>
    <brk id="98" max="9" man="1"/>
    <brk id="153" max="9" man="1"/>
  </rowBreaks>
  <colBreaks count="1" manualBreakCount="1">
    <brk id="16" max="1048575" man="1"/>
  </colBreak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H21"/>
  <sheetViews>
    <sheetView showGridLines="0" zoomScaleNormal="100" workbookViewId="0">
      <selection activeCell="H16" sqref="H16"/>
    </sheetView>
  </sheetViews>
  <sheetFormatPr defaultColWidth="9.109375" defaultRowHeight="13.2"/>
  <cols>
    <col min="1" max="2" width="9.109375" style="80"/>
    <col min="3" max="3" width="11.109375" style="80" bestFit="1" customWidth="1"/>
    <col min="4" max="4" width="13.5546875" style="80" bestFit="1" customWidth="1"/>
    <col min="5" max="6" width="9.109375" style="80"/>
    <col min="7" max="7" width="9.5546875" style="80" bestFit="1" customWidth="1"/>
    <col min="8" max="16384" width="9.109375" style="80"/>
  </cols>
  <sheetData>
    <row r="1" spans="1:8" s="17" customFormat="1">
      <c r="A1" s="77"/>
    </row>
    <row r="2" spans="1:8" s="78" customFormat="1" ht="18.75" customHeight="1">
      <c r="B2" s="79" t="s">
        <v>234</v>
      </c>
    </row>
    <row r="4" spans="1:8">
      <c r="B4" s="81" t="s">
        <v>182</v>
      </c>
    </row>
    <row r="5" spans="1:8">
      <c r="B5" s="81" t="s">
        <v>213</v>
      </c>
    </row>
    <row r="6" spans="1:8">
      <c r="B6" s="81" t="s">
        <v>183</v>
      </c>
    </row>
    <row r="7" spans="1:8">
      <c r="B7" s="81"/>
    </row>
    <row r="8" spans="1:8">
      <c r="B8" s="81" t="s">
        <v>185</v>
      </c>
    </row>
    <row r="9" spans="1:8">
      <c r="B9" s="81" t="s">
        <v>186</v>
      </c>
    </row>
    <row r="10" spans="1:8">
      <c r="B10" s="81"/>
    </row>
    <row r="11" spans="1:8">
      <c r="B11" s="81" t="s">
        <v>184</v>
      </c>
    </row>
    <row r="12" spans="1:8">
      <c r="B12" s="81" t="s">
        <v>187</v>
      </c>
    </row>
    <row r="13" spans="1:8">
      <c r="B13" s="81"/>
    </row>
    <row r="14" spans="1:8">
      <c r="B14" s="82" t="s">
        <v>93</v>
      </c>
      <c r="G14" s="110" t="s">
        <v>179</v>
      </c>
      <c r="H14" s="111"/>
    </row>
    <row r="15" spans="1:8">
      <c r="B15" s="86" t="s">
        <v>76</v>
      </c>
      <c r="C15" s="87" t="s">
        <v>65</v>
      </c>
      <c r="D15" s="88" t="s">
        <v>80</v>
      </c>
      <c r="E15" s="89" t="s">
        <v>67</v>
      </c>
      <c r="F15" s="90" t="s">
        <v>66</v>
      </c>
      <c r="G15" s="91" t="s">
        <v>180</v>
      </c>
      <c r="H15" s="92" t="s">
        <v>181</v>
      </c>
    </row>
    <row r="16" spans="1:8">
      <c r="B16" s="46">
        <v>1</v>
      </c>
      <c r="C16" s="43" t="s">
        <v>69</v>
      </c>
      <c r="D16" s="51">
        <v>27854</v>
      </c>
      <c r="E16" s="40" t="s">
        <v>70</v>
      </c>
      <c r="F16" s="40">
        <v>5</v>
      </c>
      <c r="G16" s="66">
        <f t="shared" ref="G16:G21" ca="1" si="0">INT((YEARFRAC(D16,TODAY(),1)))</f>
        <v>44</v>
      </c>
      <c r="H16" s="67"/>
    </row>
    <row r="17" spans="2:8">
      <c r="B17" s="47">
        <v>2</v>
      </c>
      <c r="C17" s="44" t="s">
        <v>71</v>
      </c>
      <c r="D17" s="51">
        <v>31081</v>
      </c>
      <c r="E17" s="41" t="s">
        <v>68</v>
      </c>
      <c r="F17" s="41">
        <v>3</v>
      </c>
      <c r="G17" s="72">
        <f t="shared" ca="1" si="0"/>
        <v>35</v>
      </c>
      <c r="H17" s="69"/>
    </row>
    <row r="18" spans="2:8">
      <c r="B18" s="47">
        <v>3</v>
      </c>
      <c r="C18" s="44" t="s">
        <v>72</v>
      </c>
      <c r="D18" s="51">
        <v>34676</v>
      </c>
      <c r="E18" s="41" t="s">
        <v>68</v>
      </c>
      <c r="F18" s="41">
        <v>4</v>
      </c>
      <c r="G18" s="68">
        <f t="shared" ca="1" si="0"/>
        <v>25</v>
      </c>
      <c r="H18" s="69"/>
    </row>
    <row r="19" spans="2:8">
      <c r="B19" s="47">
        <v>4</v>
      </c>
      <c r="C19" s="44" t="s">
        <v>73</v>
      </c>
      <c r="D19" s="51">
        <v>29777</v>
      </c>
      <c r="E19" s="41" t="s">
        <v>70</v>
      </c>
      <c r="F19" s="41">
        <v>4</v>
      </c>
      <c r="G19" s="68">
        <f t="shared" ca="1" si="0"/>
        <v>38</v>
      </c>
      <c r="H19" s="69"/>
    </row>
    <row r="20" spans="2:8">
      <c r="B20" s="47">
        <v>5</v>
      </c>
      <c r="C20" s="44" t="s">
        <v>74</v>
      </c>
      <c r="D20" s="51">
        <v>31868</v>
      </c>
      <c r="E20" s="41" t="s">
        <v>70</v>
      </c>
      <c r="F20" s="41">
        <v>4</v>
      </c>
      <c r="G20" s="68">
        <f t="shared" ca="1" si="0"/>
        <v>33</v>
      </c>
      <c r="H20" s="69"/>
    </row>
    <row r="21" spans="2:8">
      <c r="B21" s="48">
        <v>6</v>
      </c>
      <c r="C21" s="45" t="s">
        <v>75</v>
      </c>
      <c r="D21" s="52">
        <v>34600</v>
      </c>
      <c r="E21" s="42" t="s">
        <v>70</v>
      </c>
      <c r="F21" s="42">
        <v>4.5</v>
      </c>
      <c r="G21" s="70">
        <f t="shared" ca="1" si="0"/>
        <v>25</v>
      </c>
      <c r="H21" s="71"/>
    </row>
  </sheetData>
  <mergeCells count="1">
    <mergeCell ref="G14:H14"/>
  </mergeCells>
  <dataValidations count="1">
    <dataValidation type="list" allowBlank="1" showInputMessage="1" showErrorMessage="1" sqref="C15" xr:uid="{00000000-0002-0000-0100-000000000000}">
      <formula1>"TAK,NIE"</formula1>
    </dataValidation>
  </dataValidations>
  <pageMargins left="0.75" right="0.75" top="1" bottom="1" header="0.5" footer="0.5"/>
  <pageSetup paperSize="9" scale="99" orientation="portrait" horizontalDpi="4294967293" r:id="rId1"/>
  <headerFooter alignWithMargins="0"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G21"/>
  <sheetViews>
    <sheetView showGridLines="0" zoomScaleNormal="100" workbookViewId="0">
      <selection activeCell="E16" sqref="E16"/>
    </sheetView>
  </sheetViews>
  <sheetFormatPr defaultColWidth="9.109375" defaultRowHeight="13.2"/>
  <cols>
    <col min="1" max="1" width="9.109375" style="80"/>
    <col min="2" max="2" width="15.44140625" style="80" customWidth="1"/>
    <col min="3" max="16384" width="9.109375" style="80"/>
  </cols>
  <sheetData>
    <row r="1" spans="1:7" s="17" customFormat="1">
      <c r="A1" s="77"/>
    </row>
    <row r="2" spans="1:7" s="78" customFormat="1" ht="18.75" customHeight="1">
      <c r="B2" s="79" t="s">
        <v>233</v>
      </c>
    </row>
    <row r="4" spans="1:7">
      <c r="B4" s="81" t="s">
        <v>174</v>
      </c>
    </row>
    <row r="5" spans="1:7">
      <c r="B5" s="81" t="s">
        <v>173</v>
      </c>
    </row>
    <row r="7" spans="1:7">
      <c r="B7" s="81" t="s">
        <v>175</v>
      </c>
    </row>
    <row r="8" spans="1:7">
      <c r="B8" s="81" t="s">
        <v>176</v>
      </c>
    </row>
    <row r="9" spans="1:7">
      <c r="B9" s="81" t="s">
        <v>178</v>
      </c>
    </row>
    <row r="10" spans="1:7">
      <c r="B10" s="81" t="s">
        <v>177</v>
      </c>
    </row>
    <row r="11" spans="1:7">
      <c r="B11" s="81"/>
    </row>
    <row r="12" spans="1:7">
      <c r="B12" s="81"/>
    </row>
    <row r="14" spans="1:7">
      <c r="B14" s="82" t="s">
        <v>93</v>
      </c>
    </row>
    <row r="15" spans="1:7" ht="26.4">
      <c r="B15" s="98" t="s">
        <v>2</v>
      </c>
      <c r="C15" s="99" t="s">
        <v>3</v>
      </c>
      <c r="D15" s="100" t="s">
        <v>4</v>
      </c>
      <c r="E15" s="100" t="s">
        <v>4</v>
      </c>
      <c r="F15" s="101" t="s">
        <v>172</v>
      </c>
      <c r="G15" s="112">
        <v>0.25</v>
      </c>
    </row>
    <row r="16" spans="1:7">
      <c r="B16" s="93" t="s">
        <v>5</v>
      </c>
      <c r="C16" s="83">
        <v>1500</v>
      </c>
      <c r="D16" s="67">
        <v>1125</v>
      </c>
      <c r="E16" s="67">
        <f t="shared" ref="E16:E20" si="0">C16*(1-G15)</f>
        <v>1125</v>
      </c>
    </row>
    <row r="17" spans="2:5">
      <c r="B17" s="94" t="s">
        <v>6</v>
      </c>
      <c r="C17" s="84">
        <v>1200</v>
      </c>
      <c r="D17" s="69">
        <v>900</v>
      </c>
      <c r="E17" s="69">
        <f t="shared" si="0"/>
        <v>1200</v>
      </c>
    </row>
    <row r="18" spans="2:5">
      <c r="B18" s="94" t="s">
        <v>7</v>
      </c>
      <c r="C18" s="84">
        <v>2500</v>
      </c>
      <c r="D18" s="69">
        <v>1875</v>
      </c>
      <c r="E18" s="69">
        <f t="shared" si="0"/>
        <v>2500</v>
      </c>
    </row>
    <row r="19" spans="2:5">
      <c r="B19" s="94" t="s">
        <v>8</v>
      </c>
      <c r="C19" s="84">
        <v>1700</v>
      </c>
      <c r="D19" s="69">
        <v>1275</v>
      </c>
      <c r="E19" s="69">
        <f t="shared" si="0"/>
        <v>1700</v>
      </c>
    </row>
    <row r="20" spans="2:5">
      <c r="B20" s="95" t="s">
        <v>9</v>
      </c>
      <c r="C20" s="85">
        <v>2100</v>
      </c>
      <c r="D20" s="71">
        <v>1575</v>
      </c>
      <c r="E20" s="71">
        <f t="shared" si="0"/>
        <v>2100</v>
      </c>
    </row>
    <row r="21" spans="2:5">
      <c r="B21" s="96"/>
      <c r="C21" s="97"/>
      <c r="D21" s="97"/>
    </row>
  </sheetData>
  <phoneticPr fontId="7" type="noConversion"/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A1:D24"/>
  <sheetViews>
    <sheetView showGridLines="0" tabSelected="1" zoomScaleNormal="100" workbookViewId="0"/>
  </sheetViews>
  <sheetFormatPr defaultColWidth="9.109375" defaultRowHeight="13.2"/>
  <cols>
    <col min="1" max="16384" width="9.109375" style="80"/>
  </cols>
  <sheetData>
    <row r="1" spans="1:4" s="17" customFormat="1">
      <c r="A1" s="77"/>
    </row>
    <row r="2" spans="1:4" s="78" customFormat="1" ht="18.75" customHeight="1">
      <c r="B2" s="79" t="s">
        <v>232</v>
      </c>
    </row>
    <row r="4" spans="1:4">
      <c r="B4" s="81" t="s">
        <v>90</v>
      </c>
    </row>
    <row r="5" spans="1:4">
      <c r="B5" s="81" t="s">
        <v>91</v>
      </c>
    </row>
    <row r="7" spans="1:4">
      <c r="B7" s="82" t="s">
        <v>171</v>
      </c>
    </row>
    <row r="8" spans="1:4">
      <c r="B8" s="102"/>
      <c r="C8" s="103"/>
      <c r="D8" s="103"/>
    </row>
    <row r="21" spans="2:2">
      <c r="B21" s="82" t="s">
        <v>214</v>
      </c>
    </row>
    <row r="22" spans="2:2">
      <c r="B22" s="81" t="s">
        <v>215</v>
      </c>
    </row>
    <row r="23" spans="2:2">
      <c r="B23" s="81" t="s">
        <v>216</v>
      </c>
    </row>
    <row r="24" spans="2:2">
      <c r="B24" s="81" t="s">
        <v>217</v>
      </c>
    </row>
  </sheetData>
  <phoneticPr fontId="7" type="noConversion"/>
  <dataValidations count="1">
    <dataValidation type="list" allowBlank="1" showInputMessage="1" showErrorMessage="1" sqref="C8" xr:uid="{00000000-0002-0000-0300-000000000000}">
      <formula1>"TAK,NIE"</formula1>
    </dataValidation>
  </dataValidations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:K37"/>
  <sheetViews>
    <sheetView showGridLines="0" zoomScaleNormal="100" workbookViewId="0"/>
  </sheetViews>
  <sheetFormatPr defaultColWidth="9.109375" defaultRowHeight="13.2"/>
  <cols>
    <col min="1" max="1" width="9.109375" style="80"/>
    <col min="2" max="2" width="9.109375" style="80" customWidth="1"/>
    <col min="3" max="10" width="9.109375" style="80"/>
    <col min="11" max="11" width="9.109375" style="80" customWidth="1"/>
    <col min="12" max="16384" width="9.109375" style="80"/>
  </cols>
  <sheetData>
    <row r="1" spans="1:3" s="17" customFormat="1">
      <c r="A1" s="77"/>
    </row>
    <row r="2" spans="1:3" s="78" customFormat="1" ht="18.75" customHeight="1">
      <c r="B2" s="79" t="s">
        <v>231</v>
      </c>
    </row>
    <row r="4" spans="1:3">
      <c r="B4" s="81" t="s">
        <v>188</v>
      </c>
    </row>
    <row r="5" spans="1:3">
      <c r="B5" s="80" t="s">
        <v>189</v>
      </c>
    </row>
    <row r="6" spans="1:3">
      <c r="B6" s="81" t="s">
        <v>228</v>
      </c>
    </row>
    <row r="8" spans="1:3">
      <c r="B8" s="82" t="s">
        <v>205</v>
      </c>
    </row>
    <row r="9" spans="1:3">
      <c r="B9" s="80" t="s">
        <v>190</v>
      </c>
      <c r="C9" s="81" t="s">
        <v>194</v>
      </c>
    </row>
    <row r="10" spans="1:3">
      <c r="B10" s="81"/>
      <c r="C10" s="80" t="s">
        <v>191</v>
      </c>
    </row>
    <row r="11" spans="1:3">
      <c r="C11" s="80" t="s">
        <v>192</v>
      </c>
    </row>
    <row r="12" spans="1:3">
      <c r="C12" s="81" t="s">
        <v>202</v>
      </c>
    </row>
    <row r="13" spans="1:3">
      <c r="C13" s="81" t="s">
        <v>220</v>
      </c>
    </row>
    <row r="14" spans="1:3">
      <c r="C14" s="81" t="s">
        <v>214</v>
      </c>
    </row>
    <row r="15" spans="1:3">
      <c r="C15" s="81" t="s">
        <v>218</v>
      </c>
    </row>
    <row r="16" spans="1:3">
      <c r="C16" s="81" t="s">
        <v>219</v>
      </c>
    </row>
    <row r="18" spans="2:11">
      <c r="B18" s="81" t="s">
        <v>193</v>
      </c>
      <c r="C18" s="81" t="s">
        <v>195</v>
      </c>
    </row>
    <row r="19" spans="2:11">
      <c r="C19" s="81" t="s">
        <v>196</v>
      </c>
    </row>
    <row r="20" spans="2:11">
      <c r="C20" s="81" t="s">
        <v>229</v>
      </c>
    </row>
    <row r="22" spans="2:11">
      <c r="B22" s="81" t="s">
        <v>197</v>
      </c>
      <c r="C22" s="81" t="s">
        <v>198</v>
      </c>
    </row>
    <row r="23" spans="2:11">
      <c r="C23" s="81" t="s">
        <v>238</v>
      </c>
    </row>
    <row r="24" spans="2:11">
      <c r="C24" s="81" t="s">
        <v>199</v>
      </c>
    </row>
    <row r="25" spans="2:11">
      <c r="C25" s="81" t="s">
        <v>200</v>
      </c>
    </row>
    <row r="26" spans="2:11">
      <c r="C26" s="81" t="s">
        <v>201</v>
      </c>
    </row>
    <row r="27" spans="2:11">
      <c r="C27" s="81" t="s">
        <v>203</v>
      </c>
    </row>
    <row r="28" spans="2:11">
      <c r="K28" s="104"/>
    </row>
    <row r="29" spans="2:11">
      <c r="B29" s="82" t="s">
        <v>204</v>
      </c>
      <c r="C29" s="81" t="s">
        <v>221</v>
      </c>
    </row>
    <row r="30" spans="2:11">
      <c r="C30" s="81" t="s">
        <v>222</v>
      </c>
    </row>
    <row r="31" spans="2:11">
      <c r="C31" s="81" t="s">
        <v>225</v>
      </c>
    </row>
    <row r="33" spans="3:11">
      <c r="C33" s="81" t="s">
        <v>223</v>
      </c>
    </row>
    <row r="34" spans="3:11">
      <c r="C34" s="81" t="s">
        <v>224</v>
      </c>
    </row>
    <row r="36" spans="3:11">
      <c r="C36" s="81" t="s">
        <v>227</v>
      </c>
      <c r="K36" s="105"/>
    </row>
    <row r="37" spans="3:11">
      <c r="C37" s="81" t="s">
        <v>226</v>
      </c>
    </row>
  </sheetData>
  <pageMargins left="0.75" right="0.75" top="1" bottom="1" header="0.5" footer="0.5"/>
  <pageSetup paperSize="9" scale="87" orientation="portrait" horizontalDpi="4294967293" r:id="rId1"/>
  <headerFooter alignWithMargins="0">
    <oddFooter>&amp;Lã LabMasters.pl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2</vt:i4>
      </vt:variant>
    </vt:vector>
  </HeadingPairs>
  <TitlesOfParts>
    <vt:vector size="7" baseType="lpstr">
      <vt:lpstr>Samouczek</vt:lpstr>
      <vt:lpstr>Zadanie 1</vt:lpstr>
      <vt:lpstr>Zadanie 2</vt:lpstr>
      <vt:lpstr>Zadanie 3</vt:lpstr>
      <vt:lpstr>Zadanie 4</vt:lpstr>
      <vt:lpstr>Samouczek!Obszar_wydruku</vt:lpstr>
      <vt:lpstr>'Zadanie 4'!Obszar_wydruku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Martin Bernstein</cp:lastModifiedBy>
  <dcterms:created xsi:type="dcterms:W3CDTF">2010-03-08T18:53:24Z</dcterms:created>
  <dcterms:modified xsi:type="dcterms:W3CDTF">2020-04-11T13:53:31Z</dcterms:modified>
</cp:coreProperties>
</file>