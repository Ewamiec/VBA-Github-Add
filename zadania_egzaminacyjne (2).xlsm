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tumm\Desktop\VBA i Excel\Rozwiązania\"/>
    </mc:Choice>
  </mc:AlternateContent>
  <xr:revisionPtr revIDLastSave="0" documentId="8_{FA5C1927-ACCC-43D5-AF1C-3305EEEEAAF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Info" sheetId="1" r:id="rId1"/>
    <sheet name="Arkusz2" sheetId="2" r:id="rId2"/>
    <sheet name="Arkusz3" sheetId="3" r:id="rId3"/>
    <sheet name="Arkusz4" sheetId="4" r:id="rId4"/>
    <sheet name="Arkusz5" sheetId="5" r:id="rId5"/>
    <sheet name="Arkusz6" sheetId="6" r:id="rId6"/>
    <sheet name="Arkusz7" sheetId="7" r:id="rId7"/>
    <sheet name="Arkusz8" sheetId="8" r:id="rId8"/>
    <sheet name="Arkusz9" sheetId="9" r:id="rId9"/>
    <sheet name="Arkusz10" sheetId="10" r:id="rId10"/>
    <sheet name="Arkusz11" sheetId="11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6" hidden="1">Arkusz7!$B$23:$I$23</definedName>
    <definedName name="a">'[1]Consumer Choice'!$C$11</definedName>
    <definedName name="A_">[1]Data!$AD$9</definedName>
    <definedName name="alpha">'[1]Indifference Curves'!$C$4</definedName>
    <definedName name="b">'[1]Consumer Choice'!$C$13</definedName>
    <definedName name="beta">'[1]Indifference Curves'!$C$7</definedName>
    <definedName name="C_">'[1]Indifference Curves'!$C$19</definedName>
    <definedName name="C_star">'[1]Consumer Choice'!$C$17</definedName>
    <definedName name="Constraint">'[1]Consumer Choice'!$C$21</definedName>
    <definedName name="dane">[2]Wprowadzenie_samouczek!$G$43:$G$46</definedName>
    <definedName name="dane_dynamiczne">OFFSET([2]Wprowadzenie_samouczek!$G$53,,,COUNTA([2]Wprowadzenie_samouczek!$G$53:$G$62),1)</definedName>
    <definedName name="Date_of_Birth">[3]Arkusz1!$D$7:$D$65536</definedName>
    <definedName name="F">'[1]Indifference Curves'!$C$18</definedName>
    <definedName name="F_star">'[1]Consumer Choice'!$C$16</definedName>
    <definedName name="gift">'[1]Budget Line'!$C$17</definedName>
    <definedName name="gift2">'[1]Consumer Choice'!$N$4</definedName>
    <definedName name="Income">'[1]Consumer Choice'!$C$8</definedName>
    <definedName name="Objective">'[1]Consumer Choice'!$C$20</definedName>
    <definedName name="_xlnm.Print_Area" localSheetId="0">Info!$A$1:$C$17</definedName>
    <definedName name="Pc">'[1]Consumer Choice'!$C$6</definedName>
    <definedName name="Pf">'[1]Consumer Choice'!$C$4</definedName>
    <definedName name="pryzklad2">OFFSET([4]Wprowadzenie_samouczek!$G$53,,,COUNTA([4]Wprowadzenie_samouczek!$G$53:$G$62),1)</definedName>
    <definedName name="przyklad1">[4]Wprowadzenie_samouczek!$G$43:$G$46</definedName>
    <definedName name="ration">'[1]Budget Line'!$C$20</definedName>
    <definedName name="ration2">'[1]Consumer Choice'!$N$7</definedName>
    <definedName name="test">#REF!</definedName>
    <definedName name="U">'[1]Indifference Curves'!$C$10</definedName>
    <definedName name="U_2">'[1]Consumer Choice'!$N$10</definedName>
    <definedName name="U_star">'[1]Consumer Choice'!$C$18</definedName>
    <definedName name="X">[1]Data!$Y$6:$Y$26</definedName>
    <definedName name="zad.9_asortyment">OFFSET('[5]Zad.9-rozw'!$J$13,,,COUNTA('[5]Zad.9-rozw'!$J$13:$J$65536),1)</definedName>
    <definedName name="zad.9_cennik">OFFSET([6]Zad.9!$B$11,,,COUNTA([6]Zad.9!$B$11:$B$100),1)</definedName>
    <definedName name="zad.9_dane">OFFSET('[5]Zad.9-rozw'!$J$13,,,COUNTA('[5]Zad.9-rozw'!$J$13:$J$65536),3)</definedName>
    <definedName name="zad2_dane">[7]Zad.2!$B$11:$B$22</definedName>
    <definedName name="zad2_m">[2]Zad.2!$B$9:$B$20</definedName>
    <definedName name="zad2_z">[2]Zad.2!$E$9:$E$20</definedName>
    <definedName name="zad2_zysk">[4]Zad.2!$E$11:$E$22</definedName>
    <definedName name="zad2_zyski">[7]Zad.2!$E$11:$E$22</definedName>
    <definedName name="zad4_zysk">OFFSET([4]Zad.4!$D$9,,,COUNTA([4]Zad.4!$D$9:$D$65536),1)</definedName>
    <definedName name="zad4_zyski">OFFSET([8]Zad.4!$D$9,,,COUNTA([8]Zad.4!$D$9:$D$30),1)</definedName>
    <definedName name="zakres">OFFSET([9]Zad.8!$B$8,,,COUNTA([9]Zad.8!$B$8:$B$65536),6)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87" i="5" l="1"/>
  <c r="T83" i="5"/>
  <c r="T64" i="5"/>
  <c r="T56" i="5"/>
  <c r="T51" i="5"/>
  <c r="B49" i="5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48" i="5"/>
  <c r="AH56" i="4"/>
  <c r="F56" i="4"/>
  <c r="AH55" i="4"/>
  <c r="F55" i="4"/>
  <c r="AH54" i="4"/>
  <c r="F54" i="4"/>
  <c r="AH53" i="4"/>
  <c r="F53" i="4"/>
  <c r="AH52" i="4"/>
  <c r="F52" i="4"/>
  <c r="AH51" i="4"/>
  <c r="F51" i="4"/>
  <c r="AH50" i="4"/>
  <c r="F50" i="4"/>
  <c r="AH49" i="4"/>
  <c r="F49" i="4"/>
  <c r="AH48" i="4"/>
  <c r="F48" i="4"/>
  <c r="AH47" i="4"/>
  <c r="F47" i="4"/>
  <c r="AH46" i="4"/>
  <c r="F46" i="4"/>
  <c r="AH45" i="4"/>
  <c r="F45" i="4"/>
  <c r="AH44" i="4"/>
  <c r="F44" i="4"/>
  <c r="AH43" i="4"/>
  <c r="F43" i="4"/>
  <c r="AH42" i="4"/>
  <c r="F42" i="4"/>
  <c r="AH41" i="4"/>
  <c r="F41" i="4"/>
  <c r="AH40" i="4"/>
  <c r="F40" i="4"/>
  <c r="AH39" i="4"/>
  <c r="F39" i="4"/>
  <c r="AH38" i="4"/>
  <c r="F38" i="4"/>
  <c r="AH37" i="4"/>
  <c r="F37" i="4"/>
  <c r="AH36" i="4"/>
  <c r="F36" i="4"/>
  <c r="AH35" i="4"/>
  <c r="F35" i="4"/>
  <c r="AH34" i="4"/>
  <c r="F34" i="4"/>
  <c r="AH33" i="4"/>
  <c r="F33" i="4"/>
  <c r="AH32" i="4"/>
  <c r="F32" i="4"/>
  <c r="AH31" i="4"/>
  <c r="F31" i="4"/>
  <c r="AH30" i="4"/>
  <c r="F30" i="4"/>
  <c r="AH29" i="4"/>
  <c r="F29" i="4"/>
  <c r="AH28" i="4"/>
  <c r="F28" i="4"/>
  <c r="AH27" i="4"/>
  <c r="F27" i="4"/>
  <c r="AH26" i="4"/>
  <c r="F26" i="4"/>
  <c r="AH25" i="4"/>
  <c r="F25" i="4"/>
  <c r="AH24" i="4"/>
  <c r="F24" i="4"/>
  <c r="AH23" i="4"/>
  <c r="F23" i="4"/>
  <c r="AH22" i="4"/>
  <c r="F22" i="4"/>
  <c r="AH21" i="4"/>
  <c r="F21" i="4"/>
  <c r="AH20" i="4"/>
  <c r="F20" i="4"/>
  <c r="AH19" i="4"/>
  <c r="F19" i="4"/>
  <c r="AH18" i="4"/>
  <c r="F18" i="4"/>
  <c r="AH17" i="4"/>
  <c r="F17" i="4"/>
</calcChain>
</file>

<file path=xl/sharedStrings.xml><?xml version="1.0" encoding="utf-8"?>
<sst xmlns="http://schemas.openxmlformats.org/spreadsheetml/2006/main" count="10472" uniqueCount="5448">
  <si>
    <t>Imię:</t>
  </si>
  <si>
    <t>Nazwisko:</t>
  </si>
  <si>
    <t xml:space="preserve">Proszę napisać makro, które zwiększy przejrzystość arkuszy znajdujących się w tym </t>
  </si>
  <si>
    <t>dokumencie. Makro powinno wykonać w każdym arkuszu następujące zmiany:</t>
  </si>
  <si>
    <t>- w komórce B2 napisać "Zadanie domowe x", gdzie x - odpowiedni numer zadania;</t>
  </si>
  <si>
    <t>- zmiana wielkości czcionki w komórce B2, nadanie pogrubienia oraz pogrubienia;</t>
  </si>
  <si>
    <t>- zmiana szerokości i koloru wiersza nr 2;</t>
  </si>
  <si>
    <t>- wprowadzenie prawidłowej nazwy zakładki arkusza, pobranej z komórki B2;</t>
  </si>
  <si>
    <t>- usunięcie linii siatki z arkusza;</t>
  </si>
  <si>
    <t>- własna inicjatywa.</t>
  </si>
  <si>
    <t>Proszę napisać makro, które wykona czynności odwrotne do makra</t>
  </si>
  <si>
    <t>z poprzedniego zadania, tzn. przywróci pierwotny wygląd pliku.</t>
  </si>
  <si>
    <t>Proszę nagrać makro, które będzie zapisywać aktualne wyniki studentów do pliku PDF.</t>
  </si>
  <si>
    <t>1. Wygląd pliku PDF - jedynie tabela poniżej, ładnie spozycjonowana i zoptymalizowana na jednej stronie (można to ustawić ręcznie w Excelu).</t>
  </si>
  <si>
    <t>2. Zapisywane dane - w pliku PDF nie może być kolumny z pełnym nazwiskiem. Ponadto, powinny się zapisywać JEDYNIE KOLUMNY</t>
  </si>
  <si>
    <t xml:space="preserve">    Z WYNIKAMI, czyli wszystkie kolumny puste (m.in.. ćw 13, ćw14, Suma, itd.) powinny zostać ukryte !!!</t>
  </si>
  <si>
    <t>3. Makro powinno się uruchamiać z przycisku po prawej stronie "Zapisz do PDF".</t>
  </si>
  <si>
    <t xml:space="preserve">   (naciśnij prawym przyciskiem myszy na przycisk --&gt; Przypisz makro...).</t>
  </si>
  <si>
    <t xml:space="preserve">4. Plik PDF powinien być zapisywany pod nazwą: Wyniki_RRRRMMDD, gdzie: RRRRMMDD - data stworzenia pliku zgodnie z formatem </t>
  </si>
  <si>
    <t xml:space="preserve">    RokMiesiącDzień, np. "Wyniki_20150930".</t>
  </si>
  <si>
    <t>MIKROEKONOMIA II</t>
  </si>
  <si>
    <t>Nr.</t>
  </si>
  <si>
    <t>Nr albumu </t>
  </si>
  <si>
    <t>Imię </t>
  </si>
  <si>
    <t>Nazwisko</t>
  </si>
  <si>
    <t>Ćwiczenia</t>
  </si>
  <si>
    <t>Kolokwium 1</t>
  </si>
  <si>
    <t>Suma punktów z ćwiczeń</t>
  </si>
  <si>
    <t>Kolokwium</t>
  </si>
  <si>
    <t>Suma</t>
  </si>
  <si>
    <t>Ocena</t>
  </si>
  <si>
    <t>Aktywność</t>
  </si>
  <si>
    <t>Sprawdziany</t>
  </si>
  <si>
    <t>ćw1</t>
  </si>
  <si>
    <t>ćw2</t>
  </si>
  <si>
    <t>ćw3</t>
  </si>
  <si>
    <t>ćw4</t>
  </si>
  <si>
    <t>ćw5</t>
  </si>
  <si>
    <t>ćw6</t>
  </si>
  <si>
    <t>ćw7</t>
  </si>
  <si>
    <t>ćw8</t>
  </si>
  <si>
    <t>ćw9</t>
  </si>
  <si>
    <t>ćw10</t>
  </si>
  <si>
    <t>ćw11</t>
  </si>
  <si>
    <t>ćw12</t>
  </si>
  <si>
    <t>ćw13</t>
  </si>
  <si>
    <t>ćw14</t>
  </si>
  <si>
    <t>spr1</t>
  </si>
  <si>
    <t>spr2</t>
  </si>
  <si>
    <t>spr3</t>
  </si>
  <si>
    <t>spr4</t>
  </si>
  <si>
    <t>spr5</t>
  </si>
  <si>
    <t>spr6</t>
  </si>
  <si>
    <t>spr7</t>
  </si>
  <si>
    <t>Czy zaliczone?</t>
  </si>
  <si>
    <t>Dodatkowe punkty</t>
  </si>
  <si>
    <t>Test</t>
  </si>
  <si>
    <t>Zad 1</t>
  </si>
  <si>
    <t>Zad 2</t>
  </si>
  <si>
    <t>Marcin</t>
  </si>
  <si>
    <t>Bober</t>
  </si>
  <si>
    <t>Urszula</t>
  </si>
  <si>
    <t>Chapska</t>
  </si>
  <si>
    <t>Cieszyński</t>
  </si>
  <si>
    <t>Kinga</t>
  </si>
  <si>
    <t>Cinal</t>
  </si>
  <si>
    <t>Agata</t>
  </si>
  <si>
    <t>Donten</t>
  </si>
  <si>
    <t>Emilia</t>
  </si>
  <si>
    <t>Dorn</t>
  </si>
  <si>
    <t>Marta</t>
  </si>
  <si>
    <t>Drewniak</t>
  </si>
  <si>
    <t>Jan</t>
  </si>
  <si>
    <t>Fibisiewicz</t>
  </si>
  <si>
    <t>Joanna</t>
  </si>
  <si>
    <t>Habdas</t>
  </si>
  <si>
    <t>Michał</t>
  </si>
  <si>
    <t>Klocek</t>
  </si>
  <si>
    <t>Paweł</t>
  </si>
  <si>
    <t>Krajewski</t>
  </si>
  <si>
    <t>Hiep</t>
  </si>
  <si>
    <t>Kula</t>
  </si>
  <si>
    <t>Jacek</t>
  </si>
  <si>
    <t>Kwaśniewski</t>
  </si>
  <si>
    <t>Grzegorz</t>
  </si>
  <si>
    <t>Łabędzki</t>
  </si>
  <si>
    <t>Piotr</t>
  </si>
  <si>
    <t>Łubnicki</t>
  </si>
  <si>
    <t>Arkadiusz</t>
  </si>
  <si>
    <t>Maj</t>
  </si>
  <si>
    <t>Krzysztof</t>
  </si>
  <si>
    <t>Mazurek</t>
  </si>
  <si>
    <t>Tomasz</t>
  </si>
  <si>
    <t>Michaluk</t>
  </si>
  <si>
    <t>Miśkiewicz</t>
  </si>
  <si>
    <t>Polina</t>
  </si>
  <si>
    <t>Murawińska</t>
  </si>
  <si>
    <t>Jarosław</t>
  </si>
  <si>
    <t>Nikoniuk</t>
  </si>
  <si>
    <t>Łukasz</t>
  </si>
  <si>
    <t>Orzeszek</t>
  </si>
  <si>
    <t>Paruk</t>
  </si>
  <si>
    <t>Minh Viet</t>
  </si>
  <si>
    <t>Przybylak</t>
  </si>
  <si>
    <t>Sawicki</t>
  </si>
  <si>
    <t>Stoliński</t>
  </si>
  <si>
    <t>Jakub</t>
  </si>
  <si>
    <t>Szawlis</t>
  </si>
  <si>
    <t>Magdalena</t>
  </si>
  <si>
    <t>Szczepanek</t>
  </si>
  <si>
    <t>Szwaracka</t>
  </si>
  <si>
    <t>Wojciech</t>
  </si>
  <si>
    <t>Świerkowski</t>
  </si>
  <si>
    <t>Katarzyna</t>
  </si>
  <si>
    <t>Toporek</t>
  </si>
  <si>
    <t>Towalewska</t>
  </si>
  <si>
    <t>Wróblewski</t>
  </si>
  <si>
    <t>Zdunek</t>
  </si>
  <si>
    <t>Anna</t>
  </si>
  <si>
    <t>Bierzyńska</t>
  </si>
  <si>
    <t>Durlej</t>
  </si>
  <si>
    <t>Goliszewski</t>
  </si>
  <si>
    <t>Jakubowski</t>
  </si>
  <si>
    <t>Dorota</t>
  </si>
  <si>
    <t>Kudełka</t>
  </si>
  <si>
    <t>Bartłomiej</t>
  </si>
  <si>
    <t>Rutkowski</t>
  </si>
  <si>
    <t>Zadanie polega na wystawieniu ocen tylko i wyłącznie przy użyciu makr (wszystkie formuły powinny być napisane w VBA).</t>
  </si>
  <si>
    <r>
      <t xml:space="preserve">proszę wykorzystać </t>
    </r>
    <r>
      <rPr>
        <b/>
        <sz val="10"/>
        <rFont val="Arial"/>
        <family val="2"/>
        <charset val="238"/>
      </rPr>
      <t xml:space="preserve">wszystkie 4 </t>
    </r>
    <r>
      <rPr>
        <sz val="10"/>
        <rFont val="Arial"/>
        <family val="2"/>
        <charset val="238"/>
      </rPr>
      <t>metody przedstawione w samouczku do zajęć 2 - "Funkcje i formuły w VBA".</t>
    </r>
  </si>
  <si>
    <r>
      <rPr>
        <u/>
        <sz val="10"/>
        <rFont val="Arial"/>
        <family val="2"/>
        <charset val="238"/>
      </rPr>
      <t>Uwaga1</t>
    </r>
    <r>
      <rPr>
        <sz val="10"/>
        <rFont val="Arial"/>
        <family val="2"/>
        <charset val="238"/>
      </rPr>
      <t>: proszę zwrócić uwagę na formatowanie tabeli (aby w oddanym rozwiązaniu było zachowane wzorcowe formatowanie).</t>
    </r>
  </si>
  <si>
    <r>
      <rPr>
        <u/>
        <sz val="10"/>
        <rFont val="Arial"/>
        <family val="2"/>
        <charset val="238"/>
      </rPr>
      <t>Uwaga2</t>
    </r>
    <r>
      <rPr>
        <sz val="10"/>
        <rFont val="Arial"/>
        <family val="2"/>
        <charset val="238"/>
      </rPr>
      <t>: Jeżeli jakiś punkt zasad zaliczenia nie jest dla Ciebie jasny, to należy samodzielnie go zinterpretować.</t>
    </r>
  </si>
  <si>
    <r>
      <rPr>
        <u/>
        <sz val="10"/>
        <rFont val="Arial"/>
        <family val="2"/>
        <charset val="238"/>
      </rPr>
      <t>Uwaga3</t>
    </r>
    <r>
      <rPr>
        <sz val="10"/>
        <rFont val="Arial"/>
        <family val="2"/>
        <charset val="238"/>
      </rPr>
      <t>: Załóż, że nie jest znana liczba obserwacji, gdyż możliwe jest dopisanie nowych studentów! (wyznacz ostatni wiersz).</t>
    </r>
  </si>
  <si>
    <t>Wyjaśnienie:</t>
  </si>
  <si>
    <t>Punkty aktywność = suma punktów za aktywność (z poszczególnych ćwiczeń, forów oraz eksperymentów)</t>
  </si>
  <si>
    <t>Suma sprawdziany = suma punktów za sprawdziany</t>
  </si>
  <si>
    <t>Punkty sprawdziany = liczba punktów za sprawdziany po przeliczeniu zgodnie z zasadami zaliczenia</t>
  </si>
  <si>
    <t>Punkty z ćwiczeń = Punktu aktywność + Punkty sprawdziany</t>
  </si>
  <si>
    <t>Punkty1 = łączna liczba punktów z ćwiczeń dla osób, które zaliczyły sprawdziany (w przeciwnym przypadku brak)</t>
  </si>
  <si>
    <t>Suma1 = Punkty1 + Kolokwium1 (o ile zaliczone sprawdziany)</t>
  </si>
  <si>
    <t>Ocena 1 = końcowa ocena z przedmiotu</t>
  </si>
  <si>
    <t>MIKROEKONOMIA I</t>
  </si>
  <si>
    <t>LP</t>
  </si>
  <si>
    <t>Indeks</t>
  </si>
  <si>
    <t>Imię</t>
  </si>
  <si>
    <t>Punkty z ćwiczeń</t>
  </si>
  <si>
    <t>Punkty1</t>
  </si>
  <si>
    <t>Kolokwium1</t>
  </si>
  <si>
    <t>Suma1</t>
  </si>
  <si>
    <t>Ocena1</t>
  </si>
  <si>
    <t>ćw15</t>
  </si>
  <si>
    <t>fora, eksp.</t>
  </si>
  <si>
    <t>Punkty aktywność</t>
  </si>
  <si>
    <t>Suma sprawdzany</t>
  </si>
  <si>
    <t>Punkty sprawdziany</t>
  </si>
  <si>
    <t xml:space="preserve">Martyna </t>
  </si>
  <si>
    <t xml:space="preserve">Łukasz </t>
  </si>
  <si>
    <t xml:space="preserve">Anna </t>
  </si>
  <si>
    <t xml:space="preserve">Katarzyna </t>
  </si>
  <si>
    <t xml:space="preserve">Magdalena </t>
  </si>
  <si>
    <t xml:space="preserve">Małgorzata </t>
  </si>
  <si>
    <t>Sawian</t>
  </si>
  <si>
    <t xml:space="preserve">Tomasz </t>
  </si>
  <si>
    <t xml:space="preserve">Paulina </t>
  </si>
  <si>
    <t xml:space="preserve">Krzysztof </t>
  </si>
  <si>
    <t xml:space="preserve">Karol </t>
  </si>
  <si>
    <t xml:space="preserve">Mikołaj </t>
  </si>
  <si>
    <t xml:space="preserve">Damian </t>
  </si>
  <si>
    <t xml:space="preserve">Jakub </t>
  </si>
  <si>
    <t xml:space="preserve">Karolina </t>
  </si>
  <si>
    <t xml:space="preserve">Wojciech </t>
  </si>
  <si>
    <t xml:space="preserve">Wiktor </t>
  </si>
  <si>
    <t xml:space="preserve">Aleksandra </t>
  </si>
  <si>
    <t xml:space="preserve">Luiza </t>
  </si>
  <si>
    <t xml:space="preserve">Mateusz </t>
  </si>
  <si>
    <t xml:space="preserve">Emilia </t>
  </si>
  <si>
    <t xml:space="preserve">Patrycja </t>
  </si>
  <si>
    <t xml:space="preserve">Weronika </t>
  </si>
  <si>
    <t xml:space="preserve">Bartosz </t>
  </si>
  <si>
    <t xml:space="preserve">Grzegorz </t>
  </si>
  <si>
    <t xml:space="preserve">Michał </t>
  </si>
  <si>
    <t xml:space="preserve">Sonia </t>
  </si>
  <si>
    <t xml:space="preserve">Ewa </t>
  </si>
  <si>
    <t>Agnieszka</t>
  </si>
  <si>
    <t xml:space="preserve">Aleksander </t>
  </si>
  <si>
    <t xml:space="preserve">Agata </t>
  </si>
  <si>
    <t xml:space="preserve">Maria </t>
  </si>
  <si>
    <t xml:space="preserve">Karina </t>
  </si>
  <si>
    <t xml:space="preserve">Joanna </t>
  </si>
  <si>
    <t>Twoim zadaniem jest sformatowanie danych dotyczących wartości WIG i wstawieniu wykresu. Wszystko powinno</t>
  </si>
  <si>
    <t>się wykonywać automatycznie - za pomocą makra uruchamianego przykładowo z przycisku. W tym celu:</t>
  </si>
  <si>
    <t>a) rozdziel dane na poszczególne kolumny, zmień formatowanie dat, sformatuj dane;</t>
  </si>
  <si>
    <t>b) zrób wykres przedstawiający zmianę ceny zamknięcia w czasie;</t>
  </si>
  <si>
    <t>c) dopracuj wykres od strony graficznej (m.in. nadaj tytuł, podpisz osie, zmień kolorystykę,…);</t>
  </si>
  <si>
    <t>Uwaga 1: makro powinno działać po doklejeniu nowych danych.</t>
  </si>
  <si>
    <t>Uwaga 2: wszelka własna inicjatywa będzie dodatkowo punktowana.</t>
  </si>
  <si>
    <t>Źródło danych:</t>
  </si>
  <si>
    <t>http://www.parkiet.com/temat/83.html</t>
  </si>
  <si>
    <t>Podpowiedź:</t>
  </si>
  <si>
    <t>NIE</t>
  </si>
  <si>
    <t>Jeżeli instrukcja VBA będzie wymagała odwołania do wstawionego wcześniej wykresu, to może wystąpić problem</t>
  </si>
  <si>
    <t>z jego nazwą, gdyż Excel tworzy wykresy, które kolejno nazywa: "Wykres 1", "Wykres 2", itd.</t>
  </si>
  <si>
    <t>W celu sprawdzenia, jak nazywa się ostatnio wstawiony wykres można użyć następującej instrukcji:</t>
  </si>
  <si>
    <t>nazwa = ActiveSheet.Shapes.Range(ActiveSheet.Shapes.Count).Name</t>
  </si>
  <si>
    <t>&lt;TICKER&gt;;&lt;DTYYYYMMDD&gt;;&lt;OPEN&gt;;&lt;HIGH&gt;;&lt;LOW&gt;;&lt;CLOSE&gt;;&lt;VOL&gt;</t>
  </si>
  <si>
    <t>WIG;19910416;1000;1000;1000;1000;0</t>
  </si>
  <si>
    <t>WIG;19910423;967,7;967,7;967,7;967,7;0</t>
  </si>
  <si>
    <t>WIG;19910430;945,6;945,6;945,6;945,6;0</t>
  </si>
  <si>
    <t>WIG;19910514;939,6;939,6;939,6;939,6;0</t>
  </si>
  <si>
    <t>WIG;19910521;966,1;966,1;966,1;966,1;0</t>
  </si>
  <si>
    <t>WIG;19910528;956,5;956,5;956,5;956,5;0</t>
  </si>
  <si>
    <t>WIG;19910604;969,4;969,4;969,4;969,4;0</t>
  </si>
  <si>
    <t>WIG;19910611;960,4;960,4;960,4;960,4;0</t>
  </si>
  <si>
    <t>WIG;19910618;866,8;866,8;866,8;866,8;0</t>
  </si>
  <si>
    <t>WIG;19910625;850,2;850,2;850,2;850,2;0</t>
  </si>
  <si>
    <t>WIG;19910702;891,2;891,2;891,2;891,2;0</t>
  </si>
  <si>
    <t>WIG;19910709;866,6;866,6;866,6;866,6;0</t>
  </si>
  <si>
    <t>WIG;19910716;834,4;834,4;834,4;834,4;0</t>
  </si>
  <si>
    <t>WIG;19910723;853,4;853,4;853,4;853,4;0</t>
  </si>
  <si>
    <t>WIG;19910730;825,1;825,1;825,1;825,1;0</t>
  </si>
  <si>
    <t>WIG;19910806;794,2;794,2;794,2;794,2;0</t>
  </si>
  <si>
    <t>WIG;19910813;771,6;771,6;771,6;771,6;0</t>
  </si>
  <si>
    <t>WIG;19910820;756,9;756,9;756,9;756,9;0</t>
  </si>
  <si>
    <t>WIG;19910827;739,7;739,7;739,7;739,7;0</t>
  </si>
  <si>
    <t>WIG;19910903;725,8;725,8;725,8;725,8;0</t>
  </si>
  <si>
    <t>WIG;19910910;715,2;715,2;715,2;715,2;0</t>
  </si>
  <si>
    <t>WIG;19910917;692,8;692,8;692,8;692,8;0</t>
  </si>
  <si>
    <t>WIG;19910924;680;680;680;680;0</t>
  </si>
  <si>
    <t>WIG;19911001;678,5;678,5;678,5;678,5;0</t>
  </si>
  <si>
    <t>WIG;19911008;707,8;707,8;707,8;707,8;0</t>
  </si>
  <si>
    <t>WIG;19911015;771,8;771,8;771,8;771,8;0</t>
  </si>
  <si>
    <t>WIG;19911022;844,4;844,4;844,4;844,4;0</t>
  </si>
  <si>
    <t>WIG;19911029;923,2;923,2;923,2;923,2;0</t>
  </si>
  <si>
    <t>WIG;19911105;990,4;990,4;990,4;990,4;0</t>
  </si>
  <si>
    <t>WIG;19911112;995,7;995,7;995,7;995,7;0</t>
  </si>
  <si>
    <t>WIG;19911119;898,7;898,7;898,7;898,7;0</t>
  </si>
  <si>
    <t>WIG;19911126;856,7;856,7;856,7;856,7;0</t>
  </si>
  <si>
    <t>WIG;19911203;917,1;917,1;917,1;917,1;0</t>
  </si>
  <si>
    <t>WIG;19911210;1001,9;1001,9;1001,9;1001,9;0</t>
  </si>
  <si>
    <t>WIG;19911217;928;928;928;928;0</t>
  </si>
  <si>
    <t>WIG;19911231;919,1;919,1;919,1;919,1;0</t>
  </si>
  <si>
    <t>WIG;19920107;974,9;974,9;974,9;974,9;0</t>
  </si>
  <si>
    <t>WIG;19920109;964,1;964,1;964,1;964,1;0</t>
  </si>
  <si>
    <t>WIG;19920114;930,8;930,8;930,8;930,8;0</t>
  </si>
  <si>
    <t>WIG;19920116;915,1;915,1;915,1;915,1;0</t>
  </si>
  <si>
    <t>WIG;19920121;947,3;947,3;947,3;947,3;0</t>
  </si>
  <si>
    <t>WIG;19920123;952,7;952,7;952,7;952,7;0</t>
  </si>
  <si>
    <t>WIG;19920128;933,3;933,3;933,3;933,3;0</t>
  </si>
  <si>
    <t>WIG;19920130;937,4;937,4;937,4;937,4;0</t>
  </si>
  <si>
    <t>WIG;19920204;935,1;935,1;935,1;935,1;0</t>
  </si>
  <si>
    <t>WIG;19920206;901,3;901,3;901,3;901,3;0</t>
  </si>
  <si>
    <t>WIG;19920211;936,7;936,7;936,7;936,7;0</t>
  </si>
  <si>
    <t>WIG;19920213;919,8;919,8;919,8;919,8;0</t>
  </si>
  <si>
    <t>WIG;19920218;923,4;923,4;923,4;923,4;0</t>
  </si>
  <si>
    <t>WIG;19920220;932,6;932,6;932,6;932,6;0</t>
  </si>
  <si>
    <t>WIG;19920225;941,6;941,6;941,6;941,6;0</t>
  </si>
  <si>
    <t>WIG;19920227;924,8;924,8;924,8;924,8;0</t>
  </si>
  <si>
    <t>WIG;19920303;947,9;947,9;947,9;947,9;0</t>
  </si>
  <si>
    <t>WIG;19920305;956,6;956,6;956,6;956,6;0</t>
  </si>
  <si>
    <t>WIG;19920310;952;952;952;952;0</t>
  </si>
  <si>
    <t>WIG;19920312;955,4;955,4;955,4;955,4;0</t>
  </si>
  <si>
    <t>WIG;19920317;920,5;920,5;920,5;920,5;0</t>
  </si>
  <si>
    <t>WIG;19920319;939,2;939,2;939,2;939,2;0</t>
  </si>
  <si>
    <t>WIG;19920324;934,9;934,9;934,9;934,9;0</t>
  </si>
  <si>
    <t>WIG;19920326;913,1;913,1;913,1;913,1;0</t>
  </si>
  <si>
    <t>WIG;19920331;882,2;882,2;882,2;882,2;0</t>
  </si>
  <si>
    <t>WIG;19920402;876,5;876,5;876,5;876,5;0</t>
  </si>
  <si>
    <t>WIG;19920407;852,2;852,2;852,2;852,2;0</t>
  </si>
  <si>
    <t>WIG;19920409;840,8;840,8;840,8;840,8;0</t>
  </si>
  <si>
    <t>WIG;19920414;844,3;844,3;844,3;844,3;0</t>
  </si>
  <si>
    <t>WIG;19920416;849,4;849,4;849,4;849,4;0</t>
  </si>
  <si>
    <t>WIG;19920423;831,9;831,9;831,9;831,9;0</t>
  </si>
  <si>
    <t>WIG;19920428;796,7;796,7;796,7;796,7;0</t>
  </si>
  <si>
    <t>WIG;19920430;774,2;774,2;774,2;774,2;0</t>
  </si>
  <si>
    <t>WIG;19920505;761,3;761,3;761,3;761,3;0</t>
  </si>
  <si>
    <t>WIG;19920507;768,1;768,1;768,1;768,1;0</t>
  </si>
  <si>
    <t>WIG;19920512;782,5;782,5;782,5;782,5;0</t>
  </si>
  <si>
    <t>WIG;19920514;770,6;770,6;770,6;770,6;0</t>
  </si>
  <si>
    <t>WIG;19920519;747,3;747,3;747,3;747,3;0</t>
  </si>
  <si>
    <t>WIG;19920521;748,7;748,7;748,7;748,7;0</t>
  </si>
  <si>
    <t>WIG;19920526;738,9;738,9;738,9;738,9;0</t>
  </si>
  <si>
    <t>WIG;19920528;748,6;748,6;748,6;748,6;0</t>
  </si>
  <si>
    <t>WIG;19920602;741,4;741,4;741,4;741,4;0</t>
  </si>
  <si>
    <t>WIG;19920604;723,2;723,2;723,2;723,2;0</t>
  </si>
  <si>
    <t>WIG;19920609;708;708;708;708;0</t>
  </si>
  <si>
    <t>WIG;19920611;685,6;685,6;685,6;685,6;0</t>
  </si>
  <si>
    <t>WIG;19920616;671,2;671,2;671,2;671,2;0</t>
  </si>
  <si>
    <t>WIG;19920623;635,3;635,3;635,3;635,3;0</t>
  </si>
  <si>
    <t>WIG;19920625;660,3;660,3;660,3;660,3;0</t>
  </si>
  <si>
    <t>WIG;19920630;723,5;723,5;723,5;723,5;0</t>
  </si>
  <si>
    <t>WIG;19920702;792,5;792,5;792,5;792,5;0</t>
  </si>
  <si>
    <t>WIG;19920707;861,8;861,8;861,8;861,8;0</t>
  </si>
  <si>
    <t>WIG;19920709;870,7;870,7;870,7;870,7;0</t>
  </si>
  <si>
    <t>WIG;19920714;839,8;839,8;839,8;839,8;0</t>
  </si>
  <si>
    <t>WIG;19920716;854;854;854;854;0</t>
  </si>
  <si>
    <t>WIG;19920721;830,8;830,8;830,8;830,8;0</t>
  </si>
  <si>
    <t>WIG;19920723;850,3;850,3;850,3;850,3;0</t>
  </si>
  <si>
    <t>WIG;19920728;846,3;846,3;846,3;846,3;0</t>
  </si>
  <si>
    <t>WIG;19920730;841,3;841,3;841,3;841,3;0</t>
  </si>
  <si>
    <t>WIG;19920804;819,1;819,1;819,1;819,1;0</t>
  </si>
  <si>
    <t>WIG;19920806;811,2;811,2;811,2;811,2;0</t>
  </si>
  <si>
    <t>WIG;19920811;814,3;814,3;814,3;814,3;0</t>
  </si>
  <si>
    <t>WIG;19920813;812,7;812,7;812,7;812,7;0</t>
  </si>
  <si>
    <t>WIG;19920818;808;808;808;808;0</t>
  </si>
  <si>
    <t>WIG;19920820;808,9;808,9;808,9;808,9;0</t>
  </si>
  <si>
    <t>WIG;19920825;819,3;819,3;819,3;819,3;0</t>
  </si>
  <si>
    <t>WIG;19920827;850,5;850,5;850,5;850,5;0</t>
  </si>
  <si>
    <t>WIG;19920901;838,8;838,8;838,8;838,8;0</t>
  </si>
  <si>
    <t>WIG;19920903;837,4;837,4;837,4;837,4;0</t>
  </si>
  <si>
    <t>WIG;19920908;828,3;828,3;828,3;828,3;0</t>
  </si>
  <si>
    <t>WIG;19920910;826,5;826,5;826,5;826,5;0</t>
  </si>
  <si>
    <t>WIG;19920915;855,8;855,8;855,8;855,8;0</t>
  </si>
  <si>
    <t>WIG;19920917;875,9;875,9;875,9;875,9;0</t>
  </si>
  <si>
    <t>WIG;19920922;877,3;877,3;877,3;877,3;0</t>
  </si>
  <si>
    <t>WIG;19920924;888,1;888,1;888,1;888,1;0</t>
  </si>
  <si>
    <t>WIG;19920929;912,2;912,2;912,2;912,2;0</t>
  </si>
  <si>
    <t>WIG;19921001;938,1;938,1;938,1;938,1;0</t>
  </si>
  <si>
    <t>WIG;19921006;932;932;932;932;0</t>
  </si>
  <si>
    <t>WIG;19921008;903,8;903,8;903,8;903,8;0</t>
  </si>
  <si>
    <t>WIG;19921013;877,2;877,2;877,2;877,2;0</t>
  </si>
  <si>
    <t>WIG;19921015;893;893;893;893;0</t>
  </si>
  <si>
    <t>WIG;19921020;932,2;932,2;932,2;932,2;0</t>
  </si>
  <si>
    <t>WIG;19921022;953,2;953,2;953,2;953,2;0</t>
  </si>
  <si>
    <t>WIG;19921027;961,5;961,5;961,5;961,5;0</t>
  </si>
  <si>
    <t>WIG;19921029;940,2;940,2;940,2;940,2;0</t>
  </si>
  <si>
    <t>WIG;19921103;925,7;925,7;925,7;925,7;0</t>
  </si>
  <si>
    <t>WIG;19921105;942,5;942,5;942,5;942,5;0</t>
  </si>
  <si>
    <t>WIG;19921110;943,7;943,7;943,7;943,7;0</t>
  </si>
  <si>
    <t>WIG;19921112;942,6;942,6;942,6;942,6;0</t>
  </si>
  <si>
    <t>WIG;19921117;958,3;958,3;958,3;958,3;0</t>
  </si>
  <si>
    <t>WIG;19921119;962,3;962,3;962,3;962,3;0</t>
  </si>
  <si>
    <t>WIG;19921124;943;943;943;943;0</t>
  </si>
  <si>
    <t>WIG;19921126;965,1;965,1;965,1;965,1;0</t>
  </si>
  <si>
    <t>WIG;19921201;1013,4;1013,4;1013,4;1013,4;0</t>
  </si>
  <si>
    <t>WIG;19921203;1059,7;1059,7;1059,7;1059,7;0</t>
  </si>
  <si>
    <t>WIG;19921208;1070,2;1070,2;1070,2;1070,2;0</t>
  </si>
  <si>
    <t>WIG;19921210;1071;1071;1071;1071;0</t>
  </si>
  <si>
    <t>WIG;19921215;1068,2;1068,2;1068,2;1068,2;0</t>
  </si>
  <si>
    <t>WIG;19921217;1056,5;1056,5;1056,5;1056,5;0</t>
  </si>
  <si>
    <t>WIG;19921222;1041,6;1041,6;1041,6;1041,6;0</t>
  </si>
  <si>
    <t>WIG;19921229;1040,7;1040,7;1040,7;1040,7;0</t>
  </si>
  <si>
    <t>WIG;19930104;1037,1;1037,1;1037,1;1037,1;0</t>
  </si>
  <si>
    <t>WIG;19930105;1046,4;1046,4;1046,4;1046,4;0</t>
  </si>
  <si>
    <t>WIG;19930107;1058,2;1058,2;1058,2;1058,2;0</t>
  </si>
  <si>
    <t>WIG;19930111;1073,4;1073,4;1073,4;1073,4;0</t>
  </si>
  <si>
    <t>WIG;19930112;1081,6;1081,6;1081,6;1081,6;0</t>
  </si>
  <si>
    <t>WIG;19930114;1079,1;1079,1;1079,1;1079,1;0</t>
  </si>
  <si>
    <t>WIG;19930118;1085,5;1085,5;1085,5;1085,5;0</t>
  </si>
  <si>
    <t>WIG;19930119;1080,9;1080,9;1080,9;1080,9;0</t>
  </si>
  <si>
    <t>WIG;19930121;1079,6;1079,6;1079,6;1079,6;0</t>
  </si>
  <si>
    <t>WIG;19930125;1066,6;1066,6;1066,6;1066,6;0</t>
  </si>
  <si>
    <t>WIG;19930126;1050,3;1050,3;1050,3;1050,3;0</t>
  </si>
  <si>
    <t>WIG;19930128;1050,3;1050,3;1050,3;1050,3;0</t>
  </si>
  <si>
    <t>WIG;19930201;1057,5;1057,5;1057,5;1057,5;0</t>
  </si>
  <si>
    <t>WIG;19930202;1059,6;1059,6;1059,6;1059,6;0</t>
  </si>
  <si>
    <t>WIG;19930204;1057,3;1057,3;1057,3;1057,3;0</t>
  </si>
  <si>
    <t>WIG;19930208;1055,9;1055,9;1055,9;1055,9;0</t>
  </si>
  <si>
    <t>WIG;19930209;1054,1;1054,1;1054,1;1054,1;0</t>
  </si>
  <si>
    <t>WIG;19930211;1050,3;1050,3;1050,3;1050,3;0</t>
  </si>
  <si>
    <t>WIG;19930215;1053,4;1053,4;1053,4;1053,4;0</t>
  </si>
  <si>
    <t>WIG;19930216;1060,5;1060,5;1060,5;1060,5;0</t>
  </si>
  <si>
    <t>WIG;19930218;1047,5;1047,5;1047,5;1047,5;0</t>
  </si>
  <si>
    <t>WIG;19930222;1052,4;1052,4;1052,4;1052,4;0</t>
  </si>
  <si>
    <t>WIG;19930223;1066,6;1066,6;1066,6;1066,6;0</t>
  </si>
  <si>
    <t>WIG;19930225;1083,1;1083,1;1083,1;1083,1;0</t>
  </si>
  <si>
    <t>WIG;19930301;1100,9;1100,9;1100,9;1100,9;0</t>
  </si>
  <si>
    <t>WIG;19930302;1134,4;1134,4;1134,4;1134,4;0</t>
  </si>
  <si>
    <t>WIG;19930304;1165,7;1165,7;1165,7;1165,7;0</t>
  </si>
  <si>
    <t>WIG;19930308;1200,8;1200,8;1200,8;1200,8;0</t>
  </si>
  <si>
    <t>WIG;19930309;1240,7;1240,7;1240,7;1240,7;0</t>
  </si>
  <si>
    <t>WIG;19930311;1268,8;1268,8;1268,8;1268,8;0</t>
  </si>
  <si>
    <t>WIG;19930315;1230,9;1230,9;1230,9;1230,9;0</t>
  </si>
  <si>
    <t>WIG;19930316;1223,7;1223,7;1223,7;1223,7;0</t>
  </si>
  <si>
    <t>WIG;19930318;1245;1245;1245;1245;0</t>
  </si>
  <si>
    <t>WIG;19930322;1262,6;1262,6;1262,6;1262,6;0</t>
  </si>
  <si>
    <t>WIG;19930323;1254,9;1254,9;1254,9;1254,9;0</t>
  </si>
  <si>
    <t>WIG;19930325;1279,3;1279,3;1279,3;1279,3;0</t>
  </si>
  <si>
    <t>WIG;19930329;1299,4;1299,4;1299,4;1299,4;0</t>
  </si>
  <si>
    <t>WIG;19930330;1302,9;1302,9;1302,9;1302,9;0</t>
  </si>
  <si>
    <t>WIG;19930401;1293,2;1293,2;1293,2;1293,2;0</t>
  </si>
  <si>
    <t>WIG;19930405;1300,6;1300,6;1300,6;1300,6;0</t>
  </si>
  <si>
    <t>WIG;19930406;1310,7;1310,7;1310,7;1310,7;0</t>
  </si>
  <si>
    <t>WIG;19930408;1350,1;1350,1;1350,1;1350,1;0</t>
  </si>
  <si>
    <t>WIG;19930413;1427,4;1427,4;1427,4;1427,4;0</t>
  </si>
  <si>
    <t>WIG;19930415;1531,8;1531,8;1531,8;1531,8;0</t>
  </si>
  <si>
    <t>WIG;19930419;1641,7;1641,7;1641,7;1641,7;0</t>
  </si>
  <si>
    <t>WIG;19930420;1774,1;1774,1;1774,1;1774,1;0</t>
  </si>
  <si>
    <t>WIG;19930422;1938,9;1938,9;1938,9;1938,9;0</t>
  </si>
  <si>
    <t>WIG;19930426;1950,4;1950,4;1950,4;1950,4;0</t>
  </si>
  <si>
    <t>WIG;19930427;1886,8;1886,8;1886,8;1886,8;0</t>
  </si>
  <si>
    <t>WIG;19930429;1837,5;1837,5;1837,5;1837,5;0</t>
  </si>
  <si>
    <t>WIG;19930504;1895;1895;1895;1895;0</t>
  </si>
  <si>
    <t>WIG;19930506;2027,7;2027,7;2027,7;2027,7;0</t>
  </si>
  <si>
    <t>WIG;19930510;2226,6;2226,6;2226,6;2226,6;0</t>
  </si>
  <si>
    <t>WIG;19930511;2446,2;2446,2;2446,2;2446,2;0</t>
  </si>
  <si>
    <t>WIG;19930513;2563,6;2563,6;2563,6;2563,6;0</t>
  </si>
  <si>
    <t>WIG;19930517;2541,6;2541,6;2541,6;2541,6;0</t>
  </si>
  <si>
    <t>WIG;19930518;2748,8;2748,8;2748,8;2748,8;0</t>
  </si>
  <si>
    <t>WIG;19930520;3002,9;3002,9;3002,9;3002,9;0</t>
  </si>
  <si>
    <t>WIG;19930524;3204;3204;3204;3204;0</t>
  </si>
  <si>
    <t>WIG;19930525;3463,1;3463,1;3463,1;3463,1;0</t>
  </si>
  <si>
    <t>WIG;19930527;3674;3674;3674;3674;0</t>
  </si>
  <si>
    <t>WIG;19930531;3784;3784;3784;3784;0</t>
  </si>
  <si>
    <t>WIG;19930601;3710,2;3710,2;3710,2;3710,2;0</t>
  </si>
  <si>
    <t>WIG;19930603;3353,9;3353,9;3353,9;3353,9;0</t>
  </si>
  <si>
    <t>WIG;19930607;3034,2;3034,2;3034,2;3034,2;0</t>
  </si>
  <si>
    <t>WIG;19930608;2740,1;2740,1;2740,1;2740,1;0</t>
  </si>
  <si>
    <t>WIG;19930609;2637,8;2637,8;2637,8;2637,8;0</t>
  </si>
  <si>
    <t>WIG;19930614;2890,8;2890,8;2890,8;2890,8;0</t>
  </si>
  <si>
    <t>WIG;19930615;3171,1;3171,1;3171,1;3171,1;0</t>
  </si>
  <si>
    <t>WIG;19930617;3323,1;3323,1;3323,1;3323,1;0</t>
  </si>
  <si>
    <t>WIG;19930621;3214;3214;3214;3214;0</t>
  </si>
  <si>
    <t>WIG;19930622;3309,1;3309,1;3309,1;3309,1;0</t>
  </si>
  <si>
    <t>WIG;19930624;3400,1;3400,1;3400,1;3400,1;0</t>
  </si>
  <si>
    <t>WIG;19930628;3448,6;3448,6;3448,6;3448,6;0</t>
  </si>
  <si>
    <t>WIG;19930629;3504,2;3504,2;3504,2;3504,2;0</t>
  </si>
  <si>
    <t>WIG;19930701;3677;3677;3677;3677;0</t>
  </si>
  <si>
    <t>WIG;19930705;4005,1;4005,1;4005,1;4005,1;0</t>
  </si>
  <si>
    <t>WIG;19930706;4138,8;4138,8;4138,8;4138,8;0</t>
  </si>
  <si>
    <t>WIG;19930708;3885,5;3885,5;3885,5;3885,5;0</t>
  </si>
  <si>
    <t>WIG;19930712;4111,2;4111,2;4111,2;4111,2;0</t>
  </si>
  <si>
    <t>WIG;19930713;4164,4;4164,4;4164,4;4164,4;0</t>
  </si>
  <si>
    <t>WIG;19930715;4093,1;4093,1;4093,1;4093,1;0</t>
  </si>
  <si>
    <t>WIG;19930719;4146,9;4146,9;4146,9;4146,9;0</t>
  </si>
  <si>
    <t>WIG;19930720;4237,3;4237,3;4237,3;4237,3;0</t>
  </si>
  <si>
    <t>WIG;19930722;4193,8;4193,8;4193,8;4193,8;0</t>
  </si>
  <si>
    <t>WIG;19930726;4212,8;4212,8;4212,8;4212,8;0</t>
  </si>
  <si>
    <t>WIG;19930727;4214,5;4214,5;4214,5;4214,5;0</t>
  </si>
  <si>
    <t>WIG;19930729;4195,3;4195,3;4195,3;4195,3;0</t>
  </si>
  <si>
    <t>WIG;19930802;4227,7;4227,7;4227,7;4227,7;0</t>
  </si>
  <si>
    <t>WIG;19930803;4242,6;4242,6;4242,6;4242,6;0</t>
  </si>
  <si>
    <t>WIG;19930805;4451,1;4451,1;4451,1;4451,1;0</t>
  </si>
  <si>
    <t>WIG;19930809;4864,7;4864,7;4864,7;4864,7;0</t>
  </si>
  <si>
    <t>WIG;19930810;5247,3;5247,3;5247,3;5247,3;0</t>
  </si>
  <si>
    <t>WIG;19930812;5251,6;5251,6;5251,6;5251,6;0</t>
  </si>
  <si>
    <t>WIG;19930816;5492,4;5492,4;5492,4;5492,4;0</t>
  </si>
  <si>
    <t>WIG;19930817;5869,2;5869,2;5869,2;5869,2;0</t>
  </si>
  <si>
    <t>WIG;19930819;6005,2;6005,2;6005,2;6005,2;0</t>
  </si>
  <si>
    <t>WIG;19930823;6390,6;6390,6;6390,6;6390,6;0</t>
  </si>
  <si>
    <t>WIG;19930824;7001,1;7001,1;7001,1;7001,1;0</t>
  </si>
  <si>
    <t>WIG;19930826;7474,1;7474,1;7474,1;7474,1;0</t>
  </si>
  <si>
    <t>WIG;19930830;6970,7;6970,7;6970,7;6970,7;0</t>
  </si>
  <si>
    <t>WIG;19930831;6307,9;6307,9;6307,9;6307,9;0</t>
  </si>
  <si>
    <t>WIG;19930902;6893,8;6893,8;6893,8;6893,8;0</t>
  </si>
  <si>
    <t>WIG;19930906;7561;7561;7561;7561;0</t>
  </si>
  <si>
    <t>WIG;19930907;7141,3;7141,3;7141,3;7141,3;0</t>
  </si>
  <si>
    <t>WIG;19930909;6759,6;6759,6;6759,6;6759,6;0</t>
  </si>
  <si>
    <t>WIG;19930913;6764,4;6764,4;6764,4;6764,4;0</t>
  </si>
  <si>
    <t>WIG;19930914;6833,7;6833,7;6833,7;6833,7;0</t>
  </si>
  <si>
    <t>WIG;19930916;7055,1;7055,1;7055,1;7055,1;0</t>
  </si>
  <si>
    <t>WIG;19930920;6611,7;6611,7;6611,7;6611,7;0</t>
  </si>
  <si>
    <t>WIG;19930921;6189,3;6189,3;6189,3;6189,3;0</t>
  </si>
  <si>
    <t>WIG;19930923;5892,9;5892,9;5892,9;5892,9;0</t>
  </si>
  <si>
    <t>WIG;19930927;5847,8;5847,8;5847,8;5847,8;0</t>
  </si>
  <si>
    <t>WIG;19930928;6119;6119;6119;6119;0</t>
  </si>
  <si>
    <t>WIG;19930930;6302,5;6302,5;6302,5;6302,5;0</t>
  </si>
  <si>
    <t>WIG;19931004;6542;6542;6542;6542;0</t>
  </si>
  <si>
    <t>WIG;19931005;6771,4;6771,4;6771,4;6771,4;0</t>
  </si>
  <si>
    <t>WIG;19931007;6831,3;6831,3;6831,3;6831,3;0</t>
  </si>
  <si>
    <t>WIG;19931011;7164,8;7164,8;7164,8;7164,8;0</t>
  </si>
  <si>
    <t>WIG;19931012;7584,7;7584,7;7584,7;7584,7;0</t>
  </si>
  <si>
    <t>WIG;19931014;7741,3;7741,3;7741,3;7741,3;0</t>
  </si>
  <si>
    <t>WIG;19931018;8110,1;8110,1;8110,1;8110,1;0</t>
  </si>
  <si>
    <t>WIG;19931019;8054,1;8054,1;8054,1;8054,1;0</t>
  </si>
  <si>
    <t>WIG;19931021;7845,3;7845,3;7845,3;7845,3;0</t>
  </si>
  <si>
    <t>WIG;19931026;7740,1;7740,1;7740,1;7740,1;0</t>
  </si>
  <si>
    <t>WIG;19931028;7974,5;7974,5;7974,5;7974,5;0</t>
  </si>
  <si>
    <t>WIG;19931102;8189,8;8189,8;8189,8;8189,8;0</t>
  </si>
  <si>
    <t>WIG;19931104;8341,4;8341,4;8341,4;8341,4;0</t>
  </si>
  <si>
    <t>WIG;19931108;8248,5;8248,5;8248,5;8248,5;0</t>
  </si>
  <si>
    <t>WIG;19931109;8121;8121;8121;8121;0</t>
  </si>
  <si>
    <t>WIG;19931110;8460,6;8460,6;8460,6;8460,6;0</t>
  </si>
  <si>
    <t>WIG;19931115;8970;8970;8970;8970;0</t>
  </si>
  <si>
    <t>WIG;19931116;9147,2;9147,2;9147,2;9147,2;0</t>
  </si>
  <si>
    <t>WIG;19931118;8609,8;8609,8;8609,8;8609,8;0</t>
  </si>
  <si>
    <t>WIG;19931122;8251,1;8251,1;8251,1;8251,1;0</t>
  </si>
  <si>
    <t>WIG;19931123;8680;8680;8680;8680;0</t>
  </si>
  <si>
    <t>WIG;19931125;8902,3;8902,3;8902,3;8902,3;0</t>
  </si>
  <si>
    <t>WIG;19931129;8821,5;8821,5;8821,5;8821,5;0</t>
  </si>
  <si>
    <t>WIG;19931130;8867,2;8867,2;8867,2;8867,2;0</t>
  </si>
  <si>
    <t>WIG;19931202;9172,4;9172,4;9172,4;9172,4;0</t>
  </si>
  <si>
    <t>WIG;19931206;9585,3;9585,3;9585,3;9585,3;0</t>
  </si>
  <si>
    <t>WIG;19931207;9764,5;9764,5;9764,5;9764,5;0</t>
  </si>
  <si>
    <t>WIG;19931209;9742,2;9742,2;9742,2;9742,2;0</t>
  </si>
  <si>
    <t>WIG;19931213;10273,8;10273,8;10273,8;10273,8;0</t>
  </si>
  <si>
    <t>WIG;19931214;10414;10414;10414;10414;0</t>
  </si>
  <si>
    <t>WIG;19931216;10677;10677;10677;10677;0</t>
  </si>
  <si>
    <t>WIG;19931220;10921;10921;10921;10921;0</t>
  </si>
  <si>
    <t>WIG;19931221;11354,6;11354,6;11354,6;11354,6;0</t>
  </si>
  <si>
    <t>WIG;19931223;12106,2;12106,2;12106,2;12106,2;0</t>
  </si>
  <si>
    <t>WIG;19931227;12818,1;12818,1;12818,1;12818,1;0</t>
  </si>
  <si>
    <t>WIG;19931228;11760,9;11760,9;11760,9;11760,9;0</t>
  </si>
  <si>
    <t>WIG;19931230;12439;12439;12439;12439;0</t>
  </si>
  <si>
    <t>WIG;19940103;13044,8;13044,8;13044,8;13044,8;0</t>
  </si>
  <si>
    <t>WIG;19940104;13345,5;13345,5;13345,5;13345,5;0</t>
  </si>
  <si>
    <t>WIG;19940106;13233,9;13233,9;13233,9;13233,9;0</t>
  </si>
  <si>
    <t>WIG;19940110;13310,8;13310,8;13310,8;13310,8;0</t>
  </si>
  <si>
    <t>WIG;19940111;13558;13558;13558;13558;0</t>
  </si>
  <si>
    <t>WIG;19940113;14117,5;14117,5;14117,5;14117,5;0</t>
  </si>
  <si>
    <t>WIG;19940117;14625,1;14625,1;14625,1;14625,1;0</t>
  </si>
  <si>
    <t>WIG;19940118;15081,6;15081,6;15081,6;15081,6;0</t>
  </si>
  <si>
    <t>WIG;19940120;15420,8;15420,8;15420,8;15420,8;0</t>
  </si>
  <si>
    <t>WIG;19940124;15846,3;15846,3;15846,3;15846,3;0</t>
  </si>
  <si>
    <t>WIG;19940125;16808,6;16808,6;16808,6;16808,6;0</t>
  </si>
  <si>
    <t>WIG;19940127;18218,3;18218,3;18218,3;18218,3;0</t>
  </si>
  <si>
    <t>WIG;19940131;16881;16881;16881;16881;0</t>
  </si>
  <si>
    <t>WIG;19940201;15227,9;15227,9;15227,9;15227,9;0</t>
  </si>
  <si>
    <t>WIG;19940203;14871,5;14871,5;14871,5;14871,5;0</t>
  </si>
  <si>
    <t>WIG;19940207;16137,5;16137,5;16137,5;16137,5;0</t>
  </si>
  <si>
    <t>WIG;19940208;16817,9;16817,9;16817,9;16817,9;0</t>
  </si>
  <si>
    <t>WIG;19940210;17300,2;17300,2;17300,2;17300,2;0</t>
  </si>
  <si>
    <t>WIG;19940214;18059,9;18059,9;18059,9;18059,9;0</t>
  </si>
  <si>
    <t>WIG;19940215;18799,3;18799,3;18799,3;18799,3;0</t>
  </si>
  <si>
    <t>WIG;19940217;19059,2;19059,2;19059,2;19059,2;0</t>
  </si>
  <si>
    <t>WIG;19940221;19358,3;19358,3;19358,3;19358,3;0</t>
  </si>
  <si>
    <t>WIG;19940222;19641;19641;19641;19641;0</t>
  </si>
  <si>
    <t>WIG;19940224;19802,2;19802,2;19802,2;19802,2;0</t>
  </si>
  <si>
    <t>WIG;19940228;20196;20196;20196;20196;0</t>
  </si>
  <si>
    <t>WIG;19940301;20275,6;20275,6;20275,6;20275,6;0</t>
  </si>
  <si>
    <t>WIG;19940303;19996,9;19996,9;19996,9;19996,9;0</t>
  </si>
  <si>
    <t>WIG;19940307;20360,7;20360,7;20360,7;20360,7;0</t>
  </si>
  <si>
    <t>WIG;19940308;20760,3;20760,3;20760,3;20760,3;0</t>
  </si>
  <si>
    <t>WIG;19940310;20623,4;20623,4;20623,4;20623,4;0</t>
  </si>
  <si>
    <t>WIG;19940314;20457,3;20457,3;20457,3;20457,3;0</t>
  </si>
  <si>
    <t>WIG;19940315;20710,1;20710,1;20710,1;20710,1;0</t>
  </si>
  <si>
    <t>WIG;19940317;20191,3;20191,3;20191,3;20191,3;0</t>
  </si>
  <si>
    <t>WIG;19940321;18414,2;18414,2;18414,2;18414,2;0</t>
  </si>
  <si>
    <t>WIG;19940322;17236,8;17236,8;17236,8;17236,8;0</t>
  </si>
  <si>
    <t>WIG;19940324;18519,7;18519,7;18519,7;18519,7;0</t>
  </si>
  <si>
    <t>WIG;19940328;17646,3;17646,3;17646,3;17646,3;0</t>
  </si>
  <si>
    <t>WIG;19940329;16047,1;16047,1;16047,1;16047,1;0</t>
  </si>
  <si>
    <t>WIG;19940331;14536,9;14536,9;14536,9;14536,9;0</t>
  </si>
  <si>
    <t>WIG;19940405;13785,1;13785,1;13785,1;13785,1;0</t>
  </si>
  <si>
    <t>WIG;19940407;14014,5;14014,5;14014,5;14014,5;0</t>
  </si>
  <si>
    <t>WIG;19940408;13396,4;13396,4;13396,4;13396,4;0</t>
  </si>
  <si>
    <t>WIG;19940411;11959,7;11959,7;11959,7;11959,7;0</t>
  </si>
  <si>
    <t>WIG;19940412;10701,8;10701,8;10701,8;10701,8;0</t>
  </si>
  <si>
    <t>WIG;19940414;9980,4;9980,4;9980,4;9980,4;0</t>
  </si>
  <si>
    <t>WIG;19940418;10498,9;10498,9;10498,9;10498,9;0</t>
  </si>
  <si>
    <t>WIG;19940419;11298,9;11298,9;11298,9;11298,9;0</t>
  </si>
  <si>
    <t>WIG;19940421;13099;13099;13099;13099;0</t>
  </si>
  <si>
    <t>WIG;19940425;13557,6;13557,6;13557,6;13557,6;0</t>
  </si>
  <si>
    <t>WIG;19940426;12221,7;12221,7;12221,7;12221,7;0</t>
  </si>
  <si>
    <t>WIG;19940428;11020,3;11020,3;11020,3;11020,3;0</t>
  </si>
  <si>
    <t>WIG;19940505;11389,4;11389,4;11389,4;11389,4;0</t>
  </si>
  <si>
    <t>WIG;19940506;10852,3;10852,3;10852,3;10852,3;0</t>
  </si>
  <si>
    <t>WIG;19940509;10406,2;10406,2;10406,2;10406,2;0</t>
  </si>
  <si>
    <t>WIG;19940510;10399,7;10399,7;10399,7;10399,7;0</t>
  </si>
  <si>
    <t>WIG;19940512;10674,6;10674,6;10674,6;10674,6;0</t>
  </si>
  <si>
    <t>WIG;19940516;11615,3;11615,3;11615,3;11615,3;0</t>
  </si>
  <si>
    <t>WIG;19940517;11451,8;11451,8;11451,8;11451,8;0</t>
  </si>
  <si>
    <t>WIG;19940519;11817,8;11817,8;11817,8;11817,8;0</t>
  </si>
  <si>
    <t>WIG;19940523;12240,8;12240,8;12240,8;12240,8;0</t>
  </si>
  <si>
    <t>WIG;19940524;12479,6;12479,6;12479,6;12479,6;0</t>
  </si>
  <si>
    <t>WIG;19940526;12289,7;12289,7;12289,7;12289,7;0</t>
  </si>
  <si>
    <t>WIG;19940530;12219,6;12219,6;12219,6;12219,6;0</t>
  </si>
  <si>
    <t>WIG;19940531;12036,7;12036,7;12036,7;12036,7;0</t>
  </si>
  <si>
    <t>WIG;19940601;11166;11166;11166;11166;0</t>
  </si>
  <si>
    <t>WIG;19940606;10598,2;10598,2;10598,2;10598,2;0</t>
  </si>
  <si>
    <t>WIG;19940607;10221,7;10221,7;10221,7;10221,7;0</t>
  </si>
  <si>
    <t>WIG;19940609;9712,7;9712,7;9712,7;9712,7;0</t>
  </si>
  <si>
    <t>WIG;19940613;8757,3;8757,3;8757,3;8757,3;0</t>
  </si>
  <si>
    <t>WIG;19940614;7934;7934;7934;7934;0</t>
  </si>
  <si>
    <t>WIG;19940616;8386,5;8386,5;8386,5;8386,5;0</t>
  </si>
  <si>
    <t>WIG;19940620;7893,8;7893,8;7893,8;7893,8;0</t>
  </si>
  <si>
    <t>WIG;19940621;7410,6;7410,6;7410,6;7410,6;0</t>
  </si>
  <si>
    <t>WIG;19940623;7215,2;7215,2;7215,2;7215,2;0</t>
  </si>
  <si>
    <t>WIG;19940627;7678,3;7678,3;7678,3;7678,3;0</t>
  </si>
  <si>
    <t>WIG;19940628;7921,9;7921,9;7921,9;7921,9;0</t>
  </si>
  <si>
    <t>WIG;19940630;7792,5;7792,5;7792,5;7792,5;0</t>
  </si>
  <si>
    <t>WIG;19940704;8019;8019;8019;8019;0</t>
  </si>
  <si>
    <t>WIG;19940705;8472,7;8472,7;8472,7;8472,7;0</t>
  </si>
  <si>
    <t>WIG;19940706;8833,4;8833,4;8833,4;8833,4;0</t>
  </si>
  <si>
    <t>WIG;19940707;9164,1;9164,1;9164,1;9164,1;0</t>
  </si>
  <si>
    <t>WIG;19940711;9610;9610;9610;9610;0</t>
  </si>
  <si>
    <t>WIG;19940712;10258,2;10258,2;10258,2;10258,2;0</t>
  </si>
  <si>
    <t>WIG;19940713;11062,9;11062,9;11062,9;11062,9;0</t>
  </si>
  <si>
    <t>WIG;19940714;10407,1;10407,1;10407,1;10407,1;0</t>
  </si>
  <si>
    <t>WIG;19940718;11065,3;11065,3;11065,3;11065,3;0</t>
  </si>
  <si>
    <t>WIG;19940719;11665,1;11665,1;11665,1;11665,1;0</t>
  </si>
  <si>
    <t>WIG;19940720;10608,5;10608,5;10608,5;10608,5;0</t>
  </si>
  <si>
    <t>WIG;19940721;11018,8;11018,8;11018,8;11018,8;0</t>
  </si>
  <si>
    <t>WIG;19940725;10496,3;10496,3;10496,3;10496,3;0</t>
  </si>
  <si>
    <t>WIG;19940726;10383;10383;10383;10383;0</t>
  </si>
  <si>
    <t>WIG;19940727;10685;10685;10685;10685;0</t>
  </si>
  <si>
    <t>WIG;19940728;10715,8;10715,8;10715,8;10715,8;0</t>
  </si>
  <si>
    <t>WIG;19940801;10799,4;10799,4;10799,4;10799,4;0</t>
  </si>
  <si>
    <t>WIG;19940802;10952,7;10952,7;10952,7;10952,7;0</t>
  </si>
  <si>
    <t>WIG;19940803;11363,4;11363,4;11363,4;11363,4;0</t>
  </si>
  <si>
    <t>WIG;19940804;11790,3;11790,3;11790,3;11790,3;0</t>
  </si>
  <si>
    <t>WIG;19940808;11976,4;11976,4;11976,4;11976,4;0</t>
  </si>
  <si>
    <t>WIG;19940809;11887,8;11887,8;11887,8;11887,8;0</t>
  </si>
  <si>
    <t>WIG;19940810;11715,2;11715,2;11715,2;11715,2;0</t>
  </si>
  <si>
    <t>WIG;19940811;11762,8;11762,8;11762,8;11762,8;0</t>
  </si>
  <si>
    <t>WIG;19940816;12014,3;12014,3;12014,3;12014,3;0</t>
  </si>
  <si>
    <t>WIG;19940817;12145,7;12145,7;12145,7;12145,7;0</t>
  </si>
  <si>
    <t>WIG;19940818;12481,2;12481,2;12481,2;12481,2;0</t>
  </si>
  <si>
    <t>WIG;19940822;12430,9;12430,9;12430,9;12430,9;0</t>
  </si>
  <si>
    <t>WIG;19940823;12507;12507;12507;12507;0</t>
  </si>
  <si>
    <t>WIG;19940824;11971,2;11971,2;11971,2;11971,2;0</t>
  </si>
  <si>
    <t>WIG;19940825;11458,2;11458,2;11458,2;11458,2;0</t>
  </si>
  <si>
    <t>WIG;19940829;11503,5;11503,5;11503,5;11503,5;0</t>
  </si>
  <si>
    <t>WIG;19940830;11698,8;11698,8;11698,8;11698,8;0</t>
  </si>
  <si>
    <t>WIG;19940831;11181,4;11181,4;11181,4;11181,4;0</t>
  </si>
  <si>
    <t>WIG;19940901;10635;10635;10635;10635;0</t>
  </si>
  <si>
    <t>WIG;19940905;10417,2;10417,2;10417,2;10417,2;0</t>
  </si>
  <si>
    <t>WIG;19940906;9565,4;9565,4;9565,4;9565,4;0</t>
  </si>
  <si>
    <t>WIG;19940907;9274,4;9274,4;9274,4;9274,4;0</t>
  </si>
  <si>
    <t>WIG;19940908;10027,7;10027,7;10027,7;10027,7;0</t>
  </si>
  <si>
    <t>WIG;19940912;10537,3;10537,3;10537,3;10537,3;0</t>
  </si>
  <si>
    <t>WIG;19940913;9773;9773;9773;9773;0</t>
  </si>
  <si>
    <t>WIG;19940914;9545;9545;9545;9545;0</t>
  </si>
  <si>
    <t>WIG;19940915;9643,3;9643,3;9643,3;9643,3;0</t>
  </si>
  <si>
    <t>WIG;19940919;9613,1;9613,1;9613,1;9613,1;0</t>
  </si>
  <si>
    <t>WIG;19940920;9290,7;9290,7;9290,7;9290,7;0</t>
  </si>
  <si>
    <t>WIG;19940921;9118,8;9118,8;9118,8;9118,8;0</t>
  </si>
  <si>
    <t>WIG;19940922;9134,5;9134,5;9134,5;9134,5;0</t>
  </si>
  <si>
    <t>WIG;19940926;9110,7;9110,7;9110,7;9110,7;0</t>
  </si>
  <si>
    <t>WIG;19940927;8705,2;8705,2;8705,2;8705,2;0</t>
  </si>
  <si>
    <t>WIG;19940928;8838,7;8838,7;8838,7;8838,7;0</t>
  </si>
  <si>
    <t>WIG;19940929;9185,3;9185,3;9185,3;9185,3;0</t>
  </si>
  <si>
    <t>WIG;19941003;9456,3;9456,3;9456,3;9456,3;0</t>
  </si>
  <si>
    <t>WIG;19941004;9563,8;9563,8;9563,8;9563,8;0</t>
  </si>
  <si>
    <t>WIG;19941005;9900,6;9900,6;9900,6;9900,6;0</t>
  </si>
  <si>
    <t>WIG;19941006;9902,4;9902,4;9902,4;9902,4;0</t>
  </si>
  <si>
    <t>WIG;19941007;9911,6;9911,6;9911,6;9911,6;0</t>
  </si>
  <si>
    <t>WIG;19941010;9598,9;9598,9;9598,9;9598,9;0</t>
  </si>
  <si>
    <t>WIG;19941011;9328,9;9328,9;9328,9;9328,9;0</t>
  </si>
  <si>
    <t>WIG;19941012;9309,8;9309,8;9309,8;9309,8;0</t>
  </si>
  <si>
    <t>WIG;19941013;9074;9074;9074;9074;0</t>
  </si>
  <si>
    <t>WIG;19941014;9141,6;9141,6;9141,6;9141,6;0</t>
  </si>
  <si>
    <t>WIG;19941017;9234,3;9234,3;9234,3;9234,3;0</t>
  </si>
  <si>
    <t>WIG;19941018;9444,2;9444,2;9444,2;9444,2;0</t>
  </si>
  <si>
    <t>WIG;19941019;9293,7;9293,7;9293,7;9293,7;0</t>
  </si>
  <si>
    <t>WIG;19941020;9226;9226;9226;9226;0</t>
  </si>
  <si>
    <t>WIG;19941021;8979;8979;8979;8979;0</t>
  </si>
  <si>
    <t>WIG;19941024;8637,8;8637,8;8637,8;8637,8;0</t>
  </si>
  <si>
    <t>WIG;19941025;8497,1;8497,1;8497,1;8497,1;0</t>
  </si>
  <si>
    <t>WIG;19941026;8259,7;8259,7;8259,7;8259,7;0</t>
  </si>
  <si>
    <t>WIG;19941027;8012,3;8012,3;8012,3;8012,3;0</t>
  </si>
  <si>
    <t>WIG;19941028;7793,6;7793,6;7793,6;7793,6;0</t>
  </si>
  <si>
    <t>WIG;19941102;8078,4;8078,4;8078,4;8078,4;0</t>
  </si>
  <si>
    <t>WIG;19941103;8290,2;8290,2;8290,2;8290,2;0</t>
  </si>
  <si>
    <t>WIG;19941104;8006,9;8006,9;8006,9;8006,9;0</t>
  </si>
  <si>
    <t>WIG;19941107;7908,3;7908,3;7908,3;7908,3;0</t>
  </si>
  <si>
    <t>WIG;19941108;7848,1;7848,1;7848,1;7848,1;0</t>
  </si>
  <si>
    <t>WIG;19941109;7634,4;7634,4;7634,4;7634,4;0</t>
  </si>
  <si>
    <t>WIG;19941110;7446,1;7446,1;7446,1;7446,1;0</t>
  </si>
  <si>
    <t>WIG;19941114;7235,9;7235,9;7235,9;7235,9;0</t>
  </si>
  <si>
    <t>WIG;19941115;6880,8;6880,8;6880,8;6880,8;0</t>
  </si>
  <si>
    <t>WIG;19941116;6716,2;6716,2;6716,2;6716,2;0</t>
  </si>
  <si>
    <t>WIG;19941117;7152,7;7152,7;7152,7;7152,7;0</t>
  </si>
  <si>
    <t>WIG;19941118;7190,6;7190,6;7190,6;7190,6;0</t>
  </si>
  <si>
    <t>WIG;19941121;6841,3;6841,3;6841,3;6841,3;0</t>
  </si>
  <si>
    <t>WIG;19941122;6762;6762;6762;6762;0</t>
  </si>
  <si>
    <t>WIG;19941123;6898,2;6898,2;6898,2;6898,2;0</t>
  </si>
  <si>
    <t>WIG;19941124;6881,1;6881,1;6881,1;6881,1;0</t>
  </si>
  <si>
    <t>WIG;19941125;6939,7;6939,7;6939,7;6939,7;0</t>
  </si>
  <si>
    <t>WIG;19941128;7112,5;7112,5;7112,5;7112,5;0</t>
  </si>
  <si>
    <t>WIG;19941129;7522;7522;7522;7522;0</t>
  </si>
  <si>
    <t>WIG;19941130;7959,3;7959,3;7959,3;7959,3;0</t>
  </si>
  <si>
    <t>WIG;19941201;8177;8177;8177;8177;0</t>
  </si>
  <si>
    <t>WIG;19941202;8030,5;8030,5;8030,5;8030,5;0</t>
  </si>
  <si>
    <t>WIG;19941205;8118,9;8118,9;8118,9;8118,9;0</t>
  </si>
  <si>
    <t>WIG;19941206;8046,2;8046,2;8046,2;8046,2;0</t>
  </si>
  <si>
    <t>WIG;19941207;7702,5;7702,5;7702,5;7702,5;0</t>
  </si>
  <si>
    <t>WIG;19941208;7247,4;7247,4;7247,4;7247,4;0</t>
  </si>
  <si>
    <t>WIG;19941209;6961,6;6961,6;6961,6;6961,6;0</t>
  </si>
  <si>
    <t>WIG;19941212;7391,9;7391,9;7391,9;7391,9;0</t>
  </si>
  <si>
    <t>WIG;19941213;7379;7379;7379;7379;0</t>
  </si>
  <si>
    <t>WIG;19941214;7203,6;7203,6;7203,6;7203,6;0</t>
  </si>
  <si>
    <t>WIG;19941215;7197,1;7197,1;7197,1;7197,1;0</t>
  </si>
  <si>
    <t>WIG;19941216;7352,2;7352,2;7352,2;7352,2;0</t>
  </si>
  <si>
    <t>WIG;19941219;7551,8;7551,8;7551,8;7551,8;0</t>
  </si>
  <si>
    <t>WIG;19941220;7319,9;7319,9;7319,9;7319,9;0</t>
  </si>
  <si>
    <t>WIG;19941221;7354,9;7354,9;7354,9;7354,9;0</t>
  </si>
  <si>
    <t>WIG;19941222;7314,8;7314,8;7314,8;7314,8;0</t>
  </si>
  <si>
    <t>WIG;19941223;7339,4;7339,4;7339,4;7339,4;0</t>
  </si>
  <si>
    <t>WIG;19941227;7315,6;7315,6;7315,6;7315,6;0</t>
  </si>
  <si>
    <t>WIG;19941228;7196,7;7196,7;7196,7;7196,7;0</t>
  </si>
  <si>
    <t>WIG;19941229;7473,1;7473,1;7473,1;7473,1;0</t>
  </si>
  <si>
    <t>WIG;19950102;7674,4;7674,4;7674,4;7674,4;0</t>
  </si>
  <si>
    <t>WIG;19950103;7964,9;7964,9;7964,9;7964,9;0</t>
  </si>
  <si>
    <t>WIG;19950104;7814,2;7814,2;7814,2;7814,2;0</t>
  </si>
  <si>
    <t>WIG;19950105;7881,9;7881,9;7881,9;7881,9;0</t>
  </si>
  <si>
    <t>WIG;19950106;7538,9;7538,9;7538,9;7538,9;0</t>
  </si>
  <si>
    <t>WIG;19950109;7636,8;7636,8;7636,8;7636,8;0</t>
  </si>
  <si>
    <t>WIG;19950110;7430,6;7430,6;7430,6;7430,6;0</t>
  </si>
  <si>
    <t>WIG;19950111;7501,5;7501,5;7501,5;7501,5;0</t>
  </si>
  <si>
    <t>WIG;19950112;7471,1;7471,1;7471,1;7471,1;0</t>
  </si>
  <si>
    <t>WIG;19950113;7619;7619;7619;7619;0</t>
  </si>
  <si>
    <t>WIG;19950116;7621,5;7621,5;7621,5;7621,5;0</t>
  </si>
  <si>
    <t>WIG;19950117;7567,6;7567,6;7567,6;7567,6;0</t>
  </si>
  <si>
    <t>WIG;19950118;7509,6;7509,6;7509,6;7509,6;0</t>
  </si>
  <si>
    <t>WIG;19950119;7450,2;7450,2;7450,2;7450,2;0</t>
  </si>
  <si>
    <t>WIG;19950120;7366,8;7366,8;7366,8;7366,8;0</t>
  </si>
  <si>
    <t>WIG;19950123;7118,2;7118,2;7118,2;7118,2;0</t>
  </si>
  <si>
    <t>WIG;19950124;6957,3;6957,3;6957,3;6957,3;0</t>
  </si>
  <si>
    <t>WIG;19950125;6949,4;6949,4;6949,4;6949,4;0</t>
  </si>
  <si>
    <t>WIG;19950126;6757,4;6757,4;6757,4;6757,4;0</t>
  </si>
  <si>
    <t>WIG;19950127;6583,7;6583,7;6583,7;6583,7;0</t>
  </si>
  <si>
    <t>WIG;19950130;6462,1;6462,1;6462,1;6462,1;0</t>
  </si>
  <si>
    <t>WIG;19950131;6153;6153;6153;6153;0</t>
  </si>
  <si>
    <t>WIG;19950201;6258,6;6258,6;6258,6;6258,6;0</t>
  </si>
  <si>
    <t>WIG;19950202;6069,5;6069,5;6069,5;6069,5;0</t>
  </si>
  <si>
    <t>WIG;19950203;5926,4;5926,4;5926,4;5926,4;0</t>
  </si>
  <si>
    <t>WIG;19950206;6279;6279;6279;6279;0</t>
  </si>
  <si>
    <t>WIG;19950207;6765,4;6765,4;6765,4;6765,4;0</t>
  </si>
  <si>
    <t>WIG;19950208;6661;6661;6661;6661;0</t>
  </si>
  <si>
    <t>WIG;19950209;6741,3;6741,3;6741,3;6741,3;0</t>
  </si>
  <si>
    <t>WIG;19950210;6598,7;6598,7;6598,7;6598,7;0</t>
  </si>
  <si>
    <t>WIG;19950213;6436,8;6436,8;6436,8;6436,8;0</t>
  </si>
  <si>
    <t>WIG;19950214;6596,4;6596,4;6596,4;6596,4;0</t>
  </si>
  <si>
    <t>WIG;19950215;6633,6;6633,6;6633,6;6633,6;0</t>
  </si>
  <si>
    <t>WIG;19950216;6725,9;6725,9;6725,9;6725,9;0</t>
  </si>
  <si>
    <t>WIG;19950217;6725,5;6725,5;6725,5;6725,5;0</t>
  </si>
  <si>
    <t>WIG;19950220;6599,6;6599,6;6599,6;6599,6;0</t>
  </si>
  <si>
    <t>WIG;19950221;6277,3;6277,3;6277,3;6277,3;0</t>
  </si>
  <si>
    <t>WIG;19950222;6246,7;6246,7;6246,7;6246,7;0</t>
  </si>
  <si>
    <t>WIG;19950223;6419,8;6419,8;6419,8;6419,8;0</t>
  </si>
  <si>
    <t>WIG;19950224;6903,4;6903,4;6903,4;6903,4;0</t>
  </si>
  <si>
    <t>WIG;19950227;6604;6604;6604;6604;0</t>
  </si>
  <si>
    <t>WIG;19950228;6447,3;6447,3;6447,3;6447,3;0</t>
  </si>
  <si>
    <t>WIG;19950301;6460,2;6460,2;6460,2;6460,2;0</t>
  </si>
  <si>
    <t>WIG;19950302;6541;6541;6541;6541;0</t>
  </si>
  <si>
    <t>WIG;19950303;6698,9;6698,9;6698,9;6698,9;0</t>
  </si>
  <si>
    <t>WIG;19950306;6720;6720;6720;6720;0</t>
  </si>
  <si>
    <t>WIG;19950307;6668,5;6668,5;6668,5;6668,5;0</t>
  </si>
  <si>
    <t>WIG;19950308;6662,3;6662,3;6662,3;6662,3;0</t>
  </si>
  <si>
    <t>WIG;19950309;6661,6;6661,6;6661,6;6661,6;0</t>
  </si>
  <si>
    <t>WIG;19950310;6561,5;6561,5;6561,5;6561,5;0</t>
  </si>
  <si>
    <t>WIG;19950313;6521,9;6521,9;6521,9;6521,9;0</t>
  </si>
  <si>
    <t>WIG;19950314;6347,9;6347,9;6347,9;6347,9;0</t>
  </si>
  <si>
    <t>WIG;19950315;6352,6;6352,6;6352,6;6352,6;0</t>
  </si>
  <si>
    <t>WIG;19950316;6282;6282;6282;6282;0</t>
  </si>
  <si>
    <t>WIG;19950317;6210,3;6210,3;6210,3;6210,3;0</t>
  </si>
  <si>
    <t>WIG;19950320;6153,7;6153,7;6153,7;6153,7;0</t>
  </si>
  <si>
    <t>WIG;19950321;6069,6;6069,6;6069,6;6069,6;0</t>
  </si>
  <si>
    <t>WIG;19950322;5977,1;5977,1;5977,1;5977,1;0</t>
  </si>
  <si>
    <t>WIG;19950323;5922,1;5922,1;5922,1;5922,1;0</t>
  </si>
  <si>
    <t>WIG;19950324;5949,5;5949,5;5949,5;5949,5;0</t>
  </si>
  <si>
    <t>WIG;19950327;6070,5;6070,5;6070,5;6070,5;0</t>
  </si>
  <si>
    <t>WIG;19950328;5904,7;5904,7;5904,7;5904,7;0</t>
  </si>
  <si>
    <t>WIG;19950329;5945,6;5945,6;5945,6;5945,6;0</t>
  </si>
  <si>
    <t>WIG;19950330;6059,1;6059,1;6059,1;6059,1;0</t>
  </si>
  <si>
    <t>WIG;19950331;6175,9;6175,9;6175,9;6175,9;0</t>
  </si>
  <si>
    <t>WIG;19950403;6166,8;6166,8;6166,8;6166,8;0</t>
  </si>
  <si>
    <t>WIG;19950404;6328,5;6328,5;6328,5;6328,5;0</t>
  </si>
  <si>
    <t>WIG;19950405;6486,6;6486,6;6486,6;6486,6;0</t>
  </si>
  <si>
    <t>WIG;19950406;6739,9;6739,9;6739,9;6739,9;0</t>
  </si>
  <si>
    <t>WIG;19950407;6919,9;6919,9;6919,9;6919,9;0</t>
  </si>
  <si>
    <t>WIG;19950410;7264,5;7264,5;7264,5;7264,5;0</t>
  </si>
  <si>
    <t>WIG;19950411;7375,4;7375,4;7375,4;7375,4;0</t>
  </si>
  <si>
    <t>WIG;19950412;7382,4;7382,4;7382,4;7382,4;0</t>
  </si>
  <si>
    <t>WIG;19950413;7110,2;7110,2;7110,2;7110,2;0</t>
  </si>
  <si>
    <t>WIG;19950414;7304,4;7304,4;7304,4;7304,4;0</t>
  </si>
  <si>
    <t>WIG;19950418;7622,4;7622,4;7622,4;7622,4;0</t>
  </si>
  <si>
    <t>WIG;19950419;8125,6;8125,6;8125,6;8125,6;0</t>
  </si>
  <si>
    <t>WIG;19950420;8535,7;8535,7;8535,7;8535,7;0</t>
  </si>
  <si>
    <t>WIG;19950421;8394;8394;8394;8394;0</t>
  </si>
  <si>
    <t>WIG;19950424;8941,6;8941,6;8941,6;8941,6;0</t>
  </si>
  <si>
    <t>WIG;19950425;9268,7;9268,7;9268,7;9268,7;0</t>
  </si>
  <si>
    <t>WIG;19950426;8611,6;8611,6;8611,6;8611,6;0</t>
  </si>
  <si>
    <t>WIG;19950427;8917,2;8917,2;8917,2;8917,2;0</t>
  </si>
  <si>
    <t>WIG;19950428;8761,8;8761,8;8761,8;8761,8;0</t>
  </si>
  <si>
    <t>WIG;19950504;8725;8725;8725;8725;0</t>
  </si>
  <si>
    <t>WIG;19950505;8566;8566;8566;8566;0</t>
  </si>
  <si>
    <t>WIG;19950509;8679;8679;8679;8679;0</t>
  </si>
  <si>
    <t>WIG;19950510;8936,4;8936,4;8936,4;8936,4;0</t>
  </si>
  <si>
    <t>WIG;19950511;9198,9;9198,9;9198,9;9198,9;0</t>
  </si>
  <si>
    <t>WIG;19950512;9396,9;9396,9;9396,9;9396,9;0</t>
  </si>
  <si>
    <t>WIG;19950515;9274,5;9274,5;9274,5;9274,5;0</t>
  </si>
  <si>
    <t>WIG;19950516;8908,7;8908,7;8908,7;8908,7;0</t>
  </si>
  <si>
    <t>WIG;19950517;8528,6;8528,6;8528,6;8528,6;0</t>
  </si>
  <si>
    <t>WIG;19950518;8436,7;8436,7;8436,7;8436,7;0</t>
  </si>
  <si>
    <t>WIG;19950519;8298,1;8298,1;8298,1;8298,1;0</t>
  </si>
  <si>
    <t>WIG;19950522;7832,4;7832,4;7832,4;7832,4;0</t>
  </si>
  <si>
    <t>WIG;19950523;7433,9;7433,9;7433,9;7433,9;0</t>
  </si>
  <si>
    <t>WIG;19950524;7977;7977;7977;7977;0</t>
  </si>
  <si>
    <t>WIG;19950525;8494,2;8494,2;8494,2;8494,2;0</t>
  </si>
  <si>
    <t>WIG;19950526;8048,6;8048,6;8048,6;8048,6;0</t>
  </si>
  <si>
    <t>WIG;19950529;8412,3;8412,3;8412,3;8412,3;0</t>
  </si>
  <si>
    <t>WIG;19950530;7901,7;7901,7;7901,7;7901,7;0</t>
  </si>
  <si>
    <t>WIG;19950531;7936,7;7936,7;7936,7;7936,7;0</t>
  </si>
  <si>
    <t>WIG;19950601;7667,8;7667,8;7667,8;7667,8;0</t>
  </si>
  <si>
    <t>WIG;19950602;7677,9;7677,9;7677,9;7677,9;0</t>
  </si>
  <si>
    <t>WIG;19950605;8065,7;8065,7;8065,7;8065,7;0</t>
  </si>
  <si>
    <t>WIG;19950606;8178,3;8178,3;8178,3;8178,3;0</t>
  </si>
  <si>
    <t>WIG;19950607;8229,2;8229,2;8229,2;8229,2;0</t>
  </si>
  <si>
    <t>WIG;19950608;8198;8198;8198;8198;0</t>
  </si>
  <si>
    <t>WIG;19950609;8123,3;8123,3;8123,3;8123,3;0</t>
  </si>
  <si>
    <t>WIG;19950612;8079,3;8079,3;8079,3;8079,3;0</t>
  </si>
  <si>
    <t>WIG;19950613;8041,7;8041,7;8041,7;8041,7;0</t>
  </si>
  <si>
    <t>WIG;19950614;8035,9;8035,9;8035,9;8035,9;0</t>
  </si>
  <si>
    <t>WIG;19950616;7819,8;7819,8;7819,8;7819,8;0</t>
  </si>
  <si>
    <t>WIG;19950619;7758,3;7758,3;7758,3;7758,3;0</t>
  </si>
  <si>
    <t>WIG;19950620;7956,8;7956,8;7956,8;7956,8;0</t>
  </si>
  <si>
    <t>WIG;19950621;8104,1;8104,1;8104,1;8104,1;0</t>
  </si>
  <si>
    <t>WIG;19950622;8072,5;8072,5;8072,5;8072,5;0</t>
  </si>
  <si>
    <t>WIG;19950623;8139,7;8139,7;8139,7;8139,7;0</t>
  </si>
  <si>
    <t>WIG;19950626;8410,1;8410,1;8410,1;8410,1;0</t>
  </si>
  <si>
    <t>WIG;19950627;8530,5;8530,5;8530,5;8530,5;0</t>
  </si>
  <si>
    <t>WIG;19950628;8378,9;8378,9;8378,9;8378,9;0</t>
  </si>
  <si>
    <t>WIG;19950629;8557;8557;8557;8557;0</t>
  </si>
  <si>
    <t>WIG;19950630;8701,3;8701,3;8701,3;8701,3;0</t>
  </si>
  <si>
    <t>WIG;19950703;8755,3;8755,3;8755,3;8755,3;0</t>
  </si>
  <si>
    <t>WIG;19950704;8739,7;8739,7;8739,7;8739,7;0</t>
  </si>
  <si>
    <t>WIG;19950705;8577,6;8577,6;8577,6;8577,6;0</t>
  </si>
  <si>
    <t>WIG;19950706;8608,4;8608,4;8608,4;8608,4;0</t>
  </si>
  <si>
    <t>WIG;19950707;8605,7;8605,7;8605,7;8605,7;0</t>
  </si>
  <si>
    <t>WIG;19950710;8589,7;8589,7;8589,7;8589,7;0</t>
  </si>
  <si>
    <t>WIG;19950711;8494,2;8494,2;8494,2;8494,2;0</t>
  </si>
  <si>
    <t>WIG;19950712;8334,9;8334,9;8334,9;8334,9;0</t>
  </si>
  <si>
    <t>WIG;19950713;8471,8;8471,8;8471,8;8471,8;0</t>
  </si>
  <si>
    <t>WIG;19950714;8486,5;8486,5;8486,5;8486,5;0</t>
  </si>
  <si>
    <t>WIG;19950717;8769,6;8769,6;8769,6;8769,6;0</t>
  </si>
  <si>
    <t>WIG;19950718;8984,9;8984,9;8984,9;8984,9;0</t>
  </si>
  <si>
    <t>WIG;19950719;8817,5;8817,5;8817,5;8817,5;0</t>
  </si>
  <si>
    <t>WIG;19950720;8780,5;8780,5;8780,5;8780,5;0</t>
  </si>
  <si>
    <t>WIG;19950721;8663;8663;8663;8663;0</t>
  </si>
  <si>
    <t>WIG;19950724;8456,2;8456,2;8456,2;8456,2;0</t>
  </si>
  <si>
    <t>WIG;19950725;8379,4;8379,4;8379,4;8379,4;0</t>
  </si>
  <si>
    <t>WIG;19950726;8440,4;8440,4;8440,4;8440,4;0</t>
  </si>
  <si>
    <t>WIG;19950727;8657,7;8657,7;8657,7;8657,7;0</t>
  </si>
  <si>
    <t>WIG;19950728;8573,7;8573,7;8573,7;8573,7;0</t>
  </si>
  <si>
    <t>WIG;19950731;8399,3;8399,3;8399,3;8399,3;0</t>
  </si>
  <si>
    <t>WIG;19950801;8343,2;8343,2;8343,2;8343,2;0</t>
  </si>
  <si>
    <t>WIG;19950802;8422,8;8422,8;8422,8;8422,8;0</t>
  </si>
  <si>
    <t>WIG;19950803;8375,1;8375,1;8375,1;8375,1;0</t>
  </si>
  <si>
    <t>WIG;19950804;8341,2;8341,2;8341,2;8341,2;0</t>
  </si>
  <si>
    <t>WIG;19950807;8381,2;8381,2;8381,2;8381,2;0</t>
  </si>
  <si>
    <t>WIG;19950808;8317,7;8317,7;8317,7;8317,7;0</t>
  </si>
  <si>
    <t>WIG;19950809;8300,5;8300,5;8300,5;8300,5;0</t>
  </si>
  <si>
    <t>WIG;19950810;8440,2;8440,2;8440,2;8440,2;0</t>
  </si>
  <si>
    <t>WIG;19950811;8563,5;8563,5;8563,5;8563,5;0</t>
  </si>
  <si>
    <t>WIG;19950816;8602,9;8602,9;8602,9;8602,9;0</t>
  </si>
  <si>
    <t>WIG;19950817;8557,6;8557,6;8557,6;8557,6;0</t>
  </si>
  <si>
    <t>WIG;19950818;8533,3;8533,3;8533,3;8533,3;0</t>
  </si>
  <si>
    <t>WIG;19950821;8507,4;8507,4;8507,4;8507,4;0</t>
  </si>
  <si>
    <t>WIG;19950822;8458;8458;8458;8458;0</t>
  </si>
  <si>
    <t>WIG;19950823;8465,7;8465,7;8465,7;8465,7;0</t>
  </si>
  <si>
    <t>WIG;19950824;8489,2;8489,2;8489,2;8489,2;0</t>
  </si>
  <si>
    <t>WIG;19950825;8503,1;8503,1;8503,1;8503,1;0</t>
  </si>
  <si>
    <t>WIG;19950828;8496;8496;8496;8496;0</t>
  </si>
  <si>
    <t>WIG;19950829;8460,7;8460,7;8460,7;8460,7;0</t>
  </si>
  <si>
    <t>WIG;19950830;8381,6;8381,6;8381,6;8381,6;0</t>
  </si>
  <si>
    <t>WIG;19950831;8361,1;8361,1;8361,1;8361,1;0</t>
  </si>
  <si>
    <t>WIG;19950901;8436,1;8436,1;8436,1;8436,1;0</t>
  </si>
  <si>
    <t>WIG;19950904;8564,9;8564,9;8564,9;8564,9;0</t>
  </si>
  <si>
    <t>WIG;19950905;8676,1;8676,1;8676,1;8676,1;0</t>
  </si>
  <si>
    <t>WIG;19950906;8697,6;8697,6;8697,6;8697,6;0</t>
  </si>
  <si>
    <t>WIG;19950907;8742,2;8742,2;8742,2;8742,2;0</t>
  </si>
  <si>
    <t>WIG;19950908;8931,4;8931,4;8931,4;8931,4;0</t>
  </si>
  <si>
    <t>WIG;19950911;9171,9;9171,9;9171,9;9171,9;0</t>
  </si>
  <si>
    <t>WIG;19950912;9342,4;9342,4;9342,4;9342,4;0</t>
  </si>
  <si>
    <t>WIG;19950913;9217,1;9217,1;9217,1;9217,1;0</t>
  </si>
  <si>
    <t>WIG;19950914;9370,1;9370,1;9370,1;9370,1;0</t>
  </si>
  <si>
    <t>WIG;19950915;9132,2;9132,2;9132,2;9132,2;0</t>
  </si>
  <si>
    <t>WIG;19950918;8895,1;8895,1;8895,1;8895,1;0</t>
  </si>
  <si>
    <t>WIG;19950919;8758,4;8758,4;8758,4;8758,4;0</t>
  </si>
  <si>
    <t>WIG;19950920;8825,2;8825,2;8825,2;8825,2;0</t>
  </si>
  <si>
    <t>WIG;19950921;8805,1;8805,1;8805,1;8805,1;0</t>
  </si>
  <si>
    <t>WIG;19950922;8807,6;8807,6;8807,6;8807,6;0</t>
  </si>
  <si>
    <t>WIG;19950925;8728,6;8728,6;8728,6;8728,6;0</t>
  </si>
  <si>
    <t>WIG;19950926;8717,3;8717,3;8717,3;8717,3;0</t>
  </si>
  <si>
    <t>WIG;19950927;8843,5;8843,5;8843,5;8843,5;0</t>
  </si>
  <si>
    <t>WIG;19950928;8747,4;8747,4;8747,4;8747,4;0</t>
  </si>
  <si>
    <t>WIG;19950929;8761,1;8761,1;8761,1;8761,1;0</t>
  </si>
  <si>
    <t>WIG;19951002;8749;8749;8749;8749;0</t>
  </si>
  <si>
    <t>WIG;19951003;8676,5;8676,5;8676,5;8676,5;0</t>
  </si>
  <si>
    <t>WIG;19951004;8432,6;8432,6;8432,6;8432,6;0</t>
  </si>
  <si>
    <t>WIG;19951005;8358,4;8358,4;8358,4;8358,4;0</t>
  </si>
  <si>
    <t>WIG;19951006;8425,9;8425,9;8425,9;8425,9;0</t>
  </si>
  <si>
    <t>WIG;19951009;8218,3;8218,3;8218,3;8218,3;0</t>
  </si>
  <si>
    <t>WIG;19951010;7968,1;7968,1;7968,1;7968,1;0</t>
  </si>
  <si>
    <t>WIG;19951011;7981,1;7981,1;7981,1;7981,1;0</t>
  </si>
  <si>
    <t>WIG;19951012;7995;7995;7995;7995;0</t>
  </si>
  <si>
    <t>WIG;19951013;7892,8;7892,8;7892,8;7892,8;0</t>
  </si>
  <si>
    <t>WIG;19951016;7982;7982;7982;7982;0</t>
  </si>
  <si>
    <t>WIG;19951017;8139;8139;8139;8139;0</t>
  </si>
  <si>
    <t>WIG;19951018;8117,9;8117,9;8117,9;8117,9;0</t>
  </si>
  <si>
    <t>WIG;19951019;8080,9;8080,9;8080,9;8080,9;0</t>
  </si>
  <si>
    <t>WIG;19951020;7852,6;7852,6;7852,6;7852,6;0</t>
  </si>
  <si>
    <t>WIG;19951023;7905,8;7905,8;7905,8;7905,8;0</t>
  </si>
  <si>
    <t>WIG;19951024;7838,7;7838,7;7838,7;7838,7;0</t>
  </si>
  <si>
    <t>WIG;19951025;7879,8;7879,8;7879,8;7879,8;0</t>
  </si>
  <si>
    <t>WIG;19951026;7916,3;7916,3;7916,3;7916,3;0</t>
  </si>
  <si>
    <t>WIG;19951027;7846,7;7846,7;7846,7;7846,7;0</t>
  </si>
  <si>
    <t>WIG;19951030;7817;7817;7817;7817;0</t>
  </si>
  <si>
    <t>WIG;19951031;7796,2;7796,2;7796,2;7796,2;0</t>
  </si>
  <si>
    <t>WIG;19951102;8071,1;8071,1;8071,1;8071,1;0</t>
  </si>
  <si>
    <t>WIG;19951103;8193,7;8193,7;8193,7;8193,7;0</t>
  </si>
  <si>
    <t>WIG;19951106;8274,3;8274,3;8274,3;8274,3;0</t>
  </si>
  <si>
    <t>WIG;19951107;8315;8315;8315;8315;0</t>
  </si>
  <si>
    <t>WIG;19951108;8331,7;8331,7;8331,7;8331,7;0</t>
  </si>
  <si>
    <t>WIG;19951109;8275,1;8275,1;8275,1;8275,1;0</t>
  </si>
  <si>
    <t>WIG;19951110;8164,4;8164,4;8164,4;8164,4;0</t>
  </si>
  <si>
    <t>WIG;19951113;8116,9;8116,9;8116,9;8116,9;0</t>
  </si>
  <si>
    <t>WIG;19951114;8162,9;8162,9;8162,9;8162,9;0</t>
  </si>
  <si>
    <t>WIG;19951115;8189,2;8189,2;8189,2;8189,2;0</t>
  </si>
  <si>
    <t>WIG;19951116;8144,6;8144,6;8144,6;8144,6;0</t>
  </si>
  <si>
    <t>WIG;19951117;8147,8;8147,8;8147,8;8147,8;0</t>
  </si>
  <si>
    <t>WIG;19951120;7838,1;7838,1;7838,1;7838,1;0</t>
  </si>
  <si>
    <t>WIG;19951121;7788,4;7788,4;7788,4;7788,4;0</t>
  </si>
  <si>
    <t>WIG;19951122;7977,5;7977,5;7977,5;7977,5;0</t>
  </si>
  <si>
    <t>WIG;19951123;8011,5;8011,5;8011,5;8011,5;0</t>
  </si>
  <si>
    <t>WIG;19951124;7966,6;7966,6;7966,6;7966,6;0</t>
  </si>
  <si>
    <t>WIG;19951127;7962,6;7962,6;7962,6;7962,6;0</t>
  </si>
  <si>
    <t>WIG;19951128;7947,3;7947,3;7947,3;7947,3;0</t>
  </si>
  <si>
    <t>WIG;19951129;7894,4;7894,4;7894,4;7894,4;0</t>
  </si>
  <si>
    <t>WIG;19951130;7864,5;7864,5;7864,5;7864,5;0</t>
  </si>
  <si>
    <t>WIG;19951201;7916,2;7916,2;7916,2;7916,2;0</t>
  </si>
  <si>
    <t>WIG;19951204;8007,6;8007,6;8007,6;8007,6;0</t>
  </si>
  <si>
    <t>WIG;19951205;8078,7;8078,7;8078,7;8078,7;0</t>
  </si>
  <si>
    <t>WIG;19951206;7937,2;7937,2;7937,2;7937,2;0</t>
  </si>
  <si>
    <t>WIG;19951207;7922,4;7922,4;7922,4;7922,4;0</t>
  </si>
  <si>
    <t>WIG;19951208;7867,8;7867,8;7867,8;7867,8;0</t>
  </si>
  <si>
    <t>WIG;19951211;7965;7965;7965;7965;0</t>
  </si>
  <si>
    <t>WIG;19951212;7957,6;7957,6;7957,6;7957,6;0</t>
  </si>
  <si>
    <t>WIG;19951213;7894,1;7894,1;7894,1;7894,1;0</t>
  </si>
  <si>
    <t>WIG;19951214;7883,2;7883,2;7883,2;7883,2;0</t>
  </si>
  <si>
    <t>WIG;19951215;7836,7;7836,7;7836,7;7836,7;0</t>
  </si>
  <si>
    <t>WIG;19951218;7824,6;7824,6;7824,6;7824,6;0</t>
  </si>
  <si>
    <t>WIG;19951219;7725,6;7725,6;7725,6;7725,6;0</t>
  </si>
  <si>
    <t>WIG;19951220;7455,2;7455,2;7455,2;7455,2;0</t>
  </si>
  <si>
    <t>WIG;19951221;7478,9;7478,9;7478,9;7478,9;0</t>
  </si>
  <si>
    <t>WIG;19951222;7568,3;7568,3;7568,3;7568,3;0</t>
  </si>
  <si>
    <t>WIG;19951227;7659,5;7659,5;7659,5;7659,5;0</t>
  </si>
  <si>
    <t>WIG;19951228;7653,6;7653,6;7653,6;7653,6;0</t>
  </si>
  <si>
    <t>WIG;19951229;7585,9;7585,9;7585,9;7585,9;0</t>
  </si>
  <si>
    <t>WIG;19960102;7725,2;7725,2;7725,2;7725,2;0</t>
  </si>
  <si>
    <t>WIG;19960103;7826,7;7826,7;7826,7;7826,7;0</t>
  </si>
  <si>
    <t>WIG;19960104;7960,1;7960,1;7960,1;7960,1;0</t>
  </si>
  <si>
    <t>WIG;19960105;8298,9;8298,9;8298,9;8298,9;0</t>
  </si>
  <si>
    <t>WIG;19960108;8484,4;8484,4;8484,4;8484,4;0</t>
  </si>
  <si>
    <t>WIG;19960109;8811,5;8811,5;8811,5;8811,5;0</t>
  </si>
  <si>
    <t>WIG;19960110;8807,8;8807,8;8807,8;8807,8;0</t>
  </si>
  <si>
    <t>WIG;19960111;8980;8980;8980;8980;0</t>
  </si>
  <si>
    <t>WIG;19960112;8926,2;8926,2;8926,2;8926,2;0</t>
  </si>
  <si>
    <t>WIG;19960115;8834,8;8834,8;8834,8;8834,8;0</t>
  </si>
  <si>
    <t>WIG;19960116;8798,7;8798,7;8798,7;8798,7;0</t>
  </si>
  <si>
    <t>WIG;19960117;8912,2;8912,2;8912,2;8912,2;0</t>
  </si>
  <si>
    <t>WIG;19960118;8791,2;8791,2;8791,2;8791,2;0</t>
  </si>
  <si>
    <t>WIG;19960119;8712,7;8712,7;8712,7;8712,7;0</t>
  </si>
  <si>
    <t>WIG;19960122;8899,9;8899,9;8899,9;8899,9;0</t>
  </si>
  <si>
    <t>WIG;19960123;8962,1;8962,1;8962,1;8962,1;0</t>
  </si>
  <si>
    <t>WIG;19960124;9274,3;9274,3;9274,3;9274,3;0</t>
  </si>
  <si>
    <t>WIG;19960125;9716,7;9716,7;9716,7;9716,7;0</t>
  </si>
  <si>
    <t>WIG;19960126;9969;9969;9969;9969;0</t>
  </si>
  <si>
    <t>WIG;19960129;10182,1;10182,1;10182,1;10182,1;0</t>
  </si>
  <si>
    <t>WIG;19960130;10171,5;10171,5;10171,5;10171,5;0</t>
  </si>
  <si>
    <t>WIG;19960131;10413,1;10413,1;10413,1;10413,1;0</t>
  </si>
  <si>
    <t>WIG;19960201;10277,3;10277,3;10277,3;10277,3;0</t>
  </si>
  <si>
    <t>WIG;19960202;10501,6;10501,6;10501,6;10501,6;0</t>
  </si>
  <si>
    <t>WIG;19960205;10452,4;10452,4;10452,4;10452,4;0</t>
  </si>
  <si>
    <t>WIG;19960206;10522,3;10522,3;10522,3;10522,3;0</t>
  </si>
  <si>
    <t>WIG;19960207;10422,9;10422,9;10422,9;10422,9;0</t>
  </si>
  <si>
    <t>WIG;19960208;10503,2;10503,2;10503,2;10503,2;0</t>
  </si>
  <si>
    <t>WIG;19960209;10713,5;10713,5;10713,5;10713,5;0</t>
  </si>
  <si>
    <t>WIG;19960212;11160,3;11160,3;11160,3;11160,3;0</t>
  </si>
  <si>
    <t>WIG;19960213;10748;10748;10748;10748;0</t>
  </si>
  <si>
    <t>WIG;19960214;10663,8;10663,8;10663,8;10663,8;0</t>
  </si>
  <si>
    <t>WIG;19960215;10554,6;10554,6;10554,6;10554,6;0</t>
  </si>
  <si>
    <t>WIG;19960216;10569,2;10569,2;10569,2;10569,2;0</t>
  </si>
  <si>
    <t>WIG;19960219;10539,5;10539,5;10539,5;10539,5;0</t>
  </si>
  <si>
    <t>WIG;19960220;10249,7;10249,7;10249,7;10249,7;0</t>
  </si>
  <si>
    <t>WIG;19960221;10169,4;10169,4;10169,4;10169,4;0</t>
  </si>
  <si>
    <t>WIG;19960222;10413,4;10413,4;10413,4;10413,4;0</t>
  </si>
  <si>
    <t>WIG;19960223;10338,2;10338,2;10338,2;10338,2;0</t>
  </si>
  <si>
    <t>WIG;19960226;10413,6;10413,6;10413,6;10413,6;0</t>
  </si>
  <si>
    <t>WIG;19960227;10502,1;10502,1;10502,1;10502,1;0</t>
  </si>
  <si>
    <t>WIG;19960228;10630,6;10630,6;10630,6;10630,6;0</t>
  </si>
  <si>
    <t>WIG;19960229;11028,5;11028,5;11028,5;11028,5;0</t>
  </si>
  <si>
    <t>WIG;19960301;11147;11147;11147;11147;0</t>
  </si>
  <si>
    <t>WIG;19960304;11469,8;11469,8;11469,8;11469,8;0</t>
  </si>
  <si>
    <t>WIG;19960305;11658,3;11658,3;11658,3;11658,3;0</t>
  </si>
  <si>
    <t>WIG;19960306;11810,8;11810,8;11810,8;11810,8;0</t>
  </si>
  <si>
    <t>WIG;19960307;11898,6;11898,6;11898,6;11898,6;0</t>
  </si>
  <si>
    <t>WIG;19960308;11941,8;11941,8;11941,8;11941,8;0</t>
  </si>
  <si>
    <t>WIG;19960311;11419,3;11419,3;11419,3;11419,3;0</t>
  </si>
  <si>
    <t>WIG;19960312;11403,6;11403,6;11403,6;11403,6;0</t>
  </si>
  <si>
    <t>WIG;19960313;11552,1;11552,1;11552,1;11552,1;0</t>
  </si>
  <si>
    <t>WIG;19960314;11421,5;11421,5;11421,5;11421,5;0</t>
  </si>
  <si>
    <t>WIG;19960315;11484,1;11484,1;11484,1;11484,1;0</t>
  </si>
  <si>
    <t>WIG;19960318;11801,8;11801,8;11801,8;11801,8;0</t>
  </si>
  <si>
    <t>WIG;19960319;12042,3;12042,3;12042,3;12042,3;0</t>
  </si>
  <si>
    <t>WIG;19960320;11807,4;11807,4;11807,4;11807,4;0</t>
  </si>
  <si>
    <t>WIG;19960321;11731,1;11731,1;11731,1;11731,1;0</t>
  </si>
  <si>
    <t>WIG;19960322;11467,3;11467,3;11467,3;11467,3;0</t>
  </si>
  <si>
    <t>WIG;19960325;11328,7;11328,7;11328,7;11328,7;0</t>
  </si>
  <si>
    <t>WIG;19960326;11298,1;11298,1;11298,1;11298,1;0</t>
  </si>
  <si>
    <t>WIG;19960327;11414,4;11414,4;11414,4;11414,4;0</t>
  </si>
  <si>
    <t>WIG;19960328;11292,6;11292,6;11292,6;11292,6;0</t>
  </si>
  <si>
    <t>WIG;19960329;11378,5;11378,5;11378,5;11378,5;0</t>
  </si>
  <si>
    <t>WIG;19960401;11489,7;11489,7;11489,7;11489,7;0</t>
  </si>
  <si>
    <t>WIG;19960402;11434,8;11434,8;11434,8;11434,8;0</t>
  </si>
  <si>
    <t>WIG;19960403;11416,8;11416,8;11416,8;11416,8;0</t>
  </si>
  <si>
    <t>WIG;19960404;11519,5;11519,5;11519,5;11519,5;0</t>
  </si>
  <si>
    <t>WIG;19960405;11612,3;11612,3;11612,3;11612,3;0</t>
  </si>
  <si>
    <t>WIG;19960409;11641,1;11641,1;11641,1;11641,1;0</t>
  </si>
  <si>
    <t>WIG;19960410;11663,8;11663,8;11663,8;11663,8;0</t>
  </si>
  <si>
    <t>WIG;19960411;11671,4;11671,4;11671,4;11671,4;0</t>
  </si>
  <si>
    <t>WIG;19960412;11663,4;11663,4;11663,4;11663,4;0</t>
  </si>
  <si>
    <t>WIG;19960415;11697,3;11697,3;11697,3;11697,3;0</t>
  </si>
  <si>
    <t>WIG;19960416;11818,2;11818,2;11818,2;11818,2;0</t>
  </si>
  <si>
    <t>WIG;19960417;11931,6;11931,6;11931,6;11931,6;0</t>
  </si>
  <si>
    <t>WIG;19960418;11907;11907;11907;11907;0</t>
  </si>
  <si>
    <t>WIG;19960419;11940,9;11940,9;11940,9;11940,9;0</t>
  </si>
  <si>
    <t>WIG;19960422;12140,7;12140,7;12140,7;12140,7;0</t>
  </si>
  <si>
    <t>WIG;19960423;12370,1;12370,1;12370,1;12370,1;0</t>
  </si>
  <si>
    <t>WIG;19960424;12413,7;12413,7;12413,7;12413,7;0</t>
  </si>
  <si>
    <t>WIG;19960425;12499;12499;12499;12499;0</t>
  </si>
  <si>
    <t>WIG;19960426;12377,3;12377,3;12377,3;12377,3;0</t>
  </si>
  <si>
    <t>WIG;19960429;12454,1;12454,1;12454,1;12454,1;0</t>
  </si>
  <si>
    <t>WIG;19960430;12439,6;12439,6;12439,6;12439,6;0</t>
  </si>
  <si>
    <t>WIG;19960506;12570,3;12570,3;12570,3;12570,3;0</t>
  </si>
  <si>
    <t>WIG;19960507;13114,5;13114,5;13114,5;13114,5;0</t>
  </si>
  <si>
    <t>WIG;19960508;13211,6;13211,6;13211,6;13211,6;0</t>
  </si>
  <si>
    <t>WIG;19960509;13257,9;13257,9;13257,9;13257,9;0</t>
  </si>
  <si>
    <t>WIG;19960510;13097,2;13097,2;13097,2;13097,2;0</t>
  </si>
  <si>
    <t>WIG;19960513;13072,8;13072,8;13072,8;13072,8;0</t>
  </si>
  <si>
    <t>WIG;19960514;12842,1;12842,1;12842,1;12842,1;0</t>
  </si>
  <si>
    <t>WIG;19960515;12743,6;12743,6;12743,6;12743,6;0</t>
  </si>
  <si>
    <t>WIG;19960516;12810,3;12810,3;12810,3;12810,3;0</t>
  </si>
  <si>
    <t>WIG;19960517;12857,1;12857,1;12857,1;12857,1;0</t>
  </si>
  <si>
    <t>WIG;19960520;12898;12898;12898;12898;0</t>
  </si>
  <si>
    <t>WIG;19960521;12683,2;12683,2;12683,2;12683,2;0</t>
  </si>
  <si>
    <t>WIG;19960522;12413,5;12413,5;12413,5;12413,5;0</t>
  </si>
  <si>
    <t>WIG;19960523;12015,2;12015,2;12015,2;12015,2;0</t>
  </si>
  <si>
    <t>WIG;19960524;11936,7;11936,7;11936,7;11936,7;0</t>
  </si>
  <si>
    <t>WIG;19960527;11909,2;11909,2;11909,2;11909,2;0</t>
  </si>
  <si>
    <t>WIG;19960528;11835,7;11835,7;11835,7;11835,7;0</t>
  </si>
  <si>
    <t>WIG;19960529;11875,9;11875,9;11875,9;11875,9;0</t>
  </si>
  <si>
    <t>WIG;19960530;11738,3;11738,3;11738,3;11738,3;0</t>
  </si>
  <si>
    <t>WIG;19960531;11894,7;11894,7;11894,7;11894,7;0</t>
  </si>
  <si>
    <t>WIG;19960603;12060;12060;12060;12060;0</t>
  </si>
  <si>
    <t>WIG;19960604;12314,8;12314,8;12314,8;12314,8;0</t>
  </si>
  <si>
    <t>WIG;19960605;12359,9;12359,9;12359,9;12359,9;0</t>
  </si>
  <si>
    <t>WIG;19960607;12646,9;12646,9;12646,9;12646,9;0</t>
  </si>
  <si>
    <t>WIG;19960610;13025,5;13025,5;13025,5;13025,5;0</t>
  </si>
  <si>
    <t>WIG;19960611;13140,9;13140,9;13140,9;13140,9;0</t>
  </si>
  <si>
    <t>WIG;19960612;13082,5;13082,5;13082,5;13082,5;0</t>
  </si>
  <si>
    <t>WIG;19960613;13024;13024;13024;13024;0</t>
  </si>
  <si>
    <t>WIG;19960614;12840,2;12840,2;12840,2;12840,2;0</t>
  </si>
  <si>
    <t>WIG;19960617;12944,6;12944,6;12944,6;12944,6;0</t>
  </si>
  <si>
    <t>WIG;19960618;12974,3;12974,3;12974,3;12974,3;0</t>
  </si>
  <si>
    <t>WIG;19960619;13091;13091;13091;13091;0</t>
  </si>
  <si>
    <t>WIG;19960620;13033,2;13033,2;13033,2;13033,2;0</t>
  </si>
  <si>
    <t>WIG;19960621;13097,8;13097,8;13097,8;13097,8;0</t>
  </si>
  <si>
    <t>WIG;19960624;13483,6;13483,6;13483,6;13483,6;0</t>
  </si>
  <si>
    <t>WIG;19960625;13670,7;13670,7;13670,7;13670,7;0</t>
  </si>
  <si>
    <t>WIG;19960626;13861,9;13861,9;13861,9;13861,9;0</t>
  </si>
  <si>
    <t>WIG;19960627;13841,2;13841,2;13841,2;13841,2;0</t>
  </si>
  <si>
    <t>WIG;19960628;13708,7;13708,7;13708,7;13708,7;0</t>
  </si>
  <si>
    <t>WIG;19960701;13781,4;13781,4;13781,4;13781,4;0</t>
  </si>
  <si>
    <t>WIG;19960702;13616,3;13616,3;13616,3;13616,3;0</t>
  </si>
  <si>
    <t>WIG;19960703;13699,1;13699,1;13699,1;13699,1;0</t>
  </si>
  <si>
    <t>WIG;19960704;14243,2;14243,2;14243,2;14243,2;0</t>
  </si>
  <si>
    <t>WIG;19960705;14282,2;14282,2;14282,2;14282,2;0</t>
  </si>
  <si>
    <t>WIG;19960708;14003,9;14003,9;14003,9;14003,9;0</t>
  </si>
  <si>
    <t>WIG;19960709;13872,6;13872,6;13872,6;13872,6;0</t>
  </si>
  <si>
    <t>WIG;19960710;13634,1;13634,1;13634,1;13634,1;0</t>
  </si>
  <si>
    <t>WIG;19960711;13424,9;13424,9;13424,9;13424,9;0</t>
  </si>
  <si>
    <t>WIG;19960712;13269,6;13269,6;13269,6;13269,6;0</t>
  </si>
  <si>
    <t>WIG;19960715;13394,3;13394,3;13394,3;13394,3;0</t>
  </si>
  <si>
    <t>WIG;19960716;13096,9;13096,9;13096,9;13096,9;0</t>
  </si>
  <si>
    <t>WIG;19960717;12875,2;12875,2;12875,2;12875,2;0</t>
  </si>
  <si>
    <t>WIG;19960718;12714,5;12714,5;12714,5;12714,5;0</t>
  </si>
  <si>
    <t>WIG;19960719;12670,6;12670,6;12670,6;12670,6;0</t>
  </si>
  <si>
    <t>WIG;19960722;12466,8;12466,8;12466,8;12466,8;0</t>
  </si>
  <si>
    <t>WIG;19960723;12391,8;12391,8;12391,8;12391,8;0</t>
  </si>
  <si>
    <t>WIG;19960724;12587,2;12587,2;12587,2;12587,2;0</t>
  </si>
  <si>
    <t>WIG;19960725;12754,2;12754,2;12754,2;12754,2;0</t>
  </si>
  <si>
    <t>WIG;19960726;12772,5;12772,5;12772,5;12772,5;0</t>
  </si>
  <si>
    <t>WIG;19960729;12977,4;12977,4;12977,4;12977,4;0</t>
  </si>
  <si>
    <t>WIG;19960730;12898,7;12898,7;12898,7;12898,7;0</t>
  </si>
  <si>
    <t>WIG;19960731;12887,3;12887,3;12887,3;12887,3;0</t>
  </si>
  <si>
    <t>WIG;19960801;12619,4;12619,4;12619,4;12619,4;0</t>
  </si>
  <si>
    <t>WIG;19960802;12336,8;12336,8;12336,8;12336,8;0</t>
  </si>
  <si>
    <t>WIG;19960805;12823,8;12823,8;12823,8;12823,8;0</t>
  </si>
  <si>
    <t>WIG;19960806;12686,5;12686,5;12686,5;12686,5;0</t>
  </si>
  <si>
    <t>WIG;19960807;12373,6;12373,6;12373,6;12373,6;0</t>
  </si>
  <si>
    <t>WIG;19960808;12458,1;12458,1;12458,1;12458,1;0</t>
  </si>
  <si>
    <t>WIG;19960809;12620,3;12620,3;12620,3;12620,3;0</t>
  </si>
  <si>
    <t>WIG;19960812;12549,2;12549,2;12549,2;12549,2;0</t>
  </si>
  <si>
    <t>WIG;19960813;12448;12448;12448;12448;0</t>
  </si>
  <si>
    <t>WIG;19960814;12492,6;12492,6;12492,6;12492,6;0</t>
  </si>
  <si>
    <t>WIG;19960816;12704,7;12704,7;12704,7;12704,7;0</t>
  </si>
  <si>
    <t>WIG;19960819;12974,6;12974,6;12974,6;12974,6;0</t>
  </si>
  <si>
    <t>WIG;19960820;13183,8;13183,8;13183,8;13183,8;0</t>
  </si>
  <si>
    <t>WIG;19960821;13218,4;13218,4;13218,4;13218,4;0</t>
  </si>
  <si>
    <t>WIG;19960822;13597,4;13597,4;13597,4;13597,4;0</t>
  </si>
  <si>
    <t>WIG;19960823;13888,2;13888,2;13888,2;13888,2;0</t>
  </si>
  <si>
    <t>WIG;19960826;13814,4;13814,4;13814,4;13814,4;0</t>
  </si>
  <si>
    <t>WIG;19960827;13645,1;13645,1;13645,1;13645,1;0</t>
  </si>
  <si>
    <t>WIG;19960828;13779,6;13779,6;13779,6;13779,6;0</t>
  </si>
  <si>
    <t>WIG;19960829;13691;13691;13691;13691;0</t>
  </si>
  <si>
    <t>WIG;19960830;13932;13932;13932;13932;0</t>
  </si>
  <si>
    <t>WIG;19960902;14039,4;14039,4;14039,4;14039,4;0</t>
  </si>
  <si>
    <t>WIG;19960903;13970,1;13970,1;13970,1;13970,1;0</t>
  </si>
  <si>
    <t>WIG;19960904;13882,3;13882,3;13882,3;13882,3;0</t>
  </si>
  <si>
    <t>WIG;19960905;13657,4;13657,4;13657,4;13657,4;0</t>
  </si>
  <si>
    <t>WIG;19960906;13568,1;13568,1;13568,1;13568,1;0</t>
  </si>
  <si>
    <t>WIG;19960909;13678,2;13678,2;13678,2;13678,2;0</t>
  </si>
  <si>
    <t>WIG;19960910;13883,4;13883,4;13883,4;13883,4;0</t>
  </si>
  <si>
    <t>WIG;19960911;13818,1;13818,1;13816;13818,1;0</t>
  </si>
  <si>
    <t>WIG;19960912;14010,4;14010,4;14010,4;14010,4;0</t>
  </si>
  <si>
    <t>WIG;19960913;14296,3;14296,3;14296,3;14296,3;0</t>
  </si>
  <si>
    <t>WIG;19960916;14623,8;14623,8;14623,8;14623,8;0</t>
  </si>
  <si>
    <t>WIG;19960917;14809,5;14809,5;14809,5;14809,5;0</t>
  </si>
  <si>
    <t>WIG;19960918;14832,7;14832,7;14832,7;14832,7;0</t>
  </si>
  <si>
    <t>WIG;19960919;14536,9;14536,9;14536,9;14536,9;0</t>
  </si>
  <si>
    <t>WIG;19960920;14504,1;14504,1;14504,1;14504,1;0</t>
  </si>
  <si>
    <t>WIG;19960923;14656,5;14656,5;14656,5;14656,5;0</t>
  </si>
  <si>
    <t>WIG;19960924;14585,3;14585,3;14585,3;14585,3;0</t>
  </si>
  <si>
    <t>WIG;19960925;14406,6;14406,6;14406,6;14406,6;0</t>
  </si>
  <si>
    <t>WIG;19960926;14454;14454;14454;14454;0</t>
  </si>
  <si>
    <t>WIG;19960927;14735,5;14735,5;14735,5;14735,5;0</t>
  </si>
  <si>
    <t>WIG;19960930;14744;14744;14744;14744;0</t>
  </si>
  <si>
    <t>WIG;19961001;14753,6;14753,6;14753,6;14753,6;0</t>
  </si>
  <si>
    <t>WIG;19961002;14726,1;14726,1;14726,1;14726,1;0</t>
  </si>
  <si>
    <t>WIG;19961003;14631,7;14631,7;14631,7;14631,7;0</t>
  </si>
  <si>
    <t>WIG;19961004;14675,9;14675,9;14675,9;14675,9;0</t>
  </si>
  <si>
    <t>WIG;19961007;14819,7;14819,7;14819,7;14819,7;0</t>
  </si>
  <si>
    <t>WIG;19961008;14993;14993;14993;14993;0</t>
  </si>
  <si>
    <t>WIG;19961009;15078,7;15078,7;15078,7;15078,7;0</t>
  </si>
  <si>
    <t>WIG;19961010;15049;15049;15049;15049;0</t>
  </si>
  <si>
    <t>WIG;19961011;14920,4;14920,4;14920,4;14920,4;0</t>
  </si>
  <si>
    <t>WIG;19961014;14893,1;14893,1;14893,1;14893,1;0</t>
  </si>
  <si>
    <t>WIG;19961015;14958,3;14958,3;14958,3;14958,3;0</t>
  </si>
  <si>
    <t>WIG;19961016;14908,3;14908,3;14908,3;14908,3;0</t>
  </si>
  <si>
    <t>WIG;19961017;14821,8;14821,8;14821,8;14821,8;0</t>
  </si>
  <si>
    <t>WIG;19961018;14718,4;14718,4;14718,4;14718,4;0</t>
  </si>
  <si>
    <t>WIG;19961021;14380,3;14380,3;14380,3;14380,3;0</t>
  </si>
  <si>
    <t>WIG;19961022;14133,4;14133,4;14133,4;14133,4;0</t>
  </si>
  <si>
    <t>WIG;19961023;14123,4;14123,4;14123,4;14123,4;0</t>
  </si>
  <si>
    <t>WIG;19961024;13745,6;13745,6;13745,6;13745,6;0</t>
  </si>
  <si>
    <t>WIG;19961025;13499,4;13499,4;13499,4;13499,4;0</t>
  </si>
  <si>
    <t>WIG;19961028;13149;13149;13149;13149;0</t>
  </si>
  <si>
    <t>WIG;19961029;12873,3;12873,3;12873,3;12873,3;0</t>
  </si>
  <si>
    <t>WIG;19961030;13280,2;13280,2;13280,2;13280,2;0</t>
  </si>
  <si>
    <t>WIG;19961031;13497,9;13497,9;13497,9;13497,9;0</t>
  </si>
  <si>
    <t>WIG;19961104;13535,4;13535,4;13535,4;13535,4;0</t>
  </si>
  <si>
    <t>WIG;19961105;13472,6;13472,6;13472,6;13472,6;0</t>
  </si>
  <si>
    <t>WIG;19961106;13891,6;13891,6;13891,6;13891,6;0</t>
  </si>
  <si>
    <t>WIG;19961107;13919,8;13919,8;13919,8;13919,8;0</t>
  </si>
  <si>
    <t>WIG;19961108;13874,8;13874,8;13874,8;13874,8;0</t>
  </si>
  <si>
    <t>WIG;19961112;13716,3;13716,3;13716,3;13716,3;0</t>
  </si>
  <si>
    <t>WIG;19961113;13547,4;13547,4;13547,4;13547,4;0</t>
  </si>
  <si>
    <t>WIG;19961114;13392,1;13392,1;13392,1;13392,1;0</t>
  </si>
  <si>
    <t>WIG;19961115;13562,7;13562,7;13562,7;13562,7;0</t>
  </si>
  <si>
    <t>WIG;19961118;13619,6;13619,6;13619,6;13619,6;0</t>
  </si>
  <si>
    <t>WIG;19961119;13671;13671;13671;13671;0</t>
  </si>
  <si>
    <t>WIG;19961120;13595,8;13595,8;13595,8;13595,8;0</t>
  </si>
  <si>
    <t>WIG;19961121;13628,4;13628,4;13628,4;13628,4;0</t>
  </si>
  <si>
    <t>WIG;19961122;13670,3;13670,3;13670,3;13670,3;0</t>
  </si>
  <si>
    <t>WIG;19961125;13743,8;13743,8;13743,8;13743,8;0</t>
  </si>
  <si>
    <t>WIG;19961126;13659,9;13659,9;13659,9;13659,9;0</t>
  </si>
  <si>
    <t>WIG;19961127;13725,6;13725,6;13725,6;13725,6;0</t>
  </si>
  <si>
    <t>WIG;19961128;13696,7;13696,7;13696,7;13696,7;0</t>
  </si>
  <si>
    <t>WIG;19961129;13789,7;13789,7;13789,7;13789,7;0</t>
  </si>
  <si>
    <t>WIG;19961202;13653,3;13653,3;13653,3;13653,3;0</t>
  </si>
  <si>
    <t>WIG;19961203;13568,4;13568,4;13568,4;13568,4;0</t>
  </si>
  <si>
    <t>WIG;19961204;13531;13531;13531;13531;0</t>
  </si>
  <si>
    <t>WIG;19961205;13634,6;13634,6;13634,6;13634,6;0</t>
  </si>
  <si>
    <t>WIG;19961206;13531,1;13531,1;13531,1;13531,1;0</t>
  </si>
  <si>
    <t>WIG;19961209;13322,5;13322,5;13322,5;13322,5;0</t>
  </si>
  <si>
    <t>WIG;19961210;13290;13290;13290;13290;0</t>
  </si>
  <si>
    <t>WIG;19961211;13515,9;13515,9;13515,9;13515,9;0</t>
  </si>
  <si>
    <t>WIG;19961212;13691,2;13691,2;13691,2;13691,2;0</t>
  </si>
  <si>
    <t>WIG;19961213;13706,3;13706,3;13706,3;13706,3;0</t>
  </si>
  <si>
    <t>WIG;19961216;13667;13667;13667;13667;0</t>
  </si>
  <si>
    <t>WIG;19961217;13717,8;13717,8;13717,8;13717,8;0</t>
  </si>
  <si>
    <t>WIG;19961218;13818,6;13818,6;13818,6;13818,6;0</t>
  </si>
  <si>
    <t>WIG;19961219;13851,9;13851,9;13851,9;13851,9;0</t>
  </si>
  <si>
    <t>WIG;19961220;14051;14051;14051;14051;0</t>
  </si>
  <si>
    <t>WIG;19961223;14320,8;14320,8;14320,8;14320,8;0</t>
  </si>
  <si>
    <t>WIG;19961224;14165,5;14165,5;14165,5;14165,5;0</t>
  </si>
  <si>
    <t>WIG;19961230;14143,8;14143,8;14143,8;14143,8;0</t>
  </si>
  <si>
    <t>WIG;19961231;14342,8;14342,8;14342,8;14342,8;0</t>
  </si>
  <si>
    <t>WIG;19970102;14423,8;14423,8;14423,8;14423,8;0</t>
  </si>
  <si>
    <t>WIG;19970103;14484,8;14484,8;14484,8;14484,8;0</t>
  </si>
  <si>
    <t>WIG;19970106;14421,6;14421,6;14421,6;14421,6;0</t>
  </si>
  <si>
    <t>WIG;19970107;14772,1;14772,1;14772,1;14772,1;0</t>
  </si>
  <si>
    <t>WIG;19970108;15087,9;15087,9;15087,9;15087,9;0</t>
  </si>
  <si>
    <t>WIG;19970109;15249,3;15249,3;15249,3;15249,3;0</t>
  </si>
  <si>
    <t>WIG;19970110;15418,9;15418,9;15418,9;15418,9;0</t>
  </si>
  <si>
    <t>WIG;19970113;15441;15441;15441;15441;0</t>
  </si>
  <si>
    <t>WIG;19970114;15588,8;15588,8;15588,8;15588,8;0</t>
  </si>
  <si>
    <t>WIG;19970115;15545,9;15545,9;15545,9;15545,9;0</t>
  </si>
  <si>
    <t>WIG;19970116;15846,7;15846,7;15846,7;15846,7;0</t>
  </si>
  <si>
    <t>WIG;19970117;15974,6;15974,6;15974,6;15974,6;0</t>
  </si>
  <si>
    <t>WIG;19970120;15944,9;15944,9;15944,9;15944,9;0</t>
  </si>
  <si>
    <t>WIG;19970121;15979,3;15979,3;15979,3;15979,3;0</t>
  </si>
  <si>
    <t>WIG;19970122;16033,1;16033,1;16033,1;16033,1;0</t>
  </si>
  <si>
    <t>WIG;19970123;16341,2;16341,2;16341,2;16341,2;0</t>
  </si>
  <si>
    <t>WIG;19970124;16628,1;16628,1;16628,1;16628,1;0</t>
  </si>
  <si>
    <t>WIG;19970127;16910,4;16910,4;16910,4;16910,4;0</t>
  </si>
  <si>
    <t>WIG;19970128;16679,6;16679,6;16679,6;16679,6;0</t>
  </si>
  <si>
    <t>WIG;19970129;16299;16299;16299;16299;0</t>
  </si>
  <si>
    <t>WIG;19970130;16167,9;16167,9;16167,9;16167,9;0</t>
  </si>
  <si>
    <t>WIG;19970131;16105,5;16105,5;16105,5;16105,5;0</t>
  </si>
  <si>
    <t>WIG;19970203;16510,9;16510,9;16510,9;16510,9;0</t>
  </si>
  <si>
    <t>WIG;19970204;16525,2;16525,2;16525,2;16525,2;0</t>
  </si>
  <si>
    <t>WIG;19970205;16582,9;16582,9;16582,9;16582,9;0</t>
  </si>
  <si>
    <t>WIG;19970206;16914,2;16914,2;16914,2;16914,2;0</t>
  </si>
  <si>
    <t>WIG;19970207;17457,9;17457,9;17457,9;17457,9;0</t>
  </si>
  <si>
    <t>WIG;19970210;17603,9;17603,9;17603,9;17603,9;0</t>
  </si>
  <si>
    <t>WIG;19970211;17543,7;17543,7;17543,7;17543,7;0</t>
  </si>
  <si>
    <t>WIG;19970212;17700,4;17700,4;17700,4;17700,4;0</t>
  </si>
  <si>
    <t>WIG;19970213;17822,2;17822,2;17822,2;17822,2;0</t>
  </si>
  <si>
    <t>WIG;19970214;18177,2;18177,2;18177,2;18177,2;0</t>
  </si>
  <si>
    <t>WIG;19970217;18122,3;18122,3;18122,3;18122,3;0</t>
  </si>
  <si>
    <t>WIG;19970218;18339,4;18339,4;18339,4;18339,4;0</t>
  </si>
  <si>
    <t>WIG;19970219;18295;18295;18295;18295;0</t>
  </si>
  <si>
    <t>WIG;19970220;18206,6;18206,6;18206,6;18206,6;0</t>
  </si>
  <si>
    <t>WIG;19970221;18136,2;18136,2;18136,2;18136,2;0</t>
  </si>
  <si>
    <t>WIG;19970224;18090,8;18090,8;18090,8;18090,8;0</t>
  </si>
  <si>
    <t>WIG;19970225;18122;18122;18122;18122;0</t>
  </si>
  <si>
    <t>WIG;19970226;18251,3;18251,3;18251,3;18251,3;0</t>
  </si>
  <si>
    <t>WIG;19970227;17824,4;17824,4;17824,4;17824,4;0</t>
  </si>
  <si>
    <t>WIG;19970228;17543,8;17543,8;17543,8;17543,8;0</t>
  </si>
  <si>
    <t>WIG;19970303;17419,7;17419,7;17419,7;17419,7;0</t>
  </si>
  <si>
    <t>WIG;19970304;17399,8;17399,8;17399,8;17399,8;0</t>
  </si>
  <si>
    <t>WIG;19970305;17539,9;17539,9;17539,9;17539,9;0</t>
  </si>
  <si>
    <t>WIG;19970306;17514,9;17514,9;17514,9;17514,9;0</t>
  </si>
  <si>
    <t>WIG;19970307;17704;17704;17704;17704;0</t>
  </si>
  <si>
    <t>WIG;19970310;17596,1;17596,1;17596,1;17596,1;0</t>
  </si>
  <si>
    <t>WIG;19970311;17719;17719;17719;17719;0</t>
  </si>
  <si>
    <t>WIG;19970312;17830,2;17830,2;17830,2;17830,2;0</t>
  </si>
  <si>
    <t>WIG;19970313;17414,8;17414,8;17414,8;17414,8;0</t>
  </si>
  <si>
    <t>WIG;19970314;16687,1;16687,1;16687,1;16687,1;0</t>
  </si>
  <si>
    <t>WIG;19970317;16646;16646;16646;16646;0</t>
  </si>
  <si>
    <t>WIG;19970318;16758;16758;16758;16758;0</t>
  </si>
  <si>
    <t>WIG;19970319;16462,8;16462,8;16462,8;16462,8;0</t>
  </si>
  <si>
    <t>WIG;19970320;16087,5;16087,5;16087,5;16087,5;0</t>
  </si>
  <si>
    <t>WIG;19970321;15969,9;15969,9;15969,9;15969,9;0</t>
  </si>
  <si>
    <t>WIG;19970324;16192,2;16192,2;16192,2;16192,2;0</t>
  </si>
  <si>
    <t>WIG;19970325;16163,2;16163,2;16163,2;16163,2;0</t>
  </si>
  <si>
    <t>WIG;19970326;16354,8;16354,8;16354,8;16354,8;0</t>
  </si>
  <si>
    <t>WIG;19970327;16690,4;16690,4;16690,4;16690,4;0</t>
  </si>
  <si>
    <t>WIG;19970401;16103;16103;16103;16103;0</t>
  </si>
  <si>
    <t>WIG;19970402;15596,2;15596,2;15596,2;15596,2;0</t>
  </si>
  <si>
    <t>WIG;19970403;15652,7;15652,7;15652,7;15652,7;0</t>
  </si>
  <si>
    <t>WIG;19970404;15670,2;15670,2;15670,2;15670,2;0</t>
  </si>
  <si>
    <t>WIG;19970407;15992,2;15992,2;15992,2;15992,2;0</t>
  </si>
  <si>
    <t>WIG;19970408;16244,7;16244,7;16244,7;16244,7;0</t>
  </si>
  <si>
    <t>WIG;19970409;16362,2;16362,2;16362,2;16362,2;0</t>
  </si>
  <si>
    <t>WIG;19970410;16333,1;16333,1;16333,1;16333,1;0</t>
  </si>
  <si>
    <t>WIG;19970411;16263,8;16263,8;16263,8;16263,8;0</t>
  </si>
  <si>
    <t>WIG;19970414;15846,6;15846,6;15846,6;15846,6;0</t>
  </si>
  <si>
    <t>WIG;19970415;16038,5;16038,5;16038,5;16038,5;0</t>
  </si>
  <si>
    <t>WIG;19970416;16281,5;16281,5;16281,5;16281,5;0</t>
  </si>
  <si>
    <t>WIG;19970417;16282,1;16282,1;16282,1;16282,1;0</t>
  </si>
  <si>
    <t>WIG;19970418;16376,9;16376,9;16376,9;16376,9;0</t>
  </si>
  <si>
    <t>WIG;19970421;16634,9;16634,9;16634,9;16634,9;0</t>
  </si>
  <si>
    <t>WIG;19970422;16721,4;16721,4;16721,4;16721,4;0</t>
  </si>
  <si>
    <t>WIG;19970423;17016,3;17016,3;17016,3;17016,3;0</t>
  </si>
  <si>
    <t>WIG;19970424;16968,8;16968,8;16968,8;16968,8;0</t>
  </si>
  <si>
    <t>WIG;19970425;16669,1;16669,1;16669,1;16669,1;0</t>
  </si>
  <si>
    <t>WIG;19970428;16316,6;16316,6;16316,6;16316,6;0</t>
  </si>
  <si>
    <t>WIG;19970429;16299,3;16299,3;16299,3;16299,3;0</t>
  </si>
  <si>
    <t>WIG;19970430;16546,7;16546,7;16546,7;16546,7;0</t>
  </si>
  <si>
    <t>WIG;19970505;16744,3;16744,3;16744,3;16744,3;0</t>
  </si>
  <si>
    <t>WIG;19970506;16899,1;16899,1;16899,1;16899,1;0</t>
  </si>
  <si>
    <t>WIG;19970507;16554,5;16554,5;16554,5;16554,5;0</t>
  </si>
  <si>
    <t>WIG;19970508;16368,3;16368,3;16368,3;16368,3;0</t>
  </si>
  <si>
    <t>WIG;19970509;16424,2;16424,2;16424,2;16424,2;0</t>
  </si>
  <si>
    <t>WIG;19970512;16244,2;16244,2;16244,2;16244,2;0</t>
  </si>
  <si>
    <t>WIG;19970513;16245,2;16245,2;16245,2;16245,2;0</t>
  </si>
  <si>
    <t>WIG;19970514;16222,4;16222,4;16222,4;16222,4;0</t>
  </si>
  <si>
    <t>WIG;19970515;16283,5;16283,5;16283,5;16283,5;0</t>
  </si>
  <si>
    <t>WIG;19970516;16382,3;16382,3;16382,3;16382,3;0</t>
  </si>
  <si>
    <t>WIG;19970519;16474,2;16474,2;16474,2;16474,2;0</t>
  </si>
  <si>
    <t>WIG;19970520;16453,3;16453,3;16453,3;16453,3;0</t>
  </si>
  <si>
    <t>WIG;19970521;16489;16489;16489;16489;0</t>
  </si>
  <si>
    <t>WIG;19970522;16434,6;16434,6;16434,6;16434,6;0</t>
  </si>
  <si>
    <t>WIG;19970523;16179;16179;16179;16179;0</t>
  </si>
  <si>
    <t>WIG;19970526;15899,6;15899,6;15899,6;15899,6;0</t>
  </si>
  <si>
    <t>WIG;19970527;15751,7;15751,7;15751,7;15751,7;0</t>
  </si>
  <si>
    <t>WIG;19970528;15802,6;15802,6;15802,6;15802,6;0</t>
  </si>
  <si>
    <t>WIG;19970530;15941,7;15941,7;15941,7;15941,7;0</t>
  </si>
  <si>
    <t>WIG;19970602;16179,7;16179,7;16179,7;16179,7;0</t>
  </si>
  <si>
    <t>WIG;19970603;16170,3;16170,3;16170,3;16170,3;0</t>
  </si>
  <si>
    <t>WIG;19970604;15991,9;15991,9;15991,9;15991,9;0</t>
  </si>
  <si>
    <t>WIG;19970605;15818,1;15818,1;15818,1;15818,1;0</t>
  </si>
  <si>
    <t>WIG;19970606;16000,6;16000,6;16000,6;16000,6;0</t>
  </si>
  <si>
    <t>WIG;19970609;16002,2;16002,2;16002,2;16002,2;0</t>
  </si>
  <si>
    <t>WIG;19970610;15993,7;15993,7;15993,7;15993,7;0</t>
  </si>
  <si>
    <t>WIG;19970611;16119,3;16119,3;16119,3;16119,3;0</t>
  </si>
  <si>
    <t>WIG;19970612;16437;16437;16437;16437;0</t>
  </si>
  <si>
    <t>WIG;19970613;16482,1;16482,1;16482,1;16482,1;0</t>
  </si>
  <si>
    <t>WIG;19970616;16253,6;16253,6;16253,6;16253,6;0</t>
  </si>
  <si>
    <t>WIG;19970617;16103,3;16103,3;16103,3;16103,3;0</t>
  </si>
  <si>
    <t>WIG;19970618;15902,2;15902,2;15902,2;15902,2;0</t>
  </si>
  <si>
    <t>WIG;19970619;15996,9;15996,9;15996,9;15996,9;0</t>
  </si>
  <si>
    <t>WIG;19970620;16048,1;16048,1;16048,1;16048,1;0</t>
  </si>
  <si>
    <t>WIG;19970623;15862,6;15862,6;15862,6;15862,6;0</t>
  </si>
  <si>
    <t>WIG;19970624;15696;15696;15696;15696;0</t>
  </si>
  <si>
    <t>WIG;19970625;15606;15606;15606;15606;0</t>
  </si>
  <si>
    <t>WIG;19970626;15177,2;15177,2;15177,2;15177,2;0</t>
  </si>
  <si>
    <t>WIG;19970627;15147,7;15147,7;15147,7;15147,7;0</t>
  </si>
  <si>
    <t>WIG;19970630;15163,8;15163,8;15163,8;15163,8;0</t>
  </si>
  <si>
    <t>WIG;19970701;15087,9;15087,9;15087,9;15087,9;0</t>
  </si>
  <si>
    <t>WIG;19970702;15066,6;15066,6;15066,6;15066,6;0</t>
  </si>
  <si>
    <t>WIG;19970703;15208,8;15208,8;15208,8;15208,8;0</t>
  </si>
  <si>
    <t>WIG;19970704;15572,8;15572,8;15572,8;15572,8;0</t>
  </si>
  <si>
    <t>WIG;19970707;15685;15685;15685;15685;0</t>
  </si>
  <si>
    <t>WIG;19970708;15735,7;15735,7;15735,7;15735,7;0</t>
  </si>
  <si>
    <t>WIG;19970709;15883,1;15883,1;15883,1;15883,1;0</t>
  </si>
  <si>
    <t>WIG;19970710;15933,6;15933,6;15933,6;15933,6;0</t>
  </si>
  <si>
    <t>WIG;19970711;15832,8;15832,8;15832,8;15832,8;0</t>
  </si>
  <si>
    <t>WIG;19970714;15455,8;15455,8;15455,8;15455,8;0</t>
  </si>
  <si>
    <t>WIG;19970715;15107,7;15107,7;15107,7;15107,7;0</t>
  </si>
  <si>
    <t>WIG;19970716;15268,4;15268,4;15268,4;15268,4;0</t>
  </si>
  <si>
    <t>WIG;19970717;15406,1;15406,1;15406,1;15406,1;0</t>
  </si>
  <si>
    <t>WIG;19970718;15348,9;15348,9;15348,9;15348,9;0</t>
  </si>
  <si>
    <t>WIG;19970721;15226,4;15226,4;15226,4;15226,4;0</t>
  </si>
  <si>
    <t>WIG;19970722;15135;15135;15135;15135;0</t>
  </si>
  <si>
    <t>WIG;19970723;15189;15189;15189;15189;0</t>
  </si>
  <si>
    <t>WIG;19970724;15102,9;15102,9;15102,9;15102,9;0</t>
  </si>
  <si>
    <t>WIG;19970725;15056,8;15056,8;15056,8;15056,8;0</t>
  </si>
  <si>
    <t>WIG;19970728;14920,1;14920,1;14920,1;14920,1;0</t>
  </si>
  <si>
    <t>WIG;19970729;14913,5;14913,5;14913,5;14913,5;0</t>
  </si>
  <si>
    <t>WIG;19970730;15029,8;15029,8;15029,8;15029,8;0</t>
  </si>
  <si>
    <t>WIG;19970731;15166,7;15166,7;15166,7;15166,7;0</t>
  </si>
  <si>
    <t>WIG;19970801;15116,8;15116,8;15116,8;15116,8;0</t>
  </si>
  <si>
    <t>WIG;19970804;15148,8;15148,8;15148,8;15148,8;0</t>
  </si>
  <si>
    <t>WIG;19970805;15269,8;15269,8;15269,8;15269,8;0</t>
  </si>
  <si>
    <t>WIG;19970806;15510;15510;15510;15510;0</t>
  </si>
  <si>
    <t>WIG;19970807;15930,4;15930,4;15930,4;15930,4;0</t>
  </si>
  <si>
    <t>WIG;19970808;16759,7;16759,7;16759,7;16759,7;0</t>
  </si>
  <si>
    <t>WIG;19970811;17307,7;17307,7;17307,7;17307,7;0</t>
  </si>
  <si>
    <t>WIG;19970812;17166,5;17166,5;17166,5;17166,5;0</t>
  </si>
  <si>
    <t>WIG;19970813;17220,5;17220,5;17220,5;17220,5;0</t>
  </si>
  <si>
    <t>WIG;19970814;16920,4;16920,4;16920,4;16920,4;0</t>
  </si>
  <si>
    <t>WIG;19970818;16428,7;16428,7;16428,7;16428,7;0</t>
  </si>
  <si>
    <t>WIG;19970819;16564,7;16564,7;16564,7;16564,7;0</t>
  </si>
  <si>
    <t>WIG;19970820;16844,3;16844,3;16844,3;16844,3;0</t>
  </si>
  <si>
    <t>WIG;19970821;16832,4;16832,4;16832,4;16832,4;0</t>
  </si>
  <si>
    <t>WIG;19970822;16755,4;16755,4;16755,4;16755,4;0</t>
  </si>
  <si>
    <t>WIG;19970825;16706,4;16706,4;16706,4;16706,4;0</t>
  </si>
  <si>
    <t>WIG;19970826;16681,2;16681,2;16681,2;16681,2;0</t>
  </si>
  <si>
    <t>WIG;19970827;16904,7;16904,7;16904,7;16904,7;0</t>
  </si>
  <si>
    <t>WIG;19970828;17022;17022;17022;17022;0</t>
  </si>
  <si>
    <t>WIG;19970829;16833,1;16833,1;16833,1;16833,1;0</t>
  </si>
  <si>
    <t>WIG;19970901;16553,1;16553,1;16553,1;16553,1;0</t>
  </si>
  <si>
    <t>WIG;19970902;16675,1;16675,1;16675,1;16675,1;0</t>
  </si>
  <si>
    <t>WIG;19970903;17061,9;17061,9;17061,9;17061,9;0</t>
  </si>
  <si>
    <t>WIG;19970904;17071,5;17071,5;17071,5;17071,5;0</t>
  </si>
  <si>
    <t>WIG;19970905;17051,8;17051,8;17051,8;17051,8;0</t>
  </si>
  <si>
    <t>WIG;19970908;17236,9;17236,9;17236,9;17236,9;0</t>
  </si>
  <si>
    <t>WIG;19970909;17438,8;17438,8;17438,8;17438,8;0</t>
  </si>
  <si>
    <t>WIG;19970910;17587,6;17587,6;17587,6;17587,6;0</t>
  </si>
  <si>
    <t>WIG;19970911;17456;17456;17456;17456;0</t>
  </si>
  <si>
    <t>WIG;19970912;17586,1;17586,1;17586,1;17586,1;0</t>
  </si>
  <si>
    <t>WIG;19970915;17712;17712;17712;17712;0</t>
  </si>
  <si>
    <t>WIG;19970916;17782,6;17782,6;17782,6;17782,6;0</t>
  </si>
  <si>
    <t>WIG;19970917;17859;17859;17859;17859;0</t>
  </si>
  <si>
    <t>WIG;19970918;17776,4;17776,4;17776,4;17776,4;0</t>
  </si>
  <si>
    <t>WIG;19970919;17920,6;17920,6;17920,6;17920,6;0</t>
  </si>
  <si>
    <t>WIG;19970922;17979,9;17979,9;17979,9;17979,9;0</t>
  </si>
  <si>
    <t>WIG;19970923;18016,2;18016,2;18016,2;18016,2;0</t>
  </si>
  <si>
    <t>WIG;19970924;17995,7;17995,7;17995,7;17995,7;0</t>
  </si>
  <si>
    <t>WIG;19970925;17834,8;17834,8;17834,8;17834,8;0</t>
  </si>
  <si>
    <t>WIG;19970926;17485,9;17485,9;17485,9;17485,9;0</t>
  </si>
  <si>
    <t>WIG;19970929;17473,9;17473,9;17473,9;17473,9;0</t>
  </si>
  <si>
    <t>WIG;19970930;17482,8;17482,8;17482,8;17482,8;0</t>
  </si>
  <si>
    <t>WIG;19971001;17534,4;17534,4;17534,4;17534,4;0</t>
  </si>
  <si>
    <t>WIG;19971002;17559,5;17559,5;17559,5;17559,5;0</t>
  </si>
  <si>
    <t>WIG;19971003;17524,1;17524,1;17524,1;17524,1;0</t>
  </si>
  <si>
    <t>WIG;19971006;17180,8;17180,8;17180,8;17180,8;0</t>
  </si>
  <si>
    <t>WIG;19971007;17214,2;17214,2;17214,2;17214,2;0</t>
  </si>
  <si>
    <t>WIG;19971008;17366,5;17366,5;17366,5;17366,5;0</t>
  </si>
  <si>
    <t>WIG;19971009;17414,1;17414,1;17414,1;17414,1;0</t>
  </si>
  <si>
    <t>WIG;19971010;17488,4;17488,4;17488,4;17488,4;0</t>
  </si>
  <si>
    <t>WIG;19971013;17562,7;17562,7;17562,7;17562,7;0</t>
  </si>
  <si>
    <t>WIG;19971014;17877,2;17877,2;17877,2;17877,2;0</t>
  </si>
  <si>
    <t>WIG;19971015;18052,2;18052,2;18052,2;18052,2;0</t>
  </si>
  <si>
    <t>WIG;19971016;18112,1;18112,1;18112,1;18112,1;0</t>
  </si>
  <si>
    <t>WIG;19971017;17867,6;17867,6;17867,6;17867,6;0</t>
  </si>
  <si>
    <t>WIG;19971020;17873,2;17873,2;17873,2;17873,2;0</t>
  </si>
  <si>
    <t>WIG;19971021;17788,6;17788,6;17788,6;17788,6;0</t>
  </si>
  <si>
    <t>WIG;19971022;17792,5;17792,5;17792,5;17792,5;0</t>
  </si>
  <si>
    <t>WIG;19971023;17576,4;17576,4;17576,4;17576,4;0</t>
  </si>
  <si>
    <t>WIG;19971024;17055,3;17055,3;17055,3;17055,3;0</t>
  </si>
  <si>
    <t>WIG;19971027;16573,8;16573,8;16573,8;16573,8;0</t>
  </si>
  <si>
    <t>WIG;19971028;14953,7;14953,7;14953,7;14953,7;0</t>
  </si>
  <si>
    <t>WIG;19971029;16011,1;16011,1;16011,1;16011,1;0</t>
  </si>
  <si>
    <t>WIG;19971030;15415,6;15415,6;15415,6;15415,6;0</t>
  </si>
  <si>
    <t>WIG;19971031;15371,9;15371,9;15371,9;15371,9;0</t>
  </si>
  <si>
    <t>WIG;19971103;15692;15692;15692;15692;0</t>
  </si>
  <si>
    <t>WIG;19971104;15976;15976;15976;15976;0</t>
  </si>
  <si>
    <t>WIG;19971105;15977,2;15977,2;15977,2;15977,2;0</t>
  </si>
  <si>
    <t>WIG;19971106;15972,3;15972,3;15972,3;15972,3;0</t>
  </si>
  <si>
    <t>WIG;19971107;15630,5;15630,5;15630,5;15630,5;0</t>
  </si>
  <si>
    <t>WIG;19971112;15071,1;15071,1;15071,1;15071,1;0</t>
  </si>
  <si>
    <t>WIG;19971113;14398,5;14398,5;14398,5;14398,5;0</t>
  </si>
  <si>
    <t>WIG;19971114;14527,6;14527,6;14527,6;14527,6;0</t>
  </si>
  <si>
    <t>WIG;19971117;14895,3;14895,3;14895,3;14895,3;0</t>
  </si>
  <si>
    <t>WIG;19971118;14994,4;14994,4;14994,4;14994,4;0</t>
  </si>
  <si>
    <t>WIG;19971119;14259,8;14259,8;14259,8;14259,8;0</t>
  </si>
  <si>
    <t>WIG;19971120;14369,5;14369,5;14369,5;14369,5;0</t>
  </si>
  <si>
    <t>WIG;19971121;14680;14680;14680;14680;0</t>
  </si>
  <si>
    <t>WIG;19971124;14461,8;14461,8;14461,8;14461,8;0</t>
  </si>
  <si>
    <t>WIG;19971125;14223,7;14223,7;14223,7;14223,7;0</t>
  </si>
  <si>
    <t>WIG;19971126;14310,3;14310,3;14310,3;14310,3;0</t>
  </si>
  <si>
    <t>WIG;19971127;14309;14309;14309;14309;0</t>
  </si>
  <si>
    <t>WIG;19971128;14322,6;14322,6;14322,6;14322,6;0</t>
  </si>
  <si>
    <t>WIG;19971201;14411,6;14411,6;14411,6;14411,6;0</t>
  </si>
  <si>
    <t>WIG;19971202;14872,2;14872,2;14872,2;14872,2;0</t>
  </si>
  <si>
    <t>WIG;19971203;14893,3;14893,3;14893,3;14893,3;0</t>
  </si>
  <si>
    <t>WIG;19971204;14997,2;14997,2;14997,2;14997,2;0</t>
  </si>
  <si>
    <t>WIG;19971205;15131,5;15131,5;15131,5;15131,5;0</t>
  </si>
  <si>
    <t>WIG;19971208;15029,6;15029,6;15029,6;15029,6;0</t>
  </si>
  <si>
    <t>WIG;19971209;14910,9;14910,9;14910,9;14910,9;0</t>
  </si>
  <si>
    <t>WIG;19971210;14726,9;14726,9;14726,9;14726,9;0</t>
  </si>
  <si>
    <t>WIG;19971211;14316,8;14316,8;14316,8;14316,8;0</t>
  </si>
  <si>
    <t>WIG;19971212;14061,8;14061,8;14061,8;14061,8;0</t>
  </si>
  <si>
    <t>WIG;19971215;14203,2;14203,2;14203,2;14203,2;0</t>
  </si>
  <si>
    <t>WIG;19971216;14442,2;14442,2;14442,2;14442,2;0</t>
  </si>
  <si>
    <t>WIG;19971217;14311,3;14311,3;14311,3;14311,3;0</t>
  </si>
  <si>
    <t>WIG;19971218;14081,9;14081,9;14081,9;14081,9;0</t>
  </si>
  <si>
    <t>WIG;19971219;13767,2;13767,2;13767,2;13767,2;0</t>
  </si>
  <si>
    <t>WIG;19971222;13619,8;13619,8;13619,8;13619,8;0</t>
  </si>
  <si>
    <t>WIG;19971223;13642,3;13642,3;13642,3;13642,3;0</t>
  </si>
  <si>
    <t>WIG;19971229;14053,6;14053,6;14053,6;14053,6;0</t>
  </si>
  <si>
    <t>WIG;19971230;14552,3;14552,3;14552,3;14552,3;0</t>
  </si>
  <si>
    <t>WIG;19971231;14668;14668;14668;14668;0</t>
  </si>
  <si>
    <t>WIG;19980105;14886,2;14886,2;14886,2;14886,2;0</t>
  </si>
  <si>
    <t>WIG;19980106;14819,3;14819,3;14819,3;14819,3;0</t>
  </si>
  <si>
    <t>WIG;19980107;14205,5;14205,5;14205,5;14205,5;0</t>
  </si>
  <si>
    <t>WIG;19980108;14295,3;14295,3;14295,3;14295,3;0</t>
  </si>
  <si>
    <t>WIG;19980109;14066,6;14066,6;14066,6;14066,6;0</t>
  </si>
  <si>
    <t>WIG;19980112;13228,8;13228,8;13228,8;13228,8;0</t>
  </si>
  <si>
    <t>WIG;19980113;13531,3;13531,3;13531,3;13531,3;0</t>
  </si>
  <si>
    <t>WIG;19980114;13693,9;13693,9;13693,9;13693,9;0</t>
  </si>
  <si>
    <t>WIG;19980115;13457,2;13457,2;13457,2;13457,2;0</t>
  </si>
  <si>
    <t>WIG;19980116;13637,6;13637,6;13637,6;13637,6;0</t>
  </si>
  <si>
    <t>WIG;19980119;14048,1;14048,1;14048,1;14048,1;0</t>
  </si>
  <si>
    <t>WIG;19980120;13980,3;13980,3;13980,3;13980,3;0</t>
  </si>
  <si>
    <t>WIG;19980121;13897,6;13897,6;13897,6;13897,6;0</t>
  </si>
  <si>
    <t>WIG;19980122;13660,4;13660,4;13660,4;13660,4;0</t>
  </si>
  <si>
    <t>WIG;19980123;13723,4;13723,4;13723,4;13723,4;0</t>
  </si>
  <si>
    <t>WIG;19980126;13850,7;13850,7;13850,7;13850,7;0</t>
  </si>
  <si>
    <t>WIG;19980127;13844,6;13844,6;13844,6;13844,6;0</t>
  </si>
  <si>
    <t>WIG;19980128;14071,1;14071,1;14071,1;14071,1;0</t>
  </si>
  <si>
    <t>WIG;19980129;14378,2;14378,2;14378,2;14378,2;0</t>
  </si>
  <si>
    <t>WIG;19980130;14601,5;14601,5;14601,5;14601,5;0</t>
  </si>
  <si>
    <t>WIG;19980202;14978,2;14978,2;14978,2;14978,2;0</t>
  </si>
  <si>
    <t>WIG;19980203;15344,5;15344,5;15344,5;15344,5;0</t>
  </si>
  <si>
    <t>WIG;19980204;15353;15353;15353;15353;0</t>
  </si>
  <si>
    <t>WIG;19980205;15465,9;15465,9;15465,9;15465,9;0</t>
  </si>
  <si>
    <t>WIG;19980206;15931,4;15931,4;15931,4;15931,4;0</t>
  </si>
  <si>
    <t>WIG;19980209;16602,8;16602,8;16602,8;16602,8;0</t>
  </si>
  <si>
    <t>WIG;19980210;16655,4;16655,4;16655,4;16655,4;0</t>
  </si>
  <si>
    <t>WIG;19980211;16656,5;16656,5;16656,5;16656,5;0</t>
  </si>
  <si>
    <t>WIG;19980212;16519,1;16519,1;16519,1;16519,1;0</t>
  </si>
  <si>
    <t>WIG;19980213;16229,2;16229,2;16229,2;16229,2;0</t>
  </si>
  <si>
    <t>WIG;19980216;16273,6;16273,6;16273,6;16273,6;0</t>
  </si>
  <si>
    <t>WIG;19980217;16287,8;16287,8;16287,8;16287,8;0</t>
  </si>
  <si>
    <t>WIG;19980218;16566,6;16566,6;16566,6;16566,6;0</t>
  </si>
  <si>
    <t>WIG;19980219;17124,1;17124,1;17124,1;17124,1;0</t>
  </si>
  <si>
    <t>WIG;19980220;17130,1;17130,1;17130,1;17130,1;0</t>
  </si>
  <si>
    <t>WIG;19980223;17344,2;17344,2;17344,2;17344,2;0</t>
  </si>
  <si>
    <t>WIG;19980224;17358,2;17358,2;17358,2;17358,2;0</t>
  </si>
  <si>
    <t>WIG;19980225;17190,2;17190,2;17190,2;17190,2;0</t>
  </si>
  <si>
    <t>WIG;19980226;17507,7;17507,7;17507,7;17507,7;0</t>
  </si>
  <si>
    <t>WIG;19980227;17621;17621;17621;17621;0</t>
  </si>
  <si>
    <t>WIG;19980302;17611,6;17611,6;17611,6;17611,6;0</t>
  </si>
  <si>
    <t>WIG;19980303;17763,3;17763,3;17763,3;17763,3;0</t>
  </si>
  <si>
    <t>WIG;19980304;17326,3;17326,3;17326,3;17326,3;0</t>
  </si>
  <si>
    <t>WIG;19980305;16775,8;16775,8;16775,8;16775,8;0</t>
  </si>
  <si>
    <t>WIG;19980306;16912,8;16912,8;16912,8;16912,8;0</t>
  </si>
  <si>
    <t>WIG;19980309;17545;17545;17545;17545;0</t>
  </si>
  <si>
    <t>WIG;19980310;18177,4;18177,4;18177,4;18177,4;0</t>
  </si>
  <si>
    <t>WIG;19980311;18582,7;18582,7;18582,7;18582,7;0</t>
  </si>
  <si>
    <t>WIG;19980312;18220;18220;18220;18220;0</t>
  </si>
  <si>
    <t>WIG;19980313;18575,2;18575,2;18575,2;18575,2;0</t>
  </si>
  <si>
    <t>WIG;19980316;18256,8;18256,8;18256,8;18256,8;0</t>
  </si>
  <si>
    <t>WIG;19980317;18139,4;18139,4;18139,4;18139,4;0</t>
  </si>
  <si>
    <t>WIG;19980318;18047,1;18047,1;18047,1;18047,1;0</t>
  </si>
  <si>
    <t>WIG;19980319;18086,3;18086,3;18086,3;18086,3;0</t>
  </si>
  <si>
    <t>WIG;19980320;17969,6;17969,6;17969,6;17969,6;0</t>
  </si>
  <si>
    <t>WIG;19980323;17859,5;17859,5;17859,5;17859,5;0</t>
  </si>
  <si>
    <t>WIG;19980324;17631,2;17631,2;17631,2;17631,2;0</t>
  </si>
  <si>
    <t>WIG;19980325;17472;17472;17472;17472;0</t>
  </si>
  <si>
    <t>WIG;19980326;17601,6;17601,6;17601,6;17601,6;0</t>
  </si>
  <si>
    <t>WIG;19980327;17209,9;17209,9;17209,9;17209,9;0</t>
  </si>
  <si>
    <t>WIG;19980330;17176,2;17176,2;17176,2;17176,2;0</t>
  </si>
  <si>
    <t>WIG;19980331;16864;16864;16864;16864;0</t>
  </si>
  <si>
    <t>WIG;19980401;17038,7;17038,7;17038,7;17038,7;0</t>
  </si>
  <si>
    <t>WIG;19980402;17007,7;17007,7;17007,7;17007,7;0</t>
  </si>
  <si>
    <t>WIG;19980406;17051,9;17051,9;17051,9;17051,9;0</t>
  </si>
  <si>
    <t>WIG;19980407;17509,2;17509,2;17509,2;17509,2;0</t>
  </si>
  <si>
    <t>WIG;19980408;17467,5;17467,5;17467,5;17467,5;0</t>
  </si>
  <si>
    <t>WIG;19980409;17188;17188;17188;17188;0</t>
  </si>
  <si>
    <t>WIG;19980414;17474,5;17474,5;17474,5;17474,5;0</t>
  </si>
  <si>
    <t>WIG;19980415;17466,4;17466,4;17466,4;17466,4;0</t>
  </si>
  <si>
    <t>WIG;19980416;17475,8;17475,8;17475,8;17475,8;0</t>
  </si>
  <si>
    <t>WIG;19980417;17253;17253;17253;17253;0</t>
  </si>
  <si>
    <t>WIG;19980420;17226,3;17226,3;17226,3;17226,3;0</t>
  </si>
  <si>
    <t>WIG;19980421;16973,4;16973,4;16973,4;16973,4;0</t>
  </si>
  <si>
    <t>WIG;19980422;17211,4;17211,4;17211,4;17211,4;0</t>
  </si>
  <si>
    <t>WIG;19980423;17352,7;17352,7;17352,7;17352,7;0</t>
  </si>
  <si>
    <t>WIG;19980424;17654,6;17654,6;17654,6;17654,6;0</t>
  </si>
  <si>
    <t>WIG;19980427;17820,7;17820,7;17820,7;17820,7;0</t>
  </si>
  <si>
    <t>WIG;19980428;17411,2;17411,2;17411,2;17411,2;0</t>
  </si>
  <si>
    <t>WIG;19980429;17454,2;17454,2;17454,2;17454,2;0</t>
  </si>
  <si>
    <t>WIG;19980430;17743,8;17743,8;17743,8;17743,8;0</t>
  </si>
  <si>
    <t>WIG;19980504;17917,7;17917,7;17917,7;17917,7;0</t>
  </si>
  <si>
    <t>WIG;19980505;18035,1;18035,1;18035,1;18035,1;0</t>
  </si>
  <si>
    <t>WIG;19980506;17882,5;17882,5;17882,5;17882,5;0</t>
  </si>
  <si>
    <t>WIG;19980507;17756,3;17756,3;17756,3;17756,3;0</t>
  </si>
  <si>
    <t>WIG;19980508;17660,8;17660,8;17660,8;17660,8;0</t>
  </si>
  <si>
    <t>WIG;19980511;17691,8;17691,8;17691,8;17691,8;0</t>
  </si>
  <si>
    <t>WIG;19980512;17494;17494;17494;17494;0</t>
  </si>
  <si>
    <t>WIG;19980513;17214,4;17214,4;17214,4;17214,4;0</t>
  </si>
  <si>
    <t>WIG;19980514;17055,9;17055,9;17055,9;17055,9;0</t>
  </si>
  <si>
    <t>WIG;19980515;16965;16965;16965;16965;0</t>
  </si>
  <si>
    <t>WIG;19980518;16971,1;16971,1;16971,1;16971,1;0</t>
  </si>
  <si>
    <t>WIG;19980519;16535;16535;16535;16535;0</t>
  </si>
  <si>
    <t>WIG;19980520;16493,9;16493,9;16493,9;16493,9;0</t>
  </si>
  <si>
    <t>WIG;19980521;17109,9;17109,9;17109,9;17109,9;0</t>
  </si>
  <si>
    <t>WIG;19980522;16998,9;16998,9;16998,9;16998,9;0</t>
  </si>
  <si>
    <t>WIG;19980525;16740;16740;16740;16740;0</t>
  </si>
  <si>
    <t>WIG;19980526;16326,8;16326,8;16326,8;16326,8;0</t>
  </si>
  <si>
    <t>WIG;19980527;15834,3;15834,3;15834,3;15834,3;0</t>
  </si>
  <si>
    <t>WIG;19980528;15669,3;15669,3;15669,3;15669,3;0</t>
  </si>
  <si>
    <t>WIG;19980529;15683,3;15683,3;15683,3;15683,3;0</t>
  </si>
  <si>
    <t>WIG;19980601;15038,4;15038,4;15038,4;15038,4;0</t>
  </si>
  <si>
    <t>WIG;19980602;14551;14551;14551;14551;0</t>
  </si>
  <si>
    <t>WIG;19980603;14955,6;14955,6;14955,6;14955,6;0</t>
  </si>
  <si>
    <t>WIG;19980604;15442,9;15442,9;15442,9;15442,9;0</t>
  </si>
  <si>
    <t>WIG;19980605;15766,2;15766,2;15766,2;15766,2;0</t>
  </si>
  <si>
    <t>WIG;19980608;16301,1;16301,1;16301,1;16301,1;0</t>
  </si>
  <si>
    <t>WIG;19980609;16027,8;16027,8;16027,8;16027,8;0</t>
  </si>
  <si>
    <t>WIG;19980610;15543,6;15543,6;15543,6;15543,6;0</t>
  </si>
  <si>
    <t>WIG;19980615;14854,7;14854,7;14854,7;14854,7;0</t>
  </si>
  <si>
    <t>WIG;19980616;14845,6;14845,6;14845,6;14845,6;0</t>
  </si>
  <si>
    <t>WIG;19980617;15482,3;15482,3;15482,3;15482,3;0</t>
  </si>
  <si>
    <t>WIG;19980618;15969,6;15969,6;15969,6;15969,6;0</t>
  </si>
  <si>
    <t>WIG;19980619;15530,2;15530,2;15530,2;15530,2;0</t>
  </si>
  <si>
    <t>WIG;19980622;15633;15633;15633;15633;0</t>
  </si>
  <si>
    <t>WIG;19980623;15729,1;15729,1;15729,1;15729,1;0</t>
  </si>
  <si>
    <t>WIG;19980624;15522,9;15522,9;15522,9;15522,9;0</t>
  </si>
  <si>
    <t>WIG;19980625;15581,4;15581,4;15581,4;15581,4;0</t>
  </si>
  <si>
    <t>WIG;19980626;15635,2;15635,2;15635,2;15635,2;0</t>
  </si>
  <si>
    <t>WIG;19980629;15589;15589;15589;15589;0</t>
  </si>
  <si>
    <t>WIG;19980630;15728,6;15728,6;15728,6;15728,6;0</t>
  </si>
  <si>
    <t>WIG;19980701;15904,4;15904,4;15904,4;15904,4;0</t>
  </si>
  <si>
    <t>WIG;19980702;16291,2;16291,2;16291,2;16291,2;0</t>
  </si>
  <si>
    <t>WIG;19980703;16492,1;16492,1;16492,1;16492,1;0</t>
  </si>
  <si>
    <t>WIG;19980706;16771,4;16771,4;16771,4;16771,4;0</t>
  </si>
  <si>
    <t>WIG;19980707;16938,6;16938,6;16938,6;16938,6;0</t>
  </si>
  <si>
    <t>WIG;19980708;16824,2;16824,2;16824,2;16824,2;0</t>
  </si>
  <si>
    <t>WIG;19980709;16557,6;16557,6;16557,6;16557,6;0</t>
  </si>
  <si>
    <t>WIG;19980710;16348,2;16348,2;16348,2;16348,2;0</t>
  </si>
  <si>
    <t>WIG;19980713;16679,9;16679,9;16679,9;16679,9;0</t>
  </si>
  <si>
    <t>WIG;19980714;17444,4;17444,4;17444,4;17444,4;0</t>
  </si>
  <si>
    <t>WIG;19980715;17531,3;17531,3;17531,3;17531,3;0</t>
  </si>
  <si>
    <t>WIG;19980716;17306,5;17306,5;17306,5;17306,5;0</t>
  </si>
  <si>
    <t>WIG;19980717;17703,6;17703,6;17703,6;17703,6;0</t>
  </si>
  <si>
    <t>WIG;19980720;17594,8;17594,8;17594,8;17594,8;0</t>
  </si>
  <si>
    <t>WIG;19980721;17774,3;17774,3;17774,3;17774,3;0</t>
  </si>
  <si>
    <t>WIG;19980722;17218,3;17218,3;17218,3;17218,3;0</t>
  </si>
  <si>
    <t>WIG;19980723;17000,9;17000,9;17000,9;17000,9;0</t>
  </si>
  <si>
    <t>WIG;19980724;17060,3;17060,3;17060,3;17060,3;0</t>
  </si>
  <si>
    <t>WIG;19980727;16975,8;16975,8;16975,8;16975,8;0</t>
  </si>
  <si>
    <t>WIG;19980728;16706,2;16706,2;16706,2;16706,2;0</t>
  </si>
  <si>
    <t>WIG;19980729;16346,9;16346,9;16346,9;16346,9;0</t>
  </si>
  <si>
    <t>WIG;19980730;16399;16399;16399;16399;0</t>
  </si>
  <si>
    <t>WIG;19980731;16534,3;16534,3;16534,3;16534,3;0</t>
  </si>
  <si>
    <t>WIG;19980803;15959,6;15959,6;15959,6;15959,6;0</t>
  </si>
  <si>
    <t>WIG;19980804;15909,2;15909,2;15909,2;15909,2;0</t>
  </si>
  <si>
    <t>WIG;19980805;15544,4;15544,4;15544,4;15544,4;0</t>
  </si>
  <si>
    <t>WIG;19980806;15679,1;15679,1;15679,1;15679,1;0</t>
  </si>
  <si>
    <t>WIG;19980807;15578,5;15578,5;15578,5;15578,5;0</t>
  </si>
  <si>
    <t>WIG;19980810;15655,4;15655,4;15655,4;15655,4;0</t>
  </si>
  <si>
    <t>WIG;19980811;15215,4;15215,4;15215,4;15215,4;0</t>
  </si>
  <si>
    <t>WIG;19980812;14872,7;14872,7;14872,7;14872,7;0</t>
  </si>
  <si>
    <t>WIG;19980813;14299,4;14299,4;14299,4;14299,4;0</t>
  </si>
  <si>
    <t>WIG;19980814;14402;14402;14402;14402;0</t>
  </si>
  <si>
    <t>WIG;19980817;13966,6;13966,6;13966,6;13966,6;0</t>
  </si>
  <si>
    <t>WIG;19980818;14532,4;14532,4;14532,4;14532,4;0</t>
  </si>
  <si>
    <t>WIG;19980819;14907,1;14907,1;14907,1;14907,1;0</t>
  </si>
  <si>
    <t>WIG;19980820;14828,1;14828,1;14828,1;14828,1;0</t>
  </si>
  <si>
    <t>WIG;19980821;14264,3;14264,3;14264,3;14264,3;0</t>
  </si>
  <si>
    <t>WIG;19980824;14123;14123;14123;14123;0</t>
  </si>
  <si>
    <t>WIG;19980825;14199,7;14199,7;14199,7;14199,7;0</t>
  </si>
  <si>
    <t>WIG;19980826;13843,1;13843,1;13843,1;13843,1;0</t>
  </si>
  <si>
    <t>WIG;19980827;13001,4;13001,4;13001,4;13001,4;0</t>
  </si>
  <si>
    <t>WIG;19980828;11767,2;11767,2;11767,2;11767,2;0</t>
  </si>
  <si>
    <t>WIG;19980831;11635,9;11635,9;11635,9;11635,9;0</t>
  </si>
  <si>
    <t>WIG;19980901;10883,7;10883,7;10883,7;10883,7;0</t>
  </si>
  <si>
    <t>WIG;19980902;11777,6;11777,6;11777,6;11777,6;0</t>
  </si>
  <si>
    <t>WIG;19980903;11871,5;11871,5;11871,5;11871,5;0</t>
  </si>
  <si>
    <t>WIG;19980904;11856,3;11856,3;11856,3;11856,3;0</t>
  </si>
  <si>
    <t>WIG;19980907;12418,5;12418,5;12418,5;12418,5;0</t>
  </si>
  <si>
    <t>WIG;19980908;12753;12753;12753;12753;0</t>
  </si>
  <si>
    <t>WIG;19980909;12857,5;12857,5;12857,5;12857,5;0</t>
  </si>
  <si>
    <t>WIG;19980910;12565,9;12565,9;12565,9;12565,9;0</t>
  </si>
  <si>
    <t>WIG;19980911;12026,7;12026,7;12026,7;12026,7;0</t>
  </si>
  <si>
    <t>WIG;19980914;12436,9;12436,9;12436,9;12436,9;0</t>
  </si>
  <si>
    <t>WIG;19980915;12464,9;12464,9;12464,9;12464,9;0</t>
  </si>
  <si>
    <t>WIG;19980916;12454,3;12454,3;12454,3;12454,3;0</t>
  </si>
  <si>
    <t>WIG;19980917;12211;12211;12211;12211;0</t>
  </si>
  <si>
    <t>WIG;19980918;11928,6;11928,6;11928,6;11928,6;0</t>
  </si>
  <si>
    <t>WIG;19980921;11747,9;11747,9;11747,9;11747,9;0</t>
  </si>
  <si>
    <t>WIG;19980922;11986,6;11986,6;11986,6;11986,6;0</t>
  </si>
  <si>
    <t>WIG;19980923;12349,9;12349,9;12349,9;12349,9;0</t>
  </si>
  <si>
    <t>WIG;19980924;12961,9;12961,9;12961,9;12961,9;0</t>
  </si>
  <si>
    <t>WIG;19980925;12491,5;12491,5;12491,5;12491,5;0</t>
  </si>
  <si>
    <t>WIG;19980928;12772;12772;12772;12772;0</t>
  </si>
  <si>
    <t>WIG;19980929;12603,1;12603,1;12603,1;12603,1;0</t>
  </si>
  <si>
    <t>WIG;19980930;12238,3;12238,3;12238,3;12238,3;0</t>
  </si>
  <si>
    <t>WIG;19981001;11413;11413;11413;11413;0</t>
  </si>
  <si>
    <t>WIG;19981002;10885;10885;10885;10885;0</t>
  </si>
  <si>
    <t>WIG;19981005;10940,9;10940,9;10940,9;10940,9;0</t>
  </si>
  <si>
    <t>WIG;19981006;10760,3;10760,3;10760,3;10760,3;0</t>
  </si>
  <si>
    <t>WIG;19981007;11052,9;11052,9;11052,9;11052,9;0</t>
  </si>
  <si>
    <t>WIG;19981008;10714;10714;10714;10714;0</t>
  </si>
  <si>
    <t>WIG;19981009;10473,7;10473,7;10473,7;10473,7;0</t>
  </si>
  <si>
    <t>WIG;19981012;10984,7;10984,7;10984,7;10984,7;0</t>
  </si>
  <si>
    <t>WIG;19981013;10893;10893;10893;10893;0</t>
  </si>
  <si>
    <t>WIG;19981014;10746,7;10746,7;10746,7;10746,7;0</t>
  </si>
  <si>
    <t>WIG;19981015;10844,2;10844,2;10844,2;10844,2;0</t>
  </si>
  <si>
    <t>WIG;19981016;11145,2;11145,2;11145,2;11145,2;0</t>
  </si>
  <si>
    <t>WIG;19981019;10993,4;10993,4;10993,4;10993,4;0</t>
  </si>
  <si>
    <t>WIG;19981020;11035,4;11035,4;11035,4;11035,4;0</t>
  </si>
  <si>
    <t>WIG;19981021;11193,9;11193,9;11193,9;11193,9;0</t>
  </si>
  <si>
    <t>WIG;19981022;11356;11356;11356;11356;0</t>
  </si>
  <si>
    <t>WIG;19981023;11793,1;11793,1;11793,1;11793,1;0</t>
  </si>
  <si>
    <t>WIG;19981026;12030;12030;12030;12030;0</t>
  </si>
  <si>
    <t>WIG;19981027;12220,7;12220,7;12220,7;12220,7;0</t>
  </si>
  <si>
    <t>WIG;19981028;11963,3;11963,3;11963,3;11963,3;0</t>
  </si>
  <si>
    <t>WIG;19981029;11960,3;11960,3;11960,3;11960,3;0</t>
  </si>
  <si>
    <t>WIG;19981030;12345,4;12345,4;12345,4;12345,4;0</t>
  </si>
  <si>
    <t>WIG;19981102;12899,9;12899,9;12899,9;12899,9;0</t>
  </si>
  <si>
    <t>WIG;19981103;13161,2;13161,2;13161,2;13161,2;0</t>
  </si>
  <si>
    <t>WIG;19981104;13031,1;13031,1;13031,1;13031,1;0</t>
  </si>
  <si>
    <t>WIG;19981105;13220,2;13220,2;13220,2;13220,2;0</t>
  </si>
  <si>
    <t>WIG;19981106;13189,1;13189,1;13189,1;13189,1;0</t>
  </si>
  <si>
    <t>WIG;19981109;13106,3;13106,3;13106,3;13106,3;0</t>
  </si>
  <si>
    <t>WIG;19981110;12737,1;12737,1;12737,1;12737,1;0</t>
  </si>
  <si>
    <t>WIG;19981112;12465,8;12465,8;12465,8;12465,8;0</t>
  </si>
  <si>
    <t>WIG;19981113;12486,6;12486,6;12486,6;12486,6;0</t>
  </si>
  <si>
    <t>WIG;19981116;13175,2;13175,2;13175,2;13175,2;0</t>
  </si>
  <si>
    <t>WIG;19981117;13038;13038;13038;13038;0</t>
  </si>
  <si>
    <t>WIG;19981118;12901,6;12901,6;12901,6;12901,6;0</t>
  </si>
  <si>
    <t>WIG;19981119;12651,9;12651,9;12651,9;12651,9;0</t>
  </si>
  <si>
    <t>WIG;19981120;12685,9;12685,9;12685,9;12685,9;0</t>
  </si>
  <si>
    <t>WIG;19981123;12892,5;12892,5;12892,5;12892,5;0</t>
  </si>
  <si>
    <t>WIG;19981124;12728,4;12728,4;12728,4;12728,4;0</t>
  </si>
  <si>
    <t>WIG;19981125;12427,7;12427,7;12427,7;12427,7;0</t>
  </si>
  <si>
    <t>WIG;19981126;12453,2;12453,2;12453,2;12453,2;0</t>
  </si>
  <si>
    <t>WIG;19981127;12205,2;12205,2;12205,2;12205,2;0</t>
  </si>
  <si>
    <t>WIG;19981130;11777,7;11777,7;11777,7;11777,7;0</t>
  </si>
  <si>
    <t>WIG;19981201;11532;11532;11532;11532;0</t>
  </si>
  <si>
    <t>WIG;19981202;11548;11548;11548;11548;0</t>
  </si>
  <si>
    <t>WIG;19981203;11545,3;11545,3;11545,3;11545,3;0</t>
  </si>
  <si>
    <t>WIG;19981204;11798,3;11798,3;11798,3;11798,3;0</t>
  </si>
  <si>
    <t>WIG;19981207;12277,6;12277,6;12277,6;12277,6;0</t>
  </si>
  <si>
    <t>WIG;19981208;12226,9;12226,9;12226,9;12226,9;0</t>
  </si>
  <si>
    <t>WIG;19981209;12218,4;12218,4;12218,4;12218,4;0</t>
  </si>
  <si>
    <t>WIG;19981210;12257,4;12257,4;12257,4;12257,4;0</t>
  </si>
  <si>
    <t>WIG;19981211;11958,4;11958,4;11958,4;11958,4;0</t>
  </si>
  <si>
    <t>WIG;19981214;11772,2;11772,2;11772,2;11772,2;0</t>
  </si>
  <si>
    <t>WIG;19981215;11839,9;11839,9;11839,9;11839,9;0</t>
  </si>
  <si>
    <t>WIG;19981216;11771,5;11771,5;11771,5;11771,5;0</t>
  </si>
  <si>
    <t>WIG;19981217;11822,9;11822,9;11822,9;11822,9;0</t>
  </si>
  <si>
    <t>WIG;19981218;11878,7;11878,7;11878,7;11878,7;0</t>
  </si>
  <si>
    <t>WIG;19981221;11859,3;11859,3;11859,3;11859,3;0</t>
  </si>
  <si>
    <t>WIG;19981222;12055,8;12055,8;12055,8;12055,8;0</t>
  </si>
  <si>
    <t>WIG;19981223;12418;12418;12418;12418;0</t>
  </si>
  <si>
    <t>WIG;19981228;12847,2;12847,2;12847,2;12847,2;0</t>
  </si>
  <si>
    <t>WIG;19981229;12989,2;12989,2;12989,2;12989,2;0</t>
  </si>
  <si>
    <t>WIG;19981230;12736,7;12736,7;12736,7;12736,7;0</t>
  </si>
  <si>
    <t>WIG;19981231;12795,6;12795,6;12795,6;12795,6;0</t>
  </si>
  <si>
    <t>WIG;19990104;13218,1;13218,1;13218,1;13218,1;0</t>
  </si>
  <si>
    <t>WIG;19990105;13476,5;13476,5;13476,5;13476,5;0</t>
  </si>
  <si>
    <t>WIG;19990106;13572,3;13572,3;13572,3;13572,3;0</t>
  </si>
  <si>
    <t>WIG;19990107;14390,5;14390,5;14390,5;14390,5;0</t>
  </si>
  <si>
    <t>WIG;19990108;14422,3;14422,3;14422,3;14422,3;0</t>
  </si>
  <si>
    <t>WIG;19990111;14709,7;14709,7;14709,7;14709,7;0</t>
  </si>
  <si>
    <t>WIG;19990112;14199,9;14199,9;14199,9;14199,9;0</t>
  </si>
  <si>
    <t>WIG;19990113;13598,5;13598,5;13598,5;13598,5;0</t>
  </si>
  <si>
    <t>WIG;19990114;12847,5;12847,5;12847,5;12847,5;0</t>
  </si>
  <si>
    <t>WIG;19990115;12591,1;12591,1;12591,1;12591,1;0</t>
  </si>
  <si>
    <t>WIG;19990118;13477,6;13477,6;13477,6;13477,6;0</t>
  </si>
  <si>
    <t>WIG;19990119;13679,6;13679,6;13679,6;13679,6;0</t>
  </si>
  <si>
    <t>WIG;19990120;13934,7;13934,7;13934,7;13934,7;0</t>
  </si>
  <si>
    <t>WIG;19990121;14258,4;14258,4;14258,4;14258,4;0</t>
  </si>
  <si>
    <t>WIG;19990122;13678,5;13678,5;13678,5;13678,5;0</t>
  </si>
  <si>
    <t>WIG;19990125;13304,8;13304,8;13304,8;13304,8;0</t>
  </si>
  <si>
    <t>WIG;19990126;14052,2;14052,2;14052,2;14052,2;0</t>
  </si>
  <si>
    <t>WIG;19990127;14176,8;14176,8;14176,8;14176,8;0</t>
  </si>
  <si>
    <t>WIG;19990128;13963,1;13963,1;13963,1;13963,1;0</t>
  </si>
  <si>
    <t>WIG;19990129;14573,5;14573,5;14573,5;14573,5;0</t>
  </si>
  <si>
    <t>WIG;19990201;14676,2;14676,2;14676,2;14676,2;0</t>
  </si>
  <si>
    <t>WIG;19990202;14431,1;14431,1;14431,1;14431,1;0</t>
  </si>
  <si>
    <t>WIG;19990203;14295,7;14295,7;14295,7;14295,7;0</t>
  </si>
  <si>
    <t>WIG;19990204;14554,2;14554,2;14554,2;14554,2;0</t>
  </si>
  <si>
    <t>WIG;19990205;14237,3;14237,3;14237,3;14237,3;0</t>
  </si>
  <si>
    <t>WIG;19990208;14186,6;14186,6;14186,6;14186,6;0</t>
  </si>
  <si>
    <t>WIG;19990209;14320;14320;14320;14320;0</t>
  </si>
  <si>
    <t>WIG;19990210;14012,1;14012,1;14012,1;14012,1;0</t>
  </si>
  <si>
    <t>WIG;19990211;14130,4;14130,4;14130,4;14130,4;0</t>
  </si>
  <si>
    <t>WIG;19990212;14487,1;14487,1;14487,1;14487,1;0</t>
  </si>
  <si>
    <t>WIG;19990215;14212,3;14212,3;14212,3;14212,3;0</t>
  </si>
  <si>
    <t>WIG;19990216;14299,5;14299,5;14299,5;14299,5;0</t>
  </si>
  <si>
    <t>WIG;19990217;14256,3;14256,3;14256,3;14256,3;0</t>
  </si>
  <si>
    <t>WIG;19990218;14085,8;14085,8;14085,8;14085,8;0</t>
  </si>
  <si>
    <t>WIG;19990219;14054;14054;14054;14054;0</t>
  </si>
  <si>
    <t>WIG;19990222;14063,2;14063,2;14063,2;14063,2;0</t>
  </si>
  <si>
    <t>WIG;19990223;14045,6;14045,6;14045,6;14045,6;0</t>
  </si>
  <si>
    <t>WIG;19990224;13716,1;13716,1;13716,1;13716,1;0</t>
  </si>
  <si>
    <t>WIG;19990225;13372,2;13372,2;13372,2;13372,2;0</t>
  </si>
  <si>
    <t>WIG;19990226;13235,2;13235,2;13235,2;13235,2;0</t>
  </si>
  <si>
    <t>WIG;19990301;13457,3;13457,3;13457,3;13457,3;0</t>
  </si>
  <si>
    <t>WIG;19990302;13351,3;13351,3;13351,3;13351,3;0</t>
  </si>
  <si>
    <t>WIG;19990303;13391;13391;13391;13391;0</t>
  </si>
  <si>
    <t>WIG;19990304;13296,5;13296,5;13296,5;13296,5;0</t>
  </si>
  <si>
    <t>WIG;19990305;13314,8;13314,8;13314,8;13314,8;0</t>
  </si>
  <si>
    <t>WIG;19990308;13613,3;13613,3;13613,3;13613,3;0</t>
  </si>
  <si>
    <t>WIG;19990309;13874;13874;13874;13874;0</t>
  </si>
  <si>
    <t>WIG;19990310;13808,5;13808,5;13808,5;13808,5;0</t>
  </si>
  <si>
    <t>WIG;19990311;13831,5;13831,5;13831,5;13831,5;0</t>
  </si>
  <si>
    <t>WIG;19990312;14015,5;14015,5;14015,5;14015,5;0</t>
  </si>
  <si>
    <t>WIG;19990315;14014,8;14014,8;14014,8;14014,8;0</t>
  </si>
  <si>
    <t>WIG;19990316;13807;13807;13807;13807;0</t>
  </si>
  <si>
    <t>WIG;19990317;13651,4;13651,4;13651,4;13651,4;0</t>
  </si>
  <si>
    <t>WIG;19990318;13705,2;13705,2;13705,2;13705,2;0</t>
  </si>
  <si>
    <t>WIG;19990319;13899,4;13899,4;13899,4;13899,4;0</t>
  </si>
  <si>
    <t>WIG;19990322;14101,6;14101,6;14101,6;14101,6;0</t>
  </si>
  <si>
    <t>WIG;19990323;14232,1;14232,1;14232,1;14232,1;0</t>
  </si>
  <si>
    <t>WIG;19990324;13515,1;13515,1;13515,1;13515,1;0</t>
  </si>
  <si>
    <t>WIG;19990325;13846,4;13846,4;13846,4;13846,4;0</t>
  </si>
  <si>
    <t>WIG;19990326;14202,1;14202,1;14202,1;14202,1;0</t>
  </si>
  <si>
    <t>WIG;19990329;14054,8;14054,8;14054,8;14054,8;0</t>
  </si>
  <si>
    <t>WIG;19990330;14192,1;14192,1;14192,1;14192,1;0</t>
  </si>
  <si>
    <t>WIG;19990331;14131,3;14131,3;14131,3;14131,3;0</t>
  </si>
  <si>
    <t>WIG;19990401;14220,7;14220,7;14220,7;14220,7;0</t>
  </si>
  <si>
    <t>WIG;19990406;14579,3;14579,3;14579,3;14579,3;0</t>
  </si>
  <si>
    <t>WIG;19990407;14757,7;14757,7;14757,7;14757,7;0</t>
  </si>
  <si>
    <t>WIG;19990408;14765,5;14765,5;14765,5;14765,5;0</t>
  </si>
  <si>
    <t>WIG;19990409;14896,8;14896,8;14896,8;14896,8;0</t>
  </si>
  <si>
    <t>WIG;19990412;14724,3;14724,3;14724,3;14724,3;0</t>
  </si>
  <si>
    <t>WIG;19990413;14734,4;14734,4;14734,4;14734,4;0</t>
  </si>
  <si>
    <t>WIG;19990414;14527,2;14527,2;14527,2;14527,2;0</t>
  </si>
  <si>
    <t>WIG;19990415;14411,6;14411,6;14411,6;14411,6;0</t>
  </si>
  <si>
    <t>WIG;19990416;14543,1;14543,1;14543,1;14543,1;0</t>
  </si>
  <si>
    <t>WIG;19990419;14985,2;14985,2;14985,2;14985,2;0</t>
  </si>
  <si>
    <t>WIG;19990420;15219,5;15219,5;15219,5;15219,5;0</t>
  </si>
  <si>
    <t>WIG;19990421;15270,2;15270,2;15270,2;15270,2;0</t>
  </si>
  <si>
    <t>WIG;19990422;15448;15448;15448;15448;0</t>
  </si>
  <si>
    <t>WIG;19990423;15515,8;15515,8;15515,8;15515,8;0</t>
  </si>
  <si>
    <t>WIG;19990426;15439,5;15439,5;15439,5;15439,5;0</t>
  </si>
  <si>
    <t>WIG;19990427;15461,3;15461,3;15461,3;15461,3;0</t>
  </si>
  <si>
    <t>WIG;19990428;15322,3;15322,3;15322,3;15322,3;0</t>
  </si>
  <si>
    <t>WIG;19990429;15012,1;15012,1;15012,1;15012,1;0</t>
  </si>
  <si>
    <t>WIG;19990430;15248;15248;15248;15248;0</t>
  </si>
  <si>
    <t>WIG;19990504;15643;15643;15643;15643;0</t>
  </si>
  <si>
    <t>WIG;19990505;15403,2;15403,2;15403,2;15403,2;0</t>
  </si>
  <si>
    <t>WIG;19990506;15472,1;15472,1;15472,1;15472,1;0</t>
  </si>
  <si>
    <t>WIG;19990507;15435,2;15435,2;15435,2;15435,2;0</t>
  </si>
  <si>
    <t>WIG;19990510;15346;15346;15346;15346;0</t>
  </si>
  <si>
    <t>WIG;19990511;15271,6;15271,6;15271,6;15271,6;0</t>
  </si>
  <si>
    <t>WIG;19990512;15345,8;15345,8;15345,8;15345,8;0</t>
  </si>
  <si>
    <t>WIG;19990513;15217,6;15217,6;15217,6;15217,6;0</t>
  </si>
  <si>
    <t>WIG;19990514;15350,8;15350,8;15350,8;15350,8;0</t>
  </si>
  <si>
    <t>WIG;19990517;14904;14904;14904;14904;0</t>
  </si>
  <si>
    <t>WIG;19990518;15219,1;15219,1;15219,1;15219,1;0</t>
  </si>
  <si>
    <t>WIG;19990519;15677,3;15677,3;15677,3;15677,3;0</t>
  </si>
  <si>
    <t>WIG;19990520;15720,7;15720,7;15720,7;15720,7;0</t>
  </si>
  <si>
    <t>WIG;19990521;16017,3;16017,3;16017,3;16017,3;0</t>
  </si>
  <si>
    <t>WIG;19990524;15872,8;15872,8;15872,8;15872,8;0</t>
  </si>
  <si>
    <t>WIG;19990525;15700,1;15700,1;15700,1;15700,1;0</t>
  </si>
  <si>
    <t>WIG;19990526;15744,4;15744,4;15744,4;15744,4;0</t>
  </si>
  <si>
    <t>WIG;19990527;15947,8;15947,8;15947,8;15947,8;0</t>
  </si>
  <si>
    <t>WIG;19990528;15593,2;15593,2;15593,2;15593,2;0</t>
  </si>
  <si>
    <t>WIG;19990531;15623;15623;15623;15623;0</t>
  </si>
  <si>
    <t>WIG;19990601;15669,1;15669,1;15669,1;15669,1;0</t>
  </si>
  <si>
    <t>WIG;19990602;15800,3;15800,3;15800,3;15800,3;0</t>
  </si>
  <si>
    <t>WIG;19990607;15875,3;15875,3;15875,3;15875,3;0</t>
  </si>
  <si>
    <t>WIG;19990608;15732,6;15732,6;15732,6;15732,6;0</t>
  </si>
  <si>
    <t>WIG;19990609;15591;15591;15591;15591;0</t>
  </si>
  <si>
    <t>WIG;19990610;16015,5;16015,5;16015,5;16015,5;0</t>
  </si>
  <si>
    <t>WIG;19990611;16277,3;16277,3;16277,3;16277,3;0</t>
  </si>
  <si>
    <t>WIG;19990614;16618,3;16618,3;16618,3;16618,3;0</t>
  </si>
  <si>
    <t>WIG;19990615;16610,2;16610,2;16610,2;16610,2;0</t>
  </si>
  <si>
    <t>WIG;19990616;16552,2;16552,2;16552,2;16552,2;0</t>
  </si>
  <si>
    <t>WIG;19990617;16679,2;16679,2;16679,2;16679,2;0</t>
  </si>
  <si>
    <t>WIG;19990618;16792,5;16792,5;16792,5;16792,5;0</t>
  </si>
  <si>
    <t>WIG;19990621;16952,5;16952,5;16952,5;16952,5;0</t>
  </si>
  <si>
    <t>WIG;19990622;17046,4;17046,4;17046,4;17046,4;0</t>
  </si>
  <si>
    <t>WIG;19990623;16725,2;16725,2;16725,2;16725,2;0</t>
  </si>
  <si>
    <t>WIG;19990624;16848,1;16848,1;16848,1;16848,1;0</t>
  </si>
  <si>
    <t>WIG;19990625;16815,1;16815,1;16815,1;16815,1;0</t>
  </si>
  <si>
    <t>WIG;19990628;17036,4;17036,4;17036,4;17036,4;0</t>
  </si>
  <si>
    <t>WIG;19990629;17012,5;17012,5;17012,5;17012,5;0</t>
  </si>
  <si>
    <t>WIG;19990630;16825,1;16825,1;16825,1;16825,1;0</t>
  </si>
  <si>
    <t>WIG;19990701;17323,1;17323,1;17323,1;17323,1;0</t>
  </si>
  <si>
    <t>WIG;19990702;17460,4;17460,4;17460,4;17460,4;0</t>
  </si>
  <si>
    <t>WIG;19990705;17369,1;17369,1;17369,1;17369,1;0</t>
  </si>
  <si>
    <t>WIG;19990706;17284;17284;17284;17284;0</t>
  </si>
  <si>
    <t>WIG;19990707;17035,3;17035,3;17035,3;17035,3;0</t>
  </si>
  <si>
    <t>WIG;19990708;17182,5;17182,5;17182,5;17182,5;0</t>
  </si>
  <si>
    <t>WIG;19990709;17345,6;17345,6;17345,6;17345,6;0</t>
  </si>
  <si>
    <t>WIG;19990712;17645,9;17645,9;17645,9;17645,9;0</t>
  </si>
  <si>
    <t>WIG;19990713;17425,3;17425,3;17425,3;17425,3;0</t>
  </si>
  <si>
    <t>WIG;19990714;17353,8;17353,8;17353,8;17353,8;0</t>
  </si>
  <si>
    <t>WIG;19990715;17610,9;17610,9;17610,9;17610,9;0</t>
  </si>
  <si>
    <t>WIG;19990716;17534,4;17534,4;17534,4;17534,4;0</t>
  </si>
  <si>
    <t>WIG;19990719;17458,7;17458,7;17458,7;17458,7;0</t>
  </si>
  <si>
    <t>WIG;19990720;17294,8;17294,8;17294,8;17294,8;0</t>
  </si>
  <si>
    <t>WIG;19990721;16930;16930;16930;16930;0</t>
  </si>
  <si>
    <t>WIG;19990722;17046,9;17046,9;17046,9;17046,9;0</t>
  </si>
  <si>
    <t>WIG;19990723;16892,5;16892,5;16892,5;16892,5;0</t>
  </si>
  <si>
    <t>WIG;19990726;17020,8;17020,8;17020,8;17020,8;0</t>
  </si>
  <si>
    <t>WIG;19990727;16729,1;16729,1;16729,1;16729,1;0</t>
  </si>
  <si>
    <t>WIG;19990728;16946,3;16946,3;16946,3;16946,3;0</t>
  </si>
  <si>
    <t>WIG;19990729;17012,9;17012,9;17012,9;17012,9;0</t>
  </si>
  <si>
    <t>WIG;19990730;16980,4;16980,4;16980,4;16980,4;0</t>
  </si>
  <si>
    <t>WIG;19990802;17095,5;17095,5;17095,5;17095,5;0</t>
  </si>
  <si>
    <t>WIG;19990803;17098;17098;17098;17098;0</t>
  </si>
  <si>
    <t>WIG;19990804;16984,2;16984,2;16984,2;16984,2;0</t>
  </si>
  <si>
    <t>WIG;19990805;16878,3;16878,3;16878,3;16878,3;0</t>
  </si>
  <si>
    <t>WIG;19990806;16869,8;16869,8;16869,8;16869,8;0</t>
  </si>
  <si>
    <t>WIG;19990809;16703;16703;16703;16703;0</t>
  </si>
  <si>
    <t>WIG;19990810;16504,4;16504,4;16504,4;16504,4;0</t>
  </si>
  <si>
    <t>WIG;19990811;16375,8;16375,8;16375,8;16375,8;0</t>
  </si>
  <si>
    <t>WIG;19990812;16606,2;16606,2;16606,2;16606,2;0</t>
  </si>
  <si>
    <t>WIG;19990813;16634,8;16634,8;16634,8;16634,8;0</t>
  </si>
  <si>
    <t>WIG;19990816;16777,4;16777,4;16777,4;16777,4;0</t>
  </si>
  <si>
    <t>WIG;19990817;16492,8;16492,8;16492,8;16492,8;0</t>
  </si>
  <si>
    <t>WIG;19990818;16599,7;16599,7;16599,7;16599,7;0</t>
  </si>
  <si>
    <t>WIG;19990819;16607,6;16607,6;16607,6;16607,6;0</t>
  </si>
  <si>
    <t>WIG;19990820;16570,1;16570,1;16570,1;16570,1;0</t>
  </si>
  <si>
    <t>WIG;19990823;16753,7;16753,7;16753,7;16753,7;0</t>
  </si>
  <si>
    <t>WIG;19990824;16890,1;16890,1;16890,1;16890,1;0</t>
  </si>
  <si>
    <t>WIG;19990825;17021,3;17021,3;17021,3;17021,3;0</t>
  </si>
  <si>
    <t>WIG;19990826;17234,2;17234,2;17234,2;17234,2;0</t>
  </si>
  <si>
    <t>WIG;19990827;17102,9;17102,9;17102,9;17102,9;0</t>
  </si>
  <si>
    <t>WIG;19990830;17196,3;17196,3;17196,3;17196,3;0</t>
  </si>
  <si>
    <t>WIG;19990831;17014,3;17014,3;17014,3;17014,3;0</t>
  </si>
  <si>
    <t>WIG;19990901;17018,7;17018,7;17018,7;17018,7;0</t>
  </si>
  <si>
    <t>WIG;19990902;17080,6;17080,6;17080,6;17080,6;0</t>
  </si>
  <si>
    <t>WIG;19990903;16972;16972;16972;16972;0</t>
  </si>
  <si>
    <t>WIG;19990906;17025,6;17025,6;17025,6;17025,6;0</t>
  </si>
  <si>
    <t>WIG;19990907;16722,7;16722,7;16722,7;16722,7;0</t>
  </si>
  <si>
    <t>WIG;19990908;16686,3;16686,3;16686,3;16686,3;0</t>
  </si>
  <si>
    <t>WIG;19990909;16457,3;16457,3;16457,3;16457,3;0</t>
  </si>
  <si>
    <t>WIG;19990910;16502,6;16502,6;16502,6;16502,6;0</t>
  </si>
  <si>
    <t>WIG;19990913;16469,7;16469,7;16469,7;16469,7;0</t>
  </si>
  <si>
    <t>WIG;19990914;16294,8;16294,8;16294,8;16294,8;0</t>
  </si>
  <si>
    <t>WIG;19990915;15721,6;15721,6;15721,6;15721,6;0</t>
  </si>
  <si>
    <t>WIG;19990916;15489,6;15489,6;15489,6;15489,6;0</t>
  </si>
  <si>
    <t>WIG;19990917;15638;15638;15638;15638;0</t>
  </si>
  <si>
    <t>WIG;19990920;15782,2;15782,2;15782,2;15782,2;0</t>
  </si>
  <si>
    <t>WIG;19990921;15315,8;15315,8;15315,8;15315,8;0</t>
  </si>
  <si>
    <t>WIG;19990922;15009,8;15009,8;15009,8;15009,8;0</t>
  </si>
  <si>
    <t>WIG;19990923;14851,8;14851,8;14851,8;14851,8;0</t>
  </si>
  <si>
    <t>WIG;19990924;14550,1;14550,1;14550,1;14550,1;0</t>
  </si>
  <si>
    <t>WIG;19990927;14384,4;14384,4;14384,4;14384,4;0</t>
  </si>
  <si>
    <t>WIG;19990928;14552,3;14552,3;14552,3;14552,3;0</t>
  </si>
  <si>
    <t>WIG;19990929;14426,4;14426,4;14426,4;14426,4;0</t>
  </si>
  <si>
    <t>WIG;19990930;14259,4;14259,4;14259,4;14259,4;0</t>
  </si>
  <si>
    <t>WIG;19991001;14382,1;14382,1;14382,1;14382,1;0</t>
  </si>
  <si>
    <t>WIG;19991004;14423,3;14423,3;14423,3;14423,3;0</t>
  </si>
  <si>
    <t>WIG;19991005;14746,1;14746,1;14746,1;14746,1;0</t>
  </si>
  <si>
    <t>WIG;19991006;14756,6;14756,6;14756,6;14756,6;0</t>
  </si>
  <si>
    <t>WIG;19991007;14970,9;14970,9;14970,9;14970,9;0</t>
  </si>
  <si>
    <t>WIG;19991008;14854,3;14854,3;14854,3;14854,3;0</t>
  </si>
  <si>
    <t>WIG;19991011;14915,6;14915,6;14915,6;14915,6;0</t>
  </si>
  <si>
    <t>WIG;19991012;14708;14708;14708;14708;0</t>
  </si>
  <si>
    <t>WIG;19991013;14400;14400;14400;14400;0</t>
  </si>
  <si>
    <t>WIG;19991014;14458,2;14458,2;14458,2;14458,2;0</t>
  </si>
  <si>
    <t>WIG;19991015;14591,8;14591,8;14591,8;14591,8;0</t>
  </si>
  <si>
    <t>WIG;19991018;14174,5;14174,5;14174,5;14174,5;0</t>
  </si>
  <si>
    <t>WIG;19991019;14229,3;14229,3;14229,3;14229,3;0</t>
  </si>
  <si>
    <t>WIG;19991020;14554,4;14554,4;14554,4;14554,4;0</t>
  </si>
  <si>
    <t>WIG;19991021;14885,5;14885,5;14885,5;14885,5;0</t>
  </si>
  <si>
    <t>WIG;19991022;14887,8;14887,8;14887,8;14887,8;0</t>
  </si>
  <si>
    <t>WIG;19991025;14949,6;14949,6;14949,6;14949,6;0</t>
  </si>
  <si>
    <t>WIG;19991026;14753,5;14753,5;14753,5;14753,5;0</t>
  </si>
  <si>
    <t>WIG;19991027;14661,2;14661,2;14661,2;14661,2;0</t>
  </si>
  <si>
    <t>WIG;19991028;14687,2;14687,2;14687,2;14687,2;0</t>
  </si>
  <si>
    <t>WIG;19991029;15011,3;15011,3;15011,3;15011,3;0</t>
  </si>
  <si>
    <t>WIG;19991102;14984,2;14984,2;14984,2;14984,2;0</t>
  </si>
  <si>
    <t>WIG;19991103;14935,2;14935,2;14935,2;14935,2;0</t>
  </si>
  <si>
    <t>WIG;19991104;14962;14962;14962;14962;0</t>
  </si>
  <si>
    <t>WIG;19991105;14473,3;14473,3;14473,3;14473,3;0</t>
  </si>
  <si>
    <t>WIG;19991108;14383,5;14383,5;14383,5;14383,5;0</t>
  </si>
  <si>
    <t>WIG;19991109;14457,7;14457,7;14457,7;14457,7;0</t>
  </si>
  <si>
    <t>WIG;19991110;14492,2;14492,2;14492,2;14492,2;0</t>
  </si>
  <si>
    <t>WIG;19991115;14492,5;14492,5;14492,5;14492,5;0</t>
  </si>
  <si>
    <t>WIG;19991116;14650;14650;14650;14650;0</t>
  </si>
  <si>
    <t>WIG;19991117;14851,3;14851,3;14851,3;14851,3;0</t>
  </si>
  <si>
    <t>WIG;19991118;14873,4;14873,4;14873,4;14873,4;0</t>
  </si>
  <si>
    <t>WIG;19991119;15431,2;15431,2;15431,2;15431,2;0</t>
  </si>
  <si>
    <t>WIG;19991122;15779,7;15779,7;15779,7;15779,7;0</t>
  </si>
  <si>
    <t>WIG;19991123;15670,9;15670,9;15670,9;15670,9;0</t>
  </si>
  <si>
    <t>WIG;19991124;15590,5;15590,5;15590,5;15590,5;0</t>
  </si>
  <si>
    <t>WIG;19991125;15855;15855;15855;15855;0</t>
  </si>
  <si>
    <t>WIG;19991126;16055,4;16055,4;16055,4;16055,4;0</t>
  </si>
  <si>
    <t>WIG;19991129;15651;15651;15651;15651;0</t>
  </si>
  <si>
    <t>WIG;19991130;15668,9;15668,9;15668,9;15668,9;0</t>
  </si>
  <si>
    <t>WIG;19991201;16077,4;16077,4;16077,4;16077,4;0</t>
  </si>
  <si>
    <t>WIG;19991202;16206,6;16206,6;16206,6;16206,6;0</t>
  </si>
  <si>
    <t>WIG;19991203;15922;15922;15922;15922;0</t>
  </si>
  <si>
    <t>WIG;19991206;15964;15964;15964;15964;0</t>
  </si>
  <si>
    <t>WIG;19991207;15925,8;15925,8;15925,8;15925,8;0</t>
  </si>
  <si>
    <t>WIG;19991208;16361,9;16361,9;16361,9;16361,9;0</t>
  </si>
  <si>
    <t>WIG;19991209;16811,3;16811,3;16811,3;16811,3;0</t>
  </si>
  <si>
    <t>WIG;19991210;17069,2;17069,2;17069,2;17069,2;0</t>
  </si>
  <si>
    <t>WIG;19991213;16888,8;16888,8;16888,8;16888,8;0</t>
  </si>
  <si>
    <t>WIG;19991214;16859,7;16859,7;16859,7;16859,7;0</t>
  </si>
  <si>
    <t>WIG;19991215;16875,9;16875,9;16875,9;16875,9;0</t>
  </si>
  <si>
    <t>WIG;19991216;16738,9;16738,9;16738,9;16738,9;0</t>
  </si>
  <si>
    <t>WIG;19991217;17061;17061;17061;17061;0</t>
  </si>
  <si>
    <t>WIG;19991220;17399,2;17399,2;17399,2;17399,2;0</t>
  </si>
  <si>
    <t>WIG;19991221;17432,6;17432,6;17432,6;17432,6;0</t>
  </si>
  <si>
    <t>WIG;19991222;17646,3;17646,3;17646,3;17646,3;0</t>
  </si>
  <si>
    <t>WIG;19991223;17845,1;17845,1;17845,1;17845,1;0</t>
  </si>
  <si>
    <t>WIG;19991227;18370;18370;18370;18370;0</t>
  </si>
  <si>
    <t>WIG;19991228;18276,3;18276,3;18276,3;18276,3;0</t>
  </si>
  <si>
    <t>WIG;19991229;18083,6;18083,6;18083,6;18083,6;0</t>
  </si>
  <si>
    <t>WIG;20000103;18981,7;18981,7;18981,7;18981,7;0</t>
  </si>
  <si>
    <t>WIG;20000104;18558;18558;18558;18558;0</t>
  </si>
  <si>
    <t>WIG;20000105;17694,4;17694,4;17694,4;17694,4;0</t>
  </si>
  <si>
    <t>WIG;20000106;18074,7;18074,7;18074,7;18074,7;0</t>
  </si>
  <si>
    <t>WIG;20000107;18953,5;18953,5;18953,5;18953,5;0</t>
  </si>
  <si>
    <t>WIG;20000110;19851,8;19851,8;19851,8;19851,8;0</t>
  </si>
  <si>
    <t>WIG;20000111;19853,3;19853,3;19853,3;19853,3;0</t>
  </si>
  <si>
    <t>WIG;20000112;19469,7;19469,7;19469,7;19469,7;0</t>
  </si>
  <si>
    <t>WIG;20000113;19900,4;19900,4;19900,4;19900,4;0</t>
  </si>
  <si>
    <t>WIG;20000114;20445,7;20445,7;20445,7;20445,7;0</t>
  </si>
  <si>
    <t>WIG;20000117;20108,3;20108,3;20108,3;20108,3;0</t>
  </si>
  <si>
    <t>WIG;20000118;20318;20318;20318;20318;0</t>
  </si>
  <si>
    <t>WIG;20000119;19632,3;19632,3;19632,3;19632,3;0</t>
  </si>
  <si>
    <t>WIG;20000120;19966,8;19966,8;19966,8;19966,8;0</t>
  </si>
  <si>
    <t>WIG;20000121;19905,7;19905,7;19905,7;19905,7;0</t>
  </si>
  <si>
    <t>WIG;20000124;20085,8;20085,8;20085,8;20085,8;0</t>
  </si>
  <si>
    <t>WIG;20000125;19354,5;19354,5;19354,5;19354,5;0</t>
  </si>
  <si>
    <t>WIG;20000126;19361;19361;19361;19361;0</t>
  </si>
  <si>
    <t>WIG;20000127;19481,4;19481,4;19481,4;19481,4;0</t>
  </si>
  <si>
    <t>WIG;20000128;19765,5;19765,5;19765,5;19765,5;0</t>
  </si>
  <si>
    <t>WIG;20000131;19398;19398;19398;19398;0</t>
  </si>
  <si>
    <t>WIG;20000201;19721;19721;19721;19721;0</t>
  </si>
  <si>
    <t>WIG;20000202;19704,2;19704,2;19704,2;19704,2;0</t>
  </si>
  <si>
    <t>WIG;20000203;20204,1;20204,1;20204,1;20204,1;0</t>
  </si>
  <si>
    <t>WIG;20000204;21224,6;21224,6;21224,6;21224,6;0</t>
  </si>
  <si>
    <t>WIG;20000207;20977,2;20977,2;20977,2;20977,2;0</t>
  </si>
  <si>
    <t>WIG;20000208;21185,3;21185,3;21185,3;21185,3;0</t>
  </si>
  <si>
    <t>WIG;20000209;21742,2;21742,2;21742,2;21742,2;0</t>
  </si>
  <si>
    <t>WIG;20000210;20859,7;20859,7;20859,7;20859,7;0</t>
  </si>
  <si>
    <t>WIG;20000211;21245,4;21245,4;21245,4;21245,4;0</t>
  </si>
  <si>
    <t>WIG;20000214;20521;20521;20521;20521;0</t>
  </si>
  <si>
    <t>WIG;20000215;21332;21332;21332;21332;0</t>
  </si>
  <si>
    <t>WIG;20000216;21452,5;21452,5;21452,5;21452,5;0</t>
  </si>
  <si>
    <t>WIG;20000217;21044,4;21044,4;21044,4;21044,4;0</t>
  </si>
  <si>
    <t>WIG;20000218;21753,2;21753,2;21753,2;21753,2;0</t>
  </si>
  <si>
    <t>WIG;20000221;21352,7;21352,7;21352,7;21352,7;0</t>
  </si>
  <si>
    <t>WIG;20000222;21919,8;21919,8;21919,8;21919,8;0</t>
  </si>
  <si>
    <t>WIG;20000223;22475,8;22475,8;22475,8;22475,8;0</t>
  </si>
  <si>
    <t>WIG;20000224;22704,7;22704,7;22704,7;22704,7;0</t>
  </si>
  <si>
    <t>WIG;20000225;22823,5;22823,5;22823,5;22823,5;0</t>
  </si>
  <si>
    <t>WIG;20000228;21488,9;21488,9;21488,9;21488,9;0</t>
  </si>
  <si>
    <t>WIG;20000229;21536,8;21536,8;21536,8;21536,8;0</t>
  </si>
  <si>
    <t>WIG;20000301;21912,6;21912,6;21912,6;21912,6;0</t>
  </si>
  <si>
    <t>WIG;20000302;22061,4;22061,4;22061,4;22061,4;0</t>
  </si>
  <si>
    <t>WIG;20000303;21833,8;21833,8;21833,8;21833,8;0</t>
  </si>
  <si>
    <t>WIG;20000306;22347,3;22347,3;22347,3;22347,3;0</t>
  </si>
  <si>
    <t>WIG;20000307;21765,8;21765,8;21765,8;21765,8;0</t>
  </si>
  <si>
    <t>WIG;20000308;21421,3;21421,3;21421,3;21421,3;0</t>
  </si>
  <si>
    <t>WIG;20000309;21967,6;21967,6;21967,6;21967,6;0</t>
  </si>
  <si>
    <t>WIG;20000310;22208,2;22208,2;22208,2;22208,2;0</t>
  </si>
  <si>
    <t>WIG;20000313;22013,4;22013,4;22013,4;22013,4;0</t>
  </si>
  <si>
    <t>WIG;20000314;21619,1;21619,1;21619,1;21619,1;0</t>
  </si>
  <si>
    <t>WIG;20000315;21666,2;21666,2;21666,2;21666,2;0</t>
  </si>
  <si>
    <t>WIG;20000316;21906,3;21906,3;21906,3;21906,3;0</t>
  </si>
  <si>
    <t>WIG;20000317;22386,2;22386,2;22386,2;22386,2;0</t>
  </si>
  <si>
    <t>WIG;20000320;21969,4;21969,4;21969,4;21969,4;0</t>
  </si>
  <si>
    <t>WIG;20000321;21837;21837;21837;21837;0</t>
  </si>
  <si>
    <t>WIG;20000322;22020,9;22020,9;22020,9;22020,9;0</t>
  </si>
  <si>
    <t>WIG;20000323;22017,8;22017,8;22017,8;22017,8;0</t>
  </si>
  <si>
    <t>WIG;20000324;22387,9;22387,9;22387,9;22387,9;0</t>
  </si>
  <si>
    <t>WIG;20000327;22868,4;22868,4;22868,4;22868,4;0</t>
  </si>
  <si>
    <t>WIG;20000328;22848,3;22848,3;22848,3;22848,3;0</t>
  </si>
  <si>
    <t>WIG;20000329;22588,5;22588,5;22588,5;22588,5;0</t>
  </si>
  <si>
    <t>WIG;20000330;21921,5;21921,5;21921,5;21921,5;0</t>
  </si>
  <si>
    <t>WIG;20000331;21255,9;21255,9;21255,9;21255,9;0</t>
  </si>
  <si>
    <t>WIG;20000403;21783,8;21783,8;21783,8;21783,8;0</t>
  </si>
  <si>
    <t>WIG;20000404;20984,1;20984,1;20984,1;20984,1;0</t>
  </si>
  <si>
    <t>WIG;20000405;20864,3;20864,3;20864,3;20864,3;0</t>
  </si>
  <si>
    <t>WIG;20000406;20619,1;20619,1;20619,1;20619,1;0</t>
  </si>
  <si>
    <t>WIG;20000407;21243,5;21243,5;21243,5;21243,5;0</t>
  </si>
  <si>
    <t>WIG;20000410;21325,6;21325,6;21325,6;21325,6;0</t>
  </si>
  <si>
    <t>WIG;20000411;20751,3;20751,3;20751,3;20751,3;0</t>
  </si>
  <si>
    <t>WIG;20000412;20821,7;20821,7;20821,7;20821,7;0</t>
  </si>
  <si>
    <t>WIG;20000413;20417,6;20417,6;20417,6;20417,6;0</t>
  </si>
  <si>
    <t>WIG;20000414;20683;20683;20683;20683;0</t>
  </si>
  <si>
    <t>WIG;20000417;19003,7;19003,7;19003,7;19003,7;0</t>
  </si>
  <si>
    <t>WIG;20000418;19704;19704;19704;19704;0</t>
  </si>
  <si>
    <t>WIG;20000419;19659,4;19659,4;19659,4;19659,4;0</t>
  </si>
  <si>
    <t>WIG;20000420;19041,8;19041,8;19041,8;19041,8;0</t>
  </si>
  <si>
    <t>WIG;20000425;19074,8;19074,8;19074,8;19074,8;0</t>
  </si>
  <si>
    <t>WIG;20000426;19252,9;19252,9;19252,9;19252,9;0</t>
  </si>
  <si>
    <t>WIG;20000427;19252;19252;19252;19252;0</t>
  </si>
  <si>
    <t>WIG;20000428;19631,1;19631,1;19631,1;19631,1;0</t>
  </si>
  <si>
    <t>WIG;20000504;19615,9;19615,9;19615,9;19615,9;0</t>
  </si>
  <si>
    <t>WIG;20000505;19357,8;19357,8;19357,8;19357,8;0</t>
  </si>
  <si>
    <t>WIG;20000508;19266,9;19266,9;19266,9;19266,9;0</t>
  </si>
  <si>
    <t>WIG;20000509;19093,7;19093,7;19093,7;19093,7;0</t>
  </si>
  <si>
    <t>WIG;20000510;19193,8;19193,8;19193,8;19193,8;0</t>
  </si>
  <si>
    <t>WIG;20000511;19262,1;19262,1;19262,1;19262,1;0</t>
  </si>
  <si>
    <t>WIG;20000512;19782,3;19782,3;19782,3;19782,3;0</t>
  </si>
  <si>
    <t>WIG;20000515;19701,9;19701,9;19701,9;19701,9;0</t>
  </si>
  <si>
    <t>WIG;20000516;19992,1;19992,1;19992,1;19992,1;0</t>
  </si>
  <si>
    <t>WIG;20000517;20207;20207;20207;20207;0</t>
  </si>
  <si>
    <t>WIG;20000518;19925,3;19925,3;19925,3;19925,3;0</t>
  </si>
  <si>
    <t>WIG;20000519;19758,3;19758,3;19758,3;19758,3;0</t>
  </si>
  <si>
    <t>WIG;20000522;19445,4;19445,4;19445,4;19445,4;0</t>
  </si>
  <si>
    <t>WIG;20000523;19237,2;19237,2;19237,2;19237,2;0</t>
  </si>
  <si>
    <t>WIG;20000524;18461,7;18461,7;18461,7;18461,7;0</t>
  </si>
  <si>
    <t>WIG;20000525;18644,6;18644,6;18644,6;18644,6;0</t>
  </si>
  <si>
    <t>WIG;20000526;18356,7;18356,7;18356,7;18356,7;0</t>
  </si>
  <si>
    <t>WIG;20000529;18399,3;18399,3;18399,3;18399,3;0</t>
  </si>
  <si>
    <t>WIG;20000530;19028,6;19028,6;19028,6;19028,6;0</t>
  </si>
  <si>
    <t>WIG;20000531;19570,5;19570,5;19570,5;19570,5;0</t>
  </si>
  <si>
    <t>WIG;20000601;19581,3;19581,3;19581,3;19581,3;0</t>
  </si>
  <si>
    <t>WIG;20000602;19851,5;19851,5;19851,5;19851,5;0</t>
  </si>
  <si>
    <t>WIG;20000605;20053,4;20053,4;20053,4;20053,4;0</t>
  </si>
  <si>
    <t>WIG;20000606;19677,6;19677,6;19677,6;19677,6;0</t>
  </si>
  <si>
    <t>WIG;20000607;19396,3;19396,3;19396,3;19396,3;0</t>
  </si>
  <si>
    <t>WIG;20000608;19866,3;19866,3;19866,3;19866,3;0</t>
  </si>
  <si>
    <t>WIG;20000609;19676,1;19676,1;19676,1;19676,1;0</t>
  </si>
  <si>
    <t>WIG;20000612;19612,1;19612,1;19612,1;19612,1;0</t>
  </si>
  <si>
    <t>WIG;20000613;19355,4;19355,4;19355,4;19355,4;0</t>
  </si>
  <si>
    <t>WIG;20000614;19728,9;19728,9;19728,9;19728,9;0</t>
  </si>
  <si>
    <t>WIG;20000615;19682,4;19682,4;19682,4;19682,4;0</t>
  </si>
  <si>
    <t>WIG;20000616;19675,8;19675,8;19675,8;19675,8;0</t>
  </si>
  <si>
    <t>WIG;20000619;19518,7;19518,7;19518,7;19518,7;0</t>
  </si>
  <si>
    <t>WIG;20000620;19575;19575;19575;19575;0</t>
  </si>
  <si>
    <t>WIG;20000621;19561,4;19561,4;19561,4;19561,4;0</t>
  </si>
  <si>
    <t>WIG;20000623;19575,2;19575,2;19575,2;19575,2;0</t>
  </si>
  <si>
    <t>WIG;20000626;19589,8;19589,8;19589,8;19589,8;0</t>
  </si>
  <si>
    <t>WIG;20000627;19944,5;19944,5;19944,5;19944,5;0</t>
  </si>
  <si>
    <t>WIG;20000628;19831,5;19831,5;19831,5;19831,5;0</t>
  </si>
  <si>
    <t>WIG;20000629;19858,7;19858,7;19858,7;19858,7;0</t>
  </si>
  <si>
    <t>WIG;20000630;19642,7;19642,7;19642,7;19642,7;0</t>
  </si>
  <si>
    <t>WIG;20000703;19536,6;19536,6;19536,6;19536,6;0</t>
  </si>
  <si>
    <t>WIG;20000704;19708,9;19708,9;19708,9;19708,9;0</t>
  </si>
  <si>
    <t>WIG;20000705;19684;19684;19684;19684;0</t>
  </si>
  <si>
    <t>WIG;20000706;19542,9;19542,9;19542,9;19542,9;0</t>
  </si>
  <si>
    <t>WIG;20000707;19474,4;19474,4;19474,4;19474,4;0</t>
  </si>
  <si>
    <t>WIG;20000710;19610,1;19610,1;19610,1;19610,1;0</t>
  </si>
  <si>
    <t>WIG;20000711;19456,5;19456,5;19456,5;19456,5;0</t>
  </si>
  <si>
    <t>WIG;20000712;19340,6;19340,6;19340,6;19340,6;0</t>
  </si>
  <si>
    <t>WIG;20000713;19533;19533;19533;19533;0</t>
  </si>
  <si>
    <t>WIG;20000714;19658;19658;19658;19658;0</t>
  </si>
  <si>
    <t>WIG;20000717;19713;19713;19713;19713;0</t>
  </si>
  <si>
    <t>WIG;20000718;19835,1;19835,1;19835,1;19835,1;0</t>
  </si>
  <si>
    <t>WIG;20000719;19934,8;19934,8;19934,8;19934,8;0</t>
  </si>
  <si>
    <t>WIG;20000720;19940,1;19940,1;19940,1;19940,1;0</t>
  </si>
  <si>
    <t>WIG;20000721;20047,7;20047,7;20047,7;20047,7;0</t>
  </si>
  <si>
    <t>WIG;20000724;20028;20028;20028;20028;0</t>
  </si>
  <si>
    <t>WIG;20000725;19892,4;19892,4;19892,4;19892,4;0</t>
  </si>
  <si>
    <t>WIG;20000726;19830,4;19830,4;19830,4;19830,4;0</t>
  </si>
  <si>
    <t>WIG;20000727;19376,6;19376,6;19376,6;19376,6;0</t>
  </si>
  <si>
    <t>WIG;20000728;19100;19100;19100;19100;0</t>
  </si>
  <si>
    <t>WIG;20000731;18991;18991;18991;18991;0</t>
  </si>
  <si>
    <t>WIG;20000801;18961,4;18961,4;18961,4;18961,4;0</t>
  </si>
  <si>
    <t>WIG;20000802;18826,4;18826,4;18826,4;18826,4;0</t>
  </si>
  <si>
    <t>WIG;20000803;18873,4;18873,4;18873,4;18873,4;0</t>
  </si>
  <si>
    <t>WIG;20000804;18795,7;18795,7;18795,7;18795,7;0</t>
  </si>
  <si>
    <t>WIG;20000807;18918,1;18918,1;18918,1;18918,1;0</t>
  </si>
  <si>
    <t>WIG;20000808;18820,4;18820,4;18820,4;18820,4;0</t>
  </si>
  <si>
    <t>WIG;20000809;19025,6;19025,6;19025,6;19025,6;0</t>
  </si>
  <si>
    <t>WIG;20000810;19072,2;19072,2;19072,2;19072,2;0</t>
  </si>
  <si>
    <t>WIG;20000811;18756,3;18756,3;18756,3;18756,3;0</t>
  </si>
  <si>
    <t>WIG;20000814;18463,6;18463,6;18463,6;18463,6;0</t>
  </si>
  <si>
    <t>WIG;20000816;18605,4;18605,4;18605,4;18605,4;0</t>
  </si>
  <si>
    <t>WIG;20000817;18458,2;18458,2;18458,2;18458,2;0</t>
  </si>
  <si>
    <t>WIG;20000818;18276,2;18276,2;18276,2;18276,2;0</t>
  </si>
  <si>
    <t>WIG;20000821;17901,4;17901,4;17901,4;17901,4;0</t>
  </si>
  <si>
    <t>WIG;20000822;17979,1;17979,1;17979,1;17979,1;0</t>
  </si>
  <si>
    <t>WIG;20000823;18068,9;18068,9;18068,9;18068,9;0</t>
  </si>
  <si>
    <t>WIG;20000824;18261,9;18261,9;18261,9;18261,9;0</t>
  </si>
  <si>
    <t>WIG;20000825;18403,5;18403,5;18403,5;18403,5;0</t>
  </si>
  <si>
    <t>WIG;20000828;18475,7;18475,7;18475,7;18475,7;0</t>
  </si>
  <si>
    <t>WIG;20000829;18277,7;18277,7;18277,7;18277,7;0</t>
  </si>
  <si>
    <t>WIG;20000830;18220,7;18220,7;18220,7;18220,7;0</t>
  </si>
  <si>
    <t>WIG;20000831;18420,3;18420,3;18420,3;18420,3;0</t>
  </si>
  <si>
    <t>WIG;20000901;18614,2;18614,2;18614,2;18614,2;0</t>
  </si>
  <si>
    <t>WIG;20000904;18782,1;18782,1;18782,1;18782,1;0</t>
  </si>
  <si>
    <t>WIG;20000905;18562,3;18562,3;18562,3;18562,3;0</t>
  </si>
  <si>
    <t>WIG;20000906;18423,2;18423,2;18423,2;18423,2;0</t>
  </si>
  <si>
    <t>WIG;20000907;18275;18275;18275;18275;0</t>
  </si>
  <si>
    <t>WIG;20000908;18265,4;18265,4;18265,4;18265,4;0</t>
  </si>
  <si>
    <t>WIG;20000911;18034,2;18034,2;18034,2;18034,2;0</t>
  </si>
  <si>
    <t>WIG;20000912;18011;18011;18011;18011;0</t>
  </si>
  <si>
    <t>WIG;20000913;18203,4;18203,4;18203,4;18203,4;0</t>
  </si>
  <si>
    <t>WIG;20000914;18282,8;18282,8;18282,8;18282,8;0</t>
  </si>
  <si>
    <t>WIG;20000915;18234,3;18234,3;18234,3;18234,3;0</t>
  </si>
  <si>
    <t>WIG;20000918;18026,7;18026,7;18026,7;18026,7;0</t>
  </si>
  <si>
    <t>WIG;20000919;18032,7;18032,7;18032,7;18032,7;0</t>
  </si>
  <si>
    <t>WIG;20000920;18032,3;18032,3;18032,3;18032,3;0</t>
  </si>
  <si>
    <t>WIG;20000921;17853,3;17853,3;17853,3;17853,3;0</t>
  </si>
  <si>
    <t>WIG;20000922;17076,5;17076,5;17076,5;17076,5;0</t>
  </si>
  <si>
    <t>WIG;20000925;17258,3;17258,3;17258,3;17258,3;0</t>
  </si>
  <si>
    <t>WIG;20000926;17160,3;17160,3;17160,3;17160,3;0</t>
  </si>
  <si>
    <t>WIG;20000927;16808,2;16808,2;16808,2;16808,2;0</t>
  </si>
  <si>
    <t>WIG;20000928;16776,3;16776,3;16776,3;16776,3;0</t>
  </si>
  <si>
    <t>WIG;20000929;16882,6;16882,6;16882,6;16882,6;0</t>
  </si>
  <si>
    <t>WIG;20001002;16733,3;16733,3;16733,3;16733,3;0</t>
  </si>
  <si>
    <t>WIG;20001003;16462,2;16462,2;16462,2;16462,2;0</t>
  </si>
  <si>
    <t>WIG;20001004;16342,7;16342,7;16342,7;16342,7;0</t>
  </si>
  <si>
    <t>WIG;20001005;16419,2;16419,2;16419,2;16419,2;0</t>
  </si>
  <si>
    <t>WIG;20001006;16415,5;16415,5;16415,5;16415,5;0</t>
  </si>
  <si>
    <t>WIG;20001009;16156,4;16156,4;16156,4;16156,4;0</t>
  </si>
  <si>
    <t>WIG;20001010;16045,4;16045,4;16045,4;16045,4;0</t>
  </si>
  <si>
    <t>WIG;20001011;15506,5;15506,5;15506,5;15506,5;0</t>
  </si>
  <si>
    <t>WIG;20001012;15320,1;15320,1;15320,1;15320,1;0</t>
  </si>
  <si>
    <t>WIG;20001013;14929,3;14929,3;14929,3;14929,3;0</t>
  </si>
  <si>
    <t>WIG;20001016;15544,8;15544,8;15544,8;15544,8;0</t>
  </si>
  <si>
    <t>WIG;20001017;15621,7;15621,7;15621,7;15621,7;0</t>
  </si>
  <si>
    <t>WIG;20001018;15711,4;15711,4;15711,4;15711,4;0</t>
  </si>
  <si>
    <t>WIG;20001019;15838,7;15838,7;15838,7;15838,7;0</t>
  </si>
  <si>
    <t>WIG;20001020;16241,6;16241,6;16241,6;16241,6;0</t>
  </si>
  <si>
    <t>WIG;20001023;16241,9;16241,9;16241,9;16241,9;0</t>
  </si>
  <si>
    <t>WIG;20001024;16199,3;16199,3;16199,3;16199,3;0</t>
  </si>
  <si>
    <t>WIG;20001025;16295,4;16295,4;16295,4;16295,4;0</t>
  </si>
  <si>
    <t>WIG;20001026;16132,6;16132,6;16132,6;16132,6;0</t>
  </si>
  <si>
    <t>WIG;20001027;15953,1;15953,1;15953,1;15953,1;0</t>
  </si>
  <si>
    <t>WIG;20001030;15775,7;15775,7;15775,7;15775,7;0</t>
  </si>
  <si>
    <t>WIG;20001031;15597,5;15597,5;15597,5;15597,5;0</t>
  </si>
  <si>
    <t>WIG;20001102;15986,8;15986,8;15986,8;15986,8;0</t>
  </si>
  <si>
    <t>WIG;20001103;16550,3;16550,3;16550,3;16550,3;0</t>
  </si>
  <si>
    <t>WIG;20001106;16733,9;16733,9;16733,9;16733,9;0</t>
  </si>
  <si>
    <t>WIG;20001107;17108,5;17108,5;17108,5;17108,5;0</t>
  </si>
  <si>
    <t>WIG;20001108;16953,6;16953,6;16953,6;16953,6;0</t>
  </si>
  <si>
    <t>WIG;20001109;16688;16688;16688;16688;0</t>
  </si>
  <si>
    <t>WIG;20001110;16429,4;16429,4;16429,4;16429,4;0</t>
  </si>
  <si>
    <t>WIG;20001113;15898,8;15898,8;15898,8;15898,8;0</t>
  </si>
  <si>
    <t>WIG;20001114;16176,1;16176,1;16176,1;16176,1;0</t>
  </si>
  <si>
    <t>WIG;20001115;16366,5;16366,5;16366,5;16366,5;0</t>
  </si>
  <si>
    <t>WIG;20001116;16225,6;16225,6;16225,6;16225,6;0</t>
  </si>
  <si>
    <t>WIG;20001117;16259,8;16467,2;16259,8;16467,2;0</t>
  </si>
  <si>
    <t>WIG;20001120;16532,6;16734,1;16511,3;16568,1;0</t>
  </si>
  <si>
    <t>WIG;20001121;16552,9;16647;16519,8;16600,4;0</t>
  </si>
  <si>
    <t>WIG;20001122;16464,5;16464,5;16285,3;16443,7;0</t>
  </si>
  <si>
    <t>WIG;20001123;16438,3;16469,3;16317;16353,2;0</t>
  </si>
  <si>
    <t>WIG;20001124;16357,7;16773,4;16357,7;16773,4;0</t>
  </si>
  <si>
    <t>WIG;20001127;17050,3;17157,2;16858,3;16886,4;0</t>
  </si>
  <si>
    <t>WIG;20001128;16755,7;16796,5;16579,5;16668,7;0</t>
  </si>
  <si>
    <t>WIG;20001129;16503,2;16631;16445,7;16555,6;0</t>
  </si>
  <si>
    <t>WIG;20001130;16531,8;16549,2;16226,8;16292,2;0</t>
  </si>
  <si>
    <t>WIG;20001201;16365,4;16450;16230,7;16347,1;0</t>
  </si>
  <si>
    <t>WIG;20001204;16305,6;16330,7;15987,4;16099,1;0</t>
  </si>
  <si>
    <t>WIG;20001205;16161,1;16430,4;16161,1;16430,4;0</t>
  </si>
  <si>
    <t>WIG;20001206;16599,7;16770,9;16525,5;16716,2;0</t>
  </si>
  <si>
    <t>WIG;20001207;16527,3;16814,7;16527,3;16714,2;0</t>
  </si>
  <si>
    <t>WIG;20001208;16803,6;16895,9;16745;16860,6;0</t>
  </si>
  <si>
    <t>WIG;20001211;16902,1;17008,6;16789,6;16941,8;0</t>
  </si>
  <si>
    <t>WIG;20001212;16878,7;17088,1;16840,4;17088,1;0</t>
  </si>
  <si>
    <t>WIG;20001213;17083,6;17282,1;17018,2;17237,2;0</t>
  </si>
  <si>
    <t>WIG;20001214;17210,2;17675,6;17200,5;17675,6;0</t>
  </si>
  <si>
    <t>WIG;20001215;17642,1;17857,4;17464,4;17596,4;0</t>
  </si>
  <si>
    <t>WIG;20001218;17609,5;17789,5;17521,1;17789,5;0</t>
  </si>
  <si>
    <t>WIG;20001219;17774,6;18252,8;17721,9;18066;0</t>
  </si>
  <si>
    <t>WIG;20001220;17943,4;17946,4;17557,5;17609,9;0</t>
  </si>
  <si>
    <t>WIG;20001221;17296,2;17621,4;17296,2;17447,1;0</t>
  </si>
  <si>
    <t>WIG;20001222;17710,7;17862,3;17644,9;17831,8;0</t>
  </si>
  <si>
    <t>WIG;20001227;17965,4;18136,7;17965,4;18014,9;0</t>
  </si>
  <si>
    <t>WIG;20001228;18040;18087;17839,3;17909,6;0</t>
  </si>
  <si>
    <t>WIG;20001229;17830,8;17987,8;17818,3;17847,6;0</t>
  </si>
  <si>
    <t>WIG;20010102;17567,9;17710,2;17486,5;17672,8;0</t>
  </si>
  <si>
    <t>WIG;20010103;17520,7;17676,5;17319,7;17506,1;0</t>
  </si>
  <si>
    <t>WIG;20010104;17673;17959,2;17673;17875,9;0</t>
  </si>
  <si>
    <t>WIG;20010105;17862,3;17871,5;17508,5;17509,3;0</t>
  </si>
  <si>
    <t>WIG;20010108;17276,7;17276,7;17067,8;17119,3;0</t>
  </si>
  <si>
    <t>WIG;20010109;17181,1;17247,1;16933,2;17247,1;0</t>
  </si>
  <si>
    <t>WIG;20010110;17145,9;17165,4;16958,5;16996,9;0</t>
  </si>
  <si>
    <t>WIG;20010111;16912,8;16921,7;16794,3;16903,5;0</t>
  </si>
  <si>
    <t>WIG;20010112;16957,5;17137;16957,5;17070,5;0</t>
  </si>
  <si>
    <t>WIG;20010115;17079,6;17106,6;16891,9;16949,2;0</t>
  </si>
  <si>
    <t>WIG;20010116;16842,4;16964,7;16738,4;16852,3;0</t>
  </si>
  <si>
    <t>WIG;20010117;16890,1;17024,1;16734,6;16981,7;0</t>
  </si>
  <si>
    <t>WIG;20010118;16922,7;17249,4;16922,7;17102;0</t>
  </si>
  <si>
    <t>WIG;20010119;17296,2;17598;17289,5;17598;0</t>
  </si>
  <si>
    <t>WIG;20010122;17522,4;17681,5;17341,9;17385,1;0</t>
  </si>
  <si>
    <t>WIG;20010123;17354,9;17354,9;17215,7;17278,1;0</t>
  </si>
  <si>
    <t>WIG;20010124;17399;17449,7;17276,2;17286,7;0</t>
  </si>
  <si>
    <t>WIG;20010125;17265,6;17445,6;17188,9;17358,8;0</t>
  </si>
  <si>
    <t>WIG;20010126;17284,4;17334,3;17193,2;17334,3;0</t>
  </si>
  <si>
    <t>WIG;20010129;17278;17535,4;17255;17499,5;0</t>
  </si>
  <si>
    <t>WIG;20010130;17521,9;17669,4;17521,9;17614,3;0</t>
  </si>
  <si>
    <t>WIG;20010131;17615,7;17665,6;17565,3;17602,9;0</t>
  </si>
  <si>
    <t>WIG;20010201;17544,9;17644,8;17517,4;17642,6;0</t>
  </si>
  <si>
    <t>WIG;20010202;17664,5;17730,9;17643,3;17695,9;0</t>
  </si>
  <si>
    <t>WIG;20010205;17557,5;17560,6;17213,8;17221,3;0</t>
  </si>
  <si>
    <t>WIG;20010206;17191,5;17297,9;16986,2;17244,6;0</t>
  </si>
  <si>
    <t>WIG;20010207;17060;17076,9;16722;16829,8;0</t>
  </si>
  <si>
    <t>WIG;20010208;16745,2;16925,2;16732,1;16840,7;0</t>
  </si>
  <si>
    <t>WIG;20010209;16833,9;16833,9;16653;16660;0</t>
  </si>
  <si>
    <t>WIG;20010212;16573,2;16589,5;16431,5;16467,7;0</t>
  </si>
  <si>
    <t>WIG;20010213;16540,4;16764,1;16526,1;16764,1;0</t>
  </si>
  <si>
    <t>WIG;20010214;16588,5;16588,5;16470,8;16561,9;0</t>
  </si>
  <si>
    <t>WIG;20010215;16627,5;16861,4;16508,5;16861,4;0</t>
  </si>
  <si>
    <t>WIG;20010216;16755,3;16821,8;16266,7;16447,8;0</t>
  </si>
  <si>
    <t>WIG;20010219;16343,8;16451,1;16270,6;16343,5;0</t>
  </si>
  <si>
    <t>WIG;20010220;16415,8;16539,2;16201,8;16201,8;0</t>
  </si>
  <si>
    <t>WIG;20010221;15945,8;15965,8;15669,9;15873,6;0</t>
  </si>
  <si>
    <t>WIG;20010222;15816,2;15959,5;15561,4;15669,7;0</t>
  </si>
  <si>
    <t>WIG;20010223;15820,9;15947,4;15595,1;15678,3;0</t>
  </si>
  <si>
    <t>WIG;20010226;15900;16000,8;15853,5;15912;0</t>
  </si>
  <si>
    <t>WIG;20010227;15895,5;15942,9;15494,8;15522,3;0</t>
  </si>
  <si>
    <t>WIG;20010228;15375,6;15547,7;15173,6;15471,5;0</t>
  </si>
  <si>
    <t>WIG;20010301;15218,8;15286,4;14979,7;14997,3;0</t>
  </si>
  <si>
    <t>WIG;20010302;14958,9;15146,2;14926,3;15058;0</t>
  </si>
  <si>
    <t>WIG;20010305;15075,9;15296,4;15006,4;15296,4;0</t>
  </si>
  <si>
    <t>WIG;20010306;15408,7;15469,4;15367,8;15453,9;0</t>
  </si>
  <si>
    <t>WIG;20010307;15522,2;15522,2;15296,7;15427,1;0</t>
  </si>
  <si>
    <t>WIG;20010308;15396,2;15492,4;15276,4;15295;0</t>
  </si>
  <si>
    <t>WIG;20010309;15169,7;15169,7;14878,9;14897,1;0</t>
  </si>
  <si>
    <t>WIG;20010312;14564,3;14609;14158,3;14239,3;0</t>
  </si>
  <si>
    <t>WIG;20010313;14036,6;14335,5;14028,6;14308,4;0</t>
  </si>
  <si>
    <t>WIG;20010314;14377,2;14379,1;13848,8;14061,1;0</t>
  </si>
  <si>
    <t>WIG;20010315;14141,5;14442,8;14096,2;14442,8;0</t>
  </si>
  <si>
    <t>WIG;20010316;14357;14436,2;14262,5;14436,2;0</t>
  </si>
  <si>
    <t>WIG;20010319;14445,5;14586,9;14445,5;14550,3;0</t>
  </si>
  <si>
    <t>WIG;20010320;14595,1;14860,2;14585,5;14768,5;0</t>
  </si>
  <si>
    <t>WIG;20010321;14646,7;14791,9;14579;14709,6;0</t>
  </si>
  <si>
    <t>WIG;20010322;14655,8;14655,8;14430,1;14560,2;0</t>
  </si>
  <si>
    <t>WIG;20010323;14683,8;14824,6;14683,8;14713,3;0</t>
  </si>
  <si>
    <t>WIG;20010326;14809,9;14912,2;14767;14784,1;0</t>
  </si>
  <si>
    <t>WIG;20010327;14645,2;14743,4;14537,4;14678,4;0</t>
  </si>
  <si>
    <t>WIG;20010328;14708,8;14869,2;14701,4;14792;0</t>
  </si>
  <si>
    <t>WIG;20010329;14566,1;14667,6;14542;14621,7;0</t>
  </si>
  <si>
    <t>WIG;20010330;14658,8;14703,1;14650;14698,9;0</t>
  </si>
  <si>
    <t>WIG;20010402;14616,9;14653,5;14495,8;14562,8;0</t>
  </si>
  <si>
    <t>WIG;20010403;14456,7;14456,7;14232,5;14344,7;0</t>
  </si>
  <si>
    <t>WIG;20010404;14031;14242,9;14031;14197,5;0</t>
  </si>
  <si>
    <t>WIG;20010405;14239,9;14399,4;14223,8;14399,4;0</t>
  </si>
  <si>
    <t>WIG;20010406;14426,2;14553,8;14395,2;14553,8;0</t>
  </si>
  <si>
    <t>WIG;20010409;14459;14691,9;14434,2;14691,9;0</t>
  </si>
  <si>
    <t>WIG;20010410;14699;15053,1;14699;14965,9;0</t>
  </si>
  <si>
    <t>WIG;20010411;15038,9;15235,1;15038,9;15196,2;0</t>
  </si>
  <si>
    <t>WIG;20010412;15218,8;15269,1;15066,6;15182,8;0</t>
  </si>
  <si>
    <t>WIG;20010417;14877,1;14987,5;14831,3;14905,9;0</t>
  </si>
  <si>
    <t>WIG;20010418;14994,9;15416,1;14994,9;15416,1;0</t>
  </si>
  <si>
    <t>WIG;20010419;15535;15723,2;15518,8;15605,7;0</t>
  </si>
  <si>
    <t>WIG;20010420;15569,6;15791,6;15473,4;15644,9;0</t>
  </si>
  <si>
    <t>WIG;20010423;15431,6;15561,1;15385,7;15470,4;0</t>
  </si>
  <si>
    <t>WIG;20010424;15477,4;15523,4;15325,2;15394,3;0</t>
  </si>
  <si>
    <t>WIG;20010425;15338,8;15438,5;15274,5;15427,1;0</t>
  </si>
  <si>
    <t>WIG;20010426;15429,5;15603,3;15429,5;15569,4;0</t>
  </si>
  <si>
    <t>WIG;20010427;15526,4;15529,7;15374,2;15487,5;0</t>
  </si>
  <si>
    <t>WIG;20010430;15483;15483;15265,3;15269;0</t>
  </si>
  <si>
    <t>WIG;20010502;15301,1;15333,1;15129,3;15234,8;0</t>
  </si>
  <si>
    <t>WIG;20010504;15175,5;15206,4;15037,4;15116,7;0</t>
  </si>
  <si>
    <t>WIG;20010507;15126,2;15251,1;15008,8;15008,8;0</t>
  </si>
  <si>
    <t>WIG;20010508;14931,5;14931,5;14772,3;14844,5;0</t>
  </si>
  <si>
    <t>WIG;20010509;14716,7;14716,7;14583,8;14639;0</t>
  </si>
  <si>
    <t>WIG;20010510;14630,1;14992,9;14630,1;14974,8;0</t>
  </si>
  <si>
    <t>WIG;20010511;14988,4;15137,2;14957,3;15067,9;0</t>
  </si>
  <si>
    <t>WIG;20010514;15049,8;15230,2;14976,3;15230,2;0</t>
  </si>
  <si>
    <t>WIG;20010515;15180,6;15180,6;15031,1;15061,8;0</t>
  </si>
  <si>
    <t>WIG;20010516;14919,8;14919,8;14821,9;14854,7;0</t>
  </si>
  <si>
    <t>WIG;20010517;14950,7;15085,8;14908,8;14959,7;0</t>
  </si>
  <si>
    <t>WIG;20010518;14938;15026,8;14884,3;15022;0</t>
  </si>
  <si>
    <t>WIG;20010521;15018,5;15394,5;15007,5;15394,5;0</t>
  </si>
  <si>
    <t>WIG;20010522;15503,5;15740,7;15503,5;15699,1;0</t>
  </si>
  <si>
    <t>WIG;20010523;15638,3;15763,5;15613,4;15669,3;0</t>
  </si>
  <si>
    <t>WIG;20010524;15694,8;15701,1;15545,5;15701,1;0</t>
  </si>
  <si>
    <t>WIG;20010525;15678,9;15709,6;15559,7;15598,7;0</t>
  </si>
  <si>
    <t>WIG;20010528;15567,3;15623,8;15525,8;15623,8;0</t>
  </si>
  <si>
    <t>WIG;20010529;15632;15666,7;15550,2;15627,5;0</t>
  </si>
  <si>
    <t>WIG;20010530;15557,5;15557,5;15419,6;15493,4;0</t>
  </si>
  <si>
    <t>WIG;20010531;15337,4;15630,3;15334,9;15630,3;0</t>
  </si>
  <si>
    <t>WIG;20010601;15603,3;15628;15498,8;15597,1;0</t>
  </si>
  <si>
    <t>WIG;20010604;15553,9;15580,5;15330,3;15335,5;0</t>
  </si>
  <si>
    <t>WIG;20010605;15307;15443;15280,9;15443;0</t>
  </si>
  <si>
    <t>WIG;20010606;15453,1;15476,9;15223,7;15244,9;0</t>
  </si>
  <si>
    <t>WIG;20010607;15051;15114,3;14893;14977,6;0</t>
  </si>
  <si>
    <t>WIG;20010608;14975,2;15031,3;14712,7;14712,7;0</t>
  </si>
  <si>
    <t>WIG;20010611;14556,5;14604,5;14457,8;14481,5;0</t>
  </si>
  <si>
    <t>WIG;20010612;14473,4;14638,9;14462,1;14542,8;0</t>
  </si>
  <si>
    <t>WIG;20010613;14653,8;14729,9;14505,4;14545,1;0</t>
  </si>
  <si>
    <t>WIG;20010615;14512,3;14512,3;14241,7;14276,6;0</t>
  </si>
  <si>
    <t>WIG;20010618;14246,5;14285,8;14035,6;14148,4;0</t>
  </si>
  <si>
    <t>WIG;20010619;14154,1;14170,7;13963,3;14146,9;0</t>
  </si>
  <si>
    <t>WIG;20010620;13951,4;14033,1;13880,6;13920,5;0</t>
  </si>
  <si>
    <t>WIG;20010621;13937,8;14186,2;13927,7;14186,2;0</t>
  </si>
  <si>
    <t>WIG;20010622;14216,2;14272,9;14138,5;14216,2;0</t>
  </si>
  <si>
    <t>WIG;20010625;14174,6;14358,6;14164;14358,6;0</t>
  </si>
  <si>
    <t>WIG;20010626;14345;14345;14031;14087,2;0</t>
  </si>
  <si>
    <t>WIG;20010627;14097,5;14191,6;14018,9;14018,9;0</t>
  </si>
  <si>
    <t>WIG;20010628;13986,8;14014,2;13847,3;14007,7;0</t>
  </si>
  <si>
    <t>WIG;20010629;14042,6;14138,4;13945,4;13945,4;0</t>
  </si>
  <si>
    <t>WIG;20010702;13915,7;13955,5;13760,9;13822,5;0</t>
  </si>
  <si>
    <t>WIG;20010703;13718,6;13790,2;13566,7;13606,3;0</t>
  </si>
  <si>
    <t>WIG;20010704;13570,3;13586,9;13309,3;13367,1;0</t>
  </si>
  <si>
    <t>WIG;20010705;13324,3;13394,3;13197,9;13355,3;0</t>
  </si>
  <si>
    <t>WIG;20010706;13349,2;13583,5;13339,1;13579,7;0</t>
  </si>
  <si>
    <t>WIG;20010709;13560,1;13560,1;13315,1;13422,6;0</t>
  </si>
  <si>
    <t>WIG;20010710;13408,9;13408,9;13123,9;13195,6;0</t>
  </si>
  <si>
    <t>WIG;20010711;12991,3;13093,2;12892;13076,9;0</t>
  </si>
  <si>
    <t>WIG;20010712;13212,3;13526,6;13212,3;13416,5;0</t>
  </si>
  <si>
    <t>WIG;20010713;13476,9;13506,3;13302,1;13404,2;0</t>
  </si>
  <si>
    <t>WIG;20010716;13434,4;13674,7;13405,7;13674,7;0</t>
  </si>
  <si>
    <t>WIG;20010717;13570,7;13573,7;13421,9;13451,5;0</t>
  </si>
  <si>
    <t>WIG;20010718;13404,2;13458,9;13315,3;13458,9;0</t>
  </si>
  <si>
    <t>WIG;20010719;13375,6;13441,9;13300,9;13441,9;0</t>
  </si>
  <si>
    <t>WIG;20010720;13322,6;13376,2;13037,8;13046,2;0</t>
  </si>
  <si>
    <t>WIG;20010723;13008,6;13092,7;12964,2;13029;0</t>
  </si>
  <si>
    <t>WIG;20010724;13009,1;13009,1;12754,8;12815,5;0</t>
  </si>
  <si>
    <t>WIG;20010725;12871,2;12902,3;12745,5;12798,1;0</t>
  </si>
  <si>
    <t>WIG;20010726;12816,5;13069,7;12816,5;13069,7;0</t>
  </si>
  <si>
    <t>WIG;20010727;13102,1;13271,9;13102,1;13268,1;0</t>
  </si>
  <si>
    <t>WIG;20010730;13288,3;13322;13178,4;13238,2;0</t>
  </si>
  <si>
    <t>WIG;20010731;13220,2;13220,2;13044,1;13126,7;0</t>
  </si>
  <si>
    <t>WIG;20010801;13120,5;13157,9;12993,2;13157,9;0</t>
  </si>
  <si>
    <t>WIG;20010802;13186;13269,2;13182;13218,2;0</t>
  </si>
  <si>
    <t>WIG;20010803;13136,3;13136,3;13046,5;13129,9;0</t>
  </si>
  <si>
    <t>WIG;20010806;13141,2;13220,9;13056,2;13073,4;0</t>
  </si>
  <si>
    <t>WIG;20010807;13026,7;13026,7;12863,9;12948,3;0</t>
  </si>
  <si>
    <t>WIG;20010808;12891,1;12891,1;12764,7;12787,8;0</t>
  </si>
  <si>
    <t>WIG;20010809;12671,7;12671,7;12528,8;12553,3;0</t>
  </si>
  <si>
    <t>WIG;20010810;12547,8;12633,9;12446,2;12513,3;0</t>
  </si>
  <si>
    <t>WIG;20010813;12505,2;12505,2;12312,2;12337,9;0</t>
  </si>
  <si>
    <t>WIG;20010814;12351,5;12519,6;12339,3;12500,2;0</t>
  </si>
  <si>
    <t>WIG;20010816;12362,8;12373,9;12096,9;12178,2;0</t>
  </si>
  <si>
    <t>WIG;20010817;12101;12101;11893,9;12018,6;0</t>
  </si>
  <si>
    <t>WIG;20010820;11994,4;12150,1;11988;12150,1;0</t>
  </si>
  <si>
    <t>WIG;20010821;12133,6;12306,5;12133,6;12297,1;0</t>
  </si>
  <si>
    <t>WIG;20010822;12260,1;12530,7;12245,1;12477,3;0</t>
  </si>
  <si>
    <t>WIG;20010823;12482,4;12555,3;12428,2;12474,7;0</t>
  </si>
  <si>
    <t>WIG;20010824;12485,4;12698;12485,4;12698;0</t>
  </si>
  <si>
    <t>WIG;20010827;12796,9;12852,6;12603,6;12630,1;0</t>
  </si>
  <si>
    <t>WIG;20010828;12561;12662,9;12542,2;12582,5;0</t>
  </si>
  <si>
    <t>WIG;20010829;12508;12616,2;12508;12616,2;0</t>
  </si>
  <si>
    <t>WIG;20010830;12642,4;12736,4;12635,3;12703,2;0</t>
  </si>
  <si>
    <t>WIG;20010831;12688,9;12802,1;12608,8;12802,1;0</t>
  </si>
  <si>
    <t>WIG;20010903;12722,8;12888,4;12719,9;12851,4;0</t>
  </si>
  <si>
    <t>WIG;20010904;12943,8;13004,4;12816,7;12857,8;0</t>
  </si>
  <si>
    <t>WIG;20010905;12810,4;12998,7;12798,3;12998,7;0</t>
  </si>
  <si>
    <t>WIG;20010906;13044,9;13219;13044,9;13185,9;0</t>
  </si>
  <si>
    <t>WIG;20010907;13077;13159,1;12997,9;13040,1;0</t>
  </si>
  <si>
    <t>WIG;20010910;12949,7;13035,8;12799,9;12861,2;0</t>
  </si>
  <si>
    <t>WIG;20010911;12912,3;12974,6;12635;12635;0</t>
  </si>
  <si>
    <t>WIG;20010912;12268,3;12546,5;12176,8;12546,5;0</t>
  </si>
  <si>
    <t>WIG;20010913;12511,6;12627,6;12502;12598,5;0</t>
  </si>
  <si>
    <t>WIG;20010914;12566,3;12566,3;12160,4;12233,6;0</t>
  </si>
  <si>
    <t>WIG;20010917;11994,3;12052,5;11880,5;12035,7;0</t>
  </si>
  <si>
    <t>WIG;20010918;12020;12087,6;11939,9;12040,9;0</t>
  </si>
  <si>
    <t>WIG;20010919;12147,3;12256,1;12118,5;12256,1;0</t>
  </si>
  <si>
    <t>WIG;20010920;12179,2;12179,2;12019,5;12089,5;0</t>
  </si>
  <si>
    <t>WIG;20010921;11847,6;11901;11572,6;11712,4;0</t>
  </si>
  <si>
    <t>WIG;20010924;11813,3;11832,4;11464,8;11583,9;0</t>
  </si>
  <si>
    <t>WIG;20010925;11539,92;11696,67;11522,89;11688,03;0</t>
  </si>
  <si>
    <t>WIG;20010926;11711,84;11816,1;11687,08;11816,1;0</t>
  </si>
  <si>
    <t>WIG;20010927;11824,24;11845,48;11723,97;11789,16;0</t>
  </si>
  <si>
    <t>WIG;20010928;11829,86;11890,62;11808,22;11890,62;0</t>
  </si>
  <si>
    <t>WIG;20011001;11842,13;11842,13;11741,05;11806,17;0</t>
  </si>
  <si>
    <t>WIG;20011002;11789,88;11792,12;11634,01;11743,98;0</t>
  </si>
  <si>
    <t>WIG;20011003;11701,37;11701,37;11523,23;11564,58;0</t>
  </si>
  <si>
    <t>WIG;20011004;11670,54;11740,27;11660,09;11721,99;0</t>
  </si>
  <si>
    <t>WIG;20011005;11640,74;11713,79;11620,38;11654,26;0</t>
  </si>
  <si>
    <t>WIG;20011008;11570,6;11650,15;11533,43;11650,15;0</t>
  </si>
  <si>
    <t>WIG;20011010;12057,13;12522,09;12043,87;12522,09;0</t>
  </si>
  <si>
    <t>WIG;20011011;12677,94;13044,53;12549,53;12828,59;0</t>
  </si>
  <si>
    <t>WIG;20011012;12710,56;12756,79;12680,33;12680,33;0</t>
  </si>
  <si>
    <t>WIG;20011015;12614,12;12719,9;12584,7;12658,85;0</t>
  </si>
  <si>
    <t>WIG;20011016;12788,69;13172,49;12788,69;13172,49;0</t>
  </si>
  <si>
    <t>WIG;20011017;13315,45;13482,12;13039,68;13132,4;0</t>
  </si>
  <si>
    <t>WIG;20011018;12880,34;13032,37;12833,2;12997,87;0</t>
  </si>
  <si>
    <t>WIG;20011019;12948,3;13029,75;12797,47;12891,6;0</t>
  </si>
  <si>
    <t>WIG;20011022;12900,27;13178,6;12871,47;13178,6;0</t>
  </si>
  <si>
    <t>WIG;20011023;13378,48;13391,82;13118,96;13176,86;0</t>
  </si>
  <si>
    <t>WIG;20011024;13085,78;13365,06;13076,26;13365,06;0</t>
  </si>
  <si>
    <t>WIG;20011025;13498,72;13625,56;13398,3;13443,94;0</t>
  </si>
  <si>
    <t>WIG;20011026;13536,28;13999,06;13526,42;13895,21;0</t>
  </si>
  <si>
    <t>WIG;20011029;13947,28;14187,81;13776,39;13957,27;0</t>
  </si>
  <si>
    <t>WIG;20011030;13655,18;13861,81;13618,37;13691,17;0</t>
  </si>
  <si>
    <t>WIG;20011031;13705,89;13736,23;13509,72;13736,23;0</t>
  </si>
  <si>
    <t>WIG;20011102;13803,97;13809,76;13587,43;13640,06;0</t>
  </si>
  <si>
    <t>WIG;20011105;13628,24;13690,38;13583,71;13643,52;0</t>
  </si>
  <si>
    <t>WIG;20011106;13661,54;13745,51;13475,81;13556,36;0</t>
  </si>
  <si>
    <t>WIG;20011107;13488,07;13539,65;13394,91;13539,65;0</t>
  </si>
  <si>
    <t>WIG;20011108;13542,81;13822,67;13470,36;13822,67;0</t>
  </si>
  <si>
    <t>WIG;20011109;13771,18;13976,18;13748,94;13845,04;0</t>
  </si>
  <si>
    <t>WIG;20011112;13925,59;14035,24;13722,44;13799,4;0</t>
  </si>
  <si>
    <t>WIG;20011113;13931,79;14232,84;13903,3;14232,84;0</t>
  </si>
  <si>
    <t>WIG;20011114;14381,2;14684;14368,29;14622,95;0</t>
  </si>
  <si>
    <t>WIG;20011115;0;0;0;0;0</t>
  </si>
  <si>
    <t>WIG;20011116;14474,78;14652,6;14435,25;14593,31;0</t>
  </si>
  <si>
    <t>WIG;20011119;14655,92;14725,68;14436,73;14654,73;0</t>
  </si>
  <si>
    <t>WIG;20011120;14569,94;14627,64;14468,06;14565,23;0</t>
  </si>
  <si>
    <t>WIG;20011121;14448,05;14463,21;14213,99;14232,07;0</t>
  </si>
  <si>
    <t>WIG;20011122;14094,07;14281,62;13928,98;14281,62;0</t>
  </si>
  <si>
    <t>WIG;20011123;14320,98;14343,12;14108,67;14238,44;0</t>
  </si>
  <si>
    <t>WIG;20011126;14223,94;14269,53;14171,41;14236,88;0</t>
  </si>
  <si>
    <t>WIG;20011127;14169,19;14384,43;14148,68;14312;0</t>
  </si>
  <si>
    <t>WIG;20011128;14300,93;14322,45;14147,86;14214,46;0</t>
  </si>
  <si>
    <t>WIG;20011129;14198,21;14220,16;14100,22;14114,03;0</t>
  </si>
  <si>
    <t>WIG;20011130;14092,1;14155,75;13995,84;14036,08;0</t>
  </si>
  <si>
    <t>WIG;20011203;13920,48;13992,01;13813,9;13988,59;0</t>
  </si>
  <si>
    <t>WIG;20011204;14050,78;14268,2;14012,69;14268,2;0</t>
  </si>
  <si>
    <t>WIG;20011205;14414,86;14417,82;14134,98;14317,64;0</t>
  </si>
  <si>
    <t>WIG;20011206;14438,55;14465,41;14333,48;14348,15;0</t>
  </si>
  <si>
    <t>WIG;20011207;14245,21;14335,15;14156,52;14302,4;0</t>
  </si>
  <si>
    <t>WIG;20011210;14135,12;14199,09;13994,5;14020,26;0</t>
  </si>
  <si>
    <t>WIG;20011211;13870,68;13951,66;13686,9;13949,26;0</t>
  </si>
  <si>
    <t>WIG;20011212;13935,88;13946,81;13837,96;13928,51;0</t>
  </si>
  <si>
    <t>WIG;20011213;14086,5;14153,31;13968,32;13968,36;0</t>
  </si>
  <si>
    <t>WIG;20011214;13419,33;13542,56;13334,97;13541,96;0</t>
  </si>
  <si>
    <t>WIG;20011217;13480,28;13643,85;13476,09;13587,95;0</t>
  </si>
  <si>
    <t>WIG;20011218;13524,96;13918,27;13480,87;13918,27;0</t>
  </si>
  <si>
    <t>WIG;20011219;13866,51;13908,45;13756,25;13852,45;0</t>
  </si>
  <si>
    <t>WIG;20011220;13759,74;13825,54;13731,6;13825,54;0</t>
  </si>
  <si>
    <t>WIG;20011221;13714,88;13740,05;13625,73;13719,75;0</t>
  </si>
  <si>
    <t>WIG;20011227;13753,89;13764,52;13685,15;13764,52;0</t>
  </si>
  <si>
    <t>WIG;20011228;13677,61;13858,31;13677,61;13858,31;0</t>
  </si>
  <si>
    <t>WIG;20011231;13823,51;13922,16;13807,84;13922,16;0</t>
  </si>
  <si>
    <t>WIG;20020102;13875,97;13995,24;13841,03;13995,24;0</t>
  </si>
  <si>
    <t>WIG;20020103;14058,09;14628;14048,41;14628;0</t>
  </si>
  <si>
    <t>WIG;20020104;14787,08;15163,65;14771,01;15013,22;0</t>
  </si>
  <si>
    <t>WIG;20020107;14972,39;15246,36;14851,15;15204,36;0</t>
  </si>
  <si>
    <t>WIG;20020108;15036,7;15271,7;15012,07;15148,89;0</t>
  </si>
  <si>
    <t>WIG;20020109;15075,27;15766,71;15050,19;15766,71;0</t>
  </si>
  <si>
    <t>WIG;20020110;15616,06;16072,6;15525,05;15539,34;0</t>
  </si>
  <si>
    <t>WIG;20020111;15539,34;15819,39;15447,4;15700,26;0</t>
  </si>
  <si>
    <t>WIG;20020114;15500,07;15576,69;15401,66;15431,94;0</t>
  </si>
  <si>
    <t>WIG;20020115;15286,61;15546,59;15264,22;15536,01;0</t>
  </si>
  <si>
    <t>WIG;20020116;15478,61;15705,56;15449,06;15652,81;0</t>
  </si>
  <si>
    <t>WIG;20020117;15839,7;15936,09;15771,55;15936,09;0</t>
  </si>
  <si>
    <t>WIG;20020118;15933,73;15988,98;15796,67;15835,6;0</t>
  </si>
  <si>
    <t>WIG;20020121;15709,24;15772,4;15623,85;15724,62;0</t>
  </si>
  <si>
    <t>WIG;20020122;15682,64;16151,09;15682,16;16141,35;0</t>
  </si>
  <si>
    <t>WIG;20020123;16132,99;16183,99;16020,07;16020,07;0</t>
  </si>
  <si>
    <t>WIG;20020124;16001,49;16266,03;15987,95;16165,74;0</t>
  </si>
  <si>
    <t>WIG;20020125;16144,26;16423,35;16099,56;16311,6;0</t>
  </si>
  <si>
    <t>WIG;20020128;16340,96;16373,21;15914,43;15914,43;0</t>
  </si>
  <si>
    <t>WIG;20020129;15851,93;16008,78;15816,2;15953,44;0</t>
  </si>
  <si>
    <t>WIG;20020130;15786,76;15786,76;15617,86;15748,8;0</t>
  </si>
  <si>
    <t>WIG;20020131;15887,33;16062,79;15851,18;16062,79;0</t>
  </si>
  <si>
    <t>WIG;20020201;16127,65;16257,35;15870,8;15940,52;0</t>
  </si>
  <si>
    <t>WIG;20020204;15776,22;15834,12;15680,2;15743,87;0</t>
  </si>
  <si>
    <t>WIG;20020205;15557,36;15578,14;15372,03;15452,9;0</t>
  </si>
  <si>
    <t>WIG;20020206;15482,87;15539,41;15321,21;15529,76;0</t>
  </si>
  <si>
    <t>WIG;20020207;15346,61;15418,76;15261,54;15318,12;0</t>
  </si>
  <si>
    <t>WIG;20020208;15188,78;15383,59;15180,4;15374,43;0</t>
  </si>
  <si>
    <t>WIG;20020211;15480,35;15538,65;15331,86;15402,9;0</t>
  </si>
  <si>
    <t>WIG;20020212;15421,32;15509,97;15261,58;15289,83;0</t>
  </si>
  <si>
    <t>WIG;20020213;15266,95;15437,57;15209,93;15437,57;0</t>
  </si>
  <si>
    <t>WIG;20020214;15470,7;15507,59;15367,17;15376,4;0</t>
  </si>
  <si>
    <t>WIG;20020215;15314,67;15451,57;15290,58;15376,73;0</t>
  </si>
  <si>
    <t>WIG;20020218;15324,79;15324,79;15228,54;15259,44;0</t>
  </si>
  <si>
    <t>WIG;20020219;15198,49;15198,49;15056,19;15142,64;0</t>
  </si>
  <si>
    <t>WIG;20020220;15095,65;15191,69;14997,02;15191,69;0</t>
  </si>
  <si>
    <t>WIG;20020221;15271,1;15289,03;15049,38;15071,76;0</t>
  </si>
  <si>
    <t>WIG;20020222;14973,87;15069,33;14950,89;15007,5;0</t>
  </si>
  <si>
    <t>WIG;20020225;15047,97;15251,25;15012,11;15251,25;0</t>
  </si>
  <si>
    <t>WIG;20020226;15383,41;15383,41;15296,93;15327,32;0</t>
  </si>
  <si>
    <t>WIG;20020227;15310,42;15424,89;15292,96;15357,29;0</t>
  </si>
  <si>
    <t>WIG;20020228;15305,44;15305,44;15122,3;15278,59;0</t>
  </si>
  <si>
    <t>WIG;20020301;15182,86;15411,5;15135,74;15411,5;0</t>
  </si>
  <si>
    <t>WIG;20020304;15617,55;15635,04;15414,14;15466,66;0</t>
  </si>
  <si>
    <t>WIG;20020305;15501,1;15577,63;15287,7;15413,14;0</t>
  </si>
  <si>
    <t>WIG;20020306;15402,49;15402,49;15218,43;15307,61;0</t>
  </si>
  <si>
    <t>WIG;20020307;15357,57;15506,9;15307,76;15446,71;0</t>
  </si>
  <si>
    <t>WIG;20020308;15473,9;15507;15415,2;15489,8;0</t>
  </si>
  <si>
    <t>WIG;20020311;15431,91;15453,85;15294,9;15294,9;0</t>
  </si>
  <si>
    <t>WIG;20020312;15192,99;15197,79;15030,35;15053,02;0</t>
  </si>
  <si>
    <t>WIG;20020313;15010,65;15179,03;14952,68;15112,38;0</t>
  </si>
  <si>
    <t>WIG;20020314;15173,6;15271,24;15129,94;15244,1;0</t>
  </si>
  <si>
    <t>WIG;20020315;15210,89;15237,75;15138,16;15233,19;0</t>
  </si>
  <si>
    <t>WIG;20020318;15171,36;15208,14;15027,11;15066,33;0</t>
  </si>
  <si>
    <t>WIG;20020319;14980,03;14995,11;14804,12;14882,95;0</t>
  </si>
  <si>
    <t>WIG;20020320;14821,58;14951,91;14774,61;14951,91;0</t>
  </si>
  <si>
    <t>WIG;20020321;14908,98;15019,68;14886,95;14977,14;0</t>
  </si>
  <si>
    <t>WIG;20020322;14998,8;15237,07;14980,37;15237,07;0</t>
  </si>
  <si>
    <t>WIG;20020325;15279,82;15282,39;14935,32;14935,32;0</t>
  </si>
  <si>
    <t>WIG;20020326;14830,5;14960,63;14777,27;14960,63;0</t>
  </si>
  <si>
    <t>WIG;20020327;14955,85;15063,14;14943,24;15055,36;0</t>
  </si>
  <si>
    <t>WIG;20020328;15085,13;15101,44;15020,96;15026,43;0</t>
  </si>
  <si>
    <t>WIG;20020402;14997,88;14997,88;14823,56;14835,18;0</t>
  </si>
  <si>
    <t>WIG;20020403;14768,6;14830,84;14657,01;14778,01;0</t>
  </si>
  <si>
    <t>WIG;20020404;14743,98;14787,01;14696,75;14763,89;0</t>
  </si>
  <si>
    <t>WIG;20020405;14770,39;15002,6;14761,72;14989,38;0</t>
  </si>
  <si>
    <t>WIG;20020408;14976,23;15112,18;14920,93;14951,44;0</t>
  </si>
  <si>
    <t>WIG;20020409;15055,39;15219,64;14986,02;15207,59;0</t>
  </si>
  <si>
    <t>WIG;20020410;15137,38;15284,67;15116,99;15228,91;0</t>
  </si>
  <si>
    <t>WIG;20020411;15241,07;15349,59;15147,01;15194,25;0</t>
  </si>
  <si>
    <t>WIG;20020412;15164,88;15167,36;14929,56;15049,68;0</t>
  </si>
  <si>
    <t>WIG;20020415;14971,74;15189,43;14877,2;15189,43;0</t>
  </si>
  <si>
    <t>WIG;20020416;15186,83;15279,46;15183,85;15243,2;0</t>
  </si>
  <si>
    <t>WIG;20020417;15263,17;15281,23;15096,44;15127,82;0</t>
  </si>
  <si>
    <t>WIG;20020418;15063,76;15114,92;14979,41;15054,89;0</t>
  </si>
  <si>
    <t>WIG;20020419;14961,93;15005,86;14848,97;14890,59;0</t>
  </si>
  <si>
    <t>WIG;20020422;14802,45;14924;14746,71;14924;0</t>
  </si>
  <si>
    <t>WIG;20020423;14937,99;15079,24;14912,16;14974,98;0</t>
  </si>
  <si>
    <t>WIG;20020424;14929,31;14954,25;14876,19;14918,87;0</t>
  </si>
  <si>
    <t>WIG;20020425;14852,06;15021,45;14792,84;15021,45;0</t>
  </si>
  <si>
    <t>WIG;20020426;15009,29;15177,9;14997,91;15162,7;0</t>
  </si>
  <si>
    <t>WIG;20020429;15089,91;15218,88;15074,88;15218,88;0</t>
  </si>
  <si>
    <t>WIG;20020430;15153,65;15188,08;15046,02;15122,14;0</t>
  </si>
  <si>
    <t>WIG;20020502;15037,99;15055,26;14969,69;14986,07;0</t>
  </si>
  <si>
    <t>WIG;20020506;14973,21;15000,79;14889,23;15000,79;0</t>
  </si>
  <si>
    <t>WIG;20020507;14954,22;14972,3;14797,72;14874,77;0</t>
  </si>
  <si>
    <t>WIG;20020508;14928,96;14998,53;14828,52;14936,04;0</t>
  </si>
  <si>
    <t>WIG;20020509;15021,23;15021,23;14893,75;14936,17;0</t>
  </si>
  <si>
    <t>WIG;20020510;14900,08;14935,37;14822,62;14931,81;0</t>
  </si>
  <si>
    <t>WIG;20020513;14875,89;14924,85;14842,53;14920,57;0</t>
  </si>
  <si>
    <t>WIG;20020514;14842,41;14984,52;14829,25;14977,43;0</t>
  </si>
  <si>
    <t>WIG;20020515;14931,21;14993,95;14834,68;14993,95;0</t>
  </si>
  <si>
    <t>WIG;20020516;14953,05;15475,75;14900,09;15475,75;0</t>
  </si>
  <si>
    <t>WIG;20020517;15716,06;15845,61;15591,79;15662,95;0</t>
  </si>
  <si>
    <t>WIG;20020520;15623,56;15692,87;15535,56;15586,97;0</t>
  </si>
  <si>
    <t>WIG;20020521;15463,79;15716,07;15436,33;15700,53;0</t>
  </si>
  <si>
    <t>WIG;20020522;15645;15680,87;15546,39;15595,45;0</t>
  </si>
  <si>
    <t>WIG;20020523;15515,67;15666,62;15497,46;15623,97;0</t>
  </si>
  <si>
    <t>WIG;20020524;15661,68;15686,16;15543,77;15650,57;0</t>
  </si>
  <si>
    <t>WIG;20020527;15572,14;15742,9;15569,07;15689,48;0</t>
  </si>
  <si>
    <t>WIG;20020528;15706,62;15775,88;15565,47;15607,12;0</t>
  </si>
  <si>
    <t>WIG;20020529;15623,03;15715,75;15605,22;15715,75;0</t>
  </si>
  <si>
    <t>WIG;20020531;15678,32;15683,57;15593,64;15643;0</t>
  </si>
  <si>
    <t>WIG;20020603;15588,36;15827,35;15562,85;15827,35;0</t>
  </si>
  <si>
    <t>WIG;20020604;15716,28;15825,25;15631,39;15687,69;0</t>
  </si>
  <si>
    <t>WIG;20020605;15660,97;15713,19;15607,01;15699,34;0</t>
  </si>
  <si>
    <t>WIG;20020606;15715,28;15764,88;15623,9;15692,44;0</t>
  </si>
  <si>
    <t>WIG;20020607;15549,2;15570,95;15443,07;15558,81;0</t>
  </si>
  <si>
    <t>WIG;20020610;15505,53;15544,67;15473,59;15534,48;0</t>
  </si>
  <si>
    <t>WIG;20020611;15484,08;15545,76;15441,12;15545,76;0</t>
  </si>
  <si>
    <t>WIG;20020612;15503,93;15562,73;15478,6;15559,44;0</t>
  </si>
  <si>
    <t>WIG;20020613;15549,3;15574,63;15422,4;15465,9;0</t>
  </si>
  <si>
    <t>WIG;20020614;15365,29;15384,69;15138,32;15151,42;0</t>
  </si>
  <si>
    <t>WIG;20020617;15158,31;15238,87;15108,1;15205,39;0</t>
  </si>
  <si>
    <t>WIG;20020618;15175,21;15272,21;15087,22;15116,53;0</t>
  </si>
  <si>
    <t>WIG;20020619;14951,76;15000,34;14792,83;14897,7;0</t>
  </si>
  <si>
    <t>WIG;20020620;14849,42;14901,33;14760,08;14858,39;0</t>
  </si>
  <si>
    <t>WIG;20020621;14747,02;15040,96;14723,3;15040,96;0</t>
  </si>
  <si>
    <t>WIG;20020624;14999,81;15036,04;14749,27;14752,9;0</t>
  </si>
  <si>
    <t>WIG;20020625;14797,88;14853,06;14516,48;14629,63;0</t>
  </si>
  <si>
    <t>WIG;20020626;14102,91;14353,76;14068,68;14353,76;0</t>
  </si>
  <si>
    <t>WIG;20020627;14397,79;14488,78;14318,92;14445,27;0</t>
  </si>
  <si>
    <t>WIG;20020628;14476,43;14507,83;14166,95;14192,94;0</t>
  </si>
  <si>
    <t>WIG;20020701;14077,23;14272,06;14058,22;14169,84;0</t>
  </si>
  <si>
    <t>WIG;20020702;14106,82;14152,73;13816,31;13909,83;0</t>
  </si>
  <si>
    <t>WIG;20020703;13743,11;13920,62;13582,06;13920,62;0</t>
  </si>
  <si>
    <t>WIG;20020704;14025,05;14077,06;13824,3;13833,91;0</t>
  </si>
  <si>
    <t>WIG;20020705;13902,14;14083,41;13830,45;14048,23;0</t>
  </si>
  <si>
    <t>WIG;20020708;14091,6;14118,25;14006,4;14056,87;0</t>
  </si>
  <si>
    <t>WIG;20020709;14073,27;14175,38;14061,65;14173,43;0</t>
  </si>
  <si>
    <t>WIG;20020710;14183,34;14186,49;13931,49;13990,04;0</t>
  </si>
  <si>
    <t>WIG;20020711;13847,87;13850,82;13673,35;13749,7;0</t>
  </si>
  <si>
    <t>WIG;20020712;13896,42;13912,44;13729,65;13736,08;0</t>
  </si>
  <si>
    <t>WIG;20020715;13678,32;13704,99;13572,4;13601,84;0</t>
  </si>
  <si>
    <t>WIG;20020716;13624,8;13659,76;13469,76;13605,38;0</t>
  </si>
  <si>
    <t>WIG;20020717;13665,34;13918,42;13650,1;13916,12;0</t>
  </si>
  <si>
    <t>WIG;20020718;13964,08;13964,08;13590,73;13608,61;0</t>
  </si>
  <si>
    <t>WIG;20020719;13457,65;13457,65;13267,81;13320,2;0</t>
  </si>
  <si>
    <t>WIG;20020722;13102,36;13102,36;12881,82;12962,95;0</t>
  </si>
  <si>
    <t>WIG;20020723;13157,31;13158,18;12881,55;13117,83;0</t>
  </si>
  <si>
    <t>WIG;20020724;12967,36;12982,87;12721,9;12748,54;0</t>
  </si>
  <si>
    <t>WIG;20020725;12985,73;13074,03;12514,22;12582,38;0</t>
  </si>
  <si>
    <t>WIG;20020726;12578,32;12835,84;12436,84;12835,84;0</t>
  </si>
  <si>
    <t>WIG;20020729;12734,93;12787,69;12592,12;12765,04;0</t>
  </si>
  <si>
    <t>WIG;20020730;12871,18;12956,03;12696,24;12802,88;0</t>
  </si>
  <si>
    <t>WIG;20020731;12826,18;13091,27;12789,58;12907,61;0</t>
  </si>
  <si>
    <t>WIG;20020801;12996,02;13166,67;12972,19;13092,75;0</t>
  </si>
  <si>
    <t>WIG;20020802;13052,57;13099,56;12950,68;13020,19;0</t>
  </si>
  <si>
    <t>WIG;20020805;12863,04;12922,5;12788,58;12873,82;0</t>
  </si>
  <si>
    <t>WIG;20020806;12692,23;12880,99;12674,15;12880,99;0</t>
  </si>
  <si>
    <t>WIG;20020807;12965,53;13012,62;12718,66;12718,66;0</t>
  </si>
  <si>
    <t>WIG;20020808;12764,09;12797,54;12626,89;12724,24;0</t>
  </si>
  <si>
    <t>WIG;20020809;12779,32;12856,03;12713,32;12744,16;0</t>
  </si>
  <si>
    <t>WIG;20020812;12723,79;12744,81;12634,8;12670,25;0</t>
  </si>
  <si>
    <t>WIG;20020813;12770,04;13008,55;12687,17;13008,55;0</t>
  </si>
  <si>
    <t>WIG;20020814;12930,16;12955,32;12805,09;12910,46;0</t>
  </si>
  <si>
    <t>WIG;20020816;13043,21;13108,22;12939,37;12957,81;0</t>
  </si>
  <si>
    <t>WIG;20020819;12987,05;13097,59;12972,76;12983,75;0</t>
  </si>
  <si>
    <t>WIG;20020820;13058,36;13067,73;12856,85;12856,85;0</t>
  </si>
  <si>
    <t>WIG;20020821;12856,95;13366,35;12822,93;13326,65;0</t>
  </si>
  <si>
    <t>WIG;20020822;13489,14;13559,65;13329,28;13329,4;0</t>
  </si>
  <si>
    <t>WIG;20020823;13294,27;13445;13271,99;13393,93;0</t>
  </si>
  <si>
    <t>WIG;20020826;13443,99;13472,04;13352,5;13472,04;0</t>
  </si>
  <si>
    <t>WIG;20020827;13465,68;13827,32;13458,78;13764,81;0</t>
  </si>
  <si>
    <t>WIG;20020828;13650,65;13670,65;13417,72;13480,1;0</t>
  </si>
  <si>
    <t>WIG;20020829;13396,8;13396,8;13223,3;13270,98;0</t>
  </si>
  <si>
    <t>WIG;20020830;13331,12;13433,85;13302,76;13433,85;0</t>
  </si>
  <si>
    <t>WIG;20020902;13427,56;13462,45;13362,34;13409,51;0</t>
  </si>
  <si>
    <t>WIG;20020903;13215,56;13215,56;12935,3;12966,93;0</t>
  </si>
  <si>
    <t>WIG;20020904;12885,24;12968,82;12635,12;12857,08;0</t>
  </si>
  <si>
    <t>WIG;20020905;12887,2;12920,99;12735,36;12770,83;0</t>
  </si>
  <si>
    <t>WIG;20020906;12809,01;13000,99;12779,68;12992,78;0</t>
  </si>
  <si>
    <t>WIG;20020909;12973,6;13044,58;12931,82;13044,58;0</t>
  </si>
  <si>
    <t>WIG;20020910;13131,23;13265,68;13105,3;13265,68;0</t>
  </si>
  <si>
    <t>WIG;20020911;13283,59;13433,43;13182,24;13406,95;0</t>
  </si>
  <si>
    <t>WIG;20020912;13330,7;13330,7;13097,02;13178,58;0</t>
  </si>
  <si>
    <t>WIG;20020913;13028,66;13099,84;13012,21;13079,77;0</t>
  </si>
  <si>
    <t>WIG;20020916;13024,42;13224,97;12990,18;13224,97;0</t>
  </si>
  <si>
    <t>WIG;20020917;13405,21;13465,34;13261,75;13261,75;0</t>
  </si>
  <si>
    <t>WIG;20020918;13158,12;13163,4;12996,07;13063,69;0</t>
  </si>
  <si>
    <t>WIG;20020919;13052,27;13144,11;12964,78;13037,98;0</t>
  </si>
  <si>
    <t>WIG;20020920;13129,29;13210,74;13059,73;13201,2;0</t>
  </si>
  <si>
    <t>WIG;20020923;13279,78;13279,78;13069,82;13108,08;0</t>
  </si>
  <si>
    <t>WIG;20020924;13049,34;13049,34;12757,18;12848,23;0</t>
  </si>
  <si>
    <t>WIG;20020925;12815,4;13065,28;12815,4;13065,28;0</t>
  </si>
  <si>
    <t>WIG;20020926;13080,47;13131,97;12979,08;13037,6;0</t>
  </si>
  <si>
    <t>WIG;20020927;13052,78;13052,78;12847,96;12985,7;0</t>
  </si>
  <si>
    <t>WIG;20020930;12830,73;12850;12747,15;12797,28;0</t>
  </si>
  <si>
    <t>WIG;20021001;12766,01;12825,88;12709,82;12740,31;0</t>
  </si>
  <si>
    <t>WIG;20021002;12866,69;12881,58;12744,23;12771,16;0</t>
  </si>
  <si>
    <t>WIG;20021003;12752,56;12862,51;12651,98;12862,51;0</t>
  </si>
  <si>
    <t>WIG;20021004;12836,48;12963,6;12815,37;12864,08;0</t>
  </si>
  <si>
    <t>WIG;20021007;12766,2;12767,74;12675,54;12723,14;0</t>
  </si>
  <si>
    <t>WIG;20021008;12750,64;12757,59;12646,83;12732,05;0</t>
  </si>
  <si>
    <t>WIG;20021009;12730,91;12765,47;12701,46;12742,08;0</t>
  </si>
  <si>
    <t>WIG;20021010;12851,79;12893,1;12734,26;12893,1;0</t>
  </si>
  <si>
    <t>WIG;20021011;13020,97;13191,01;13013,04;13130,08;0</t>
  </si>
  <si>
    <t>WIG;20021014;13123,79;13186,73;13044,64;13186,73;0</t>
  </si>
  <si>
    <t>WIG;20021015;13301,18;13469,89;13263,34;13441,19;0</t>
  </si>
  <si>
    <t>WIG;20021016;13401,69;13511,6;13281,58;13357,79;0</t>
  </si>
  <si>
    <t>WIG;20021017;13398,36;13436,3;13289,41;13426,56;0</t>
  </si>
  <si>
    <t>WIG;20021018;13423,53;13652,62;13411,99;13652,62;0</t>
  </si>
  <si>
    <t>WIG;20021021;13609,61;13725,39;13539,33;13640,5;0</t>
  </si>
  <si>
    <t>WIG;20021022;13731,41;13794,25;13663,73;13752;0</t>
  </si>
  <si>
    <t>WIG;20021023;13790,31;13886,78;13655,12;13739,79;0</t>
  </si>
  <si>
    <t>WIG;20021024;13768,99;13788,76;13602,92;13729,54;0</t>
  </si>
  <si>
    <t>WIG;20021025;13684,37;13737,31;13632,34;13690,12;0</t>
  </si>
  <si>
    <t>WIG;20021028;13752,84;14042,34;13730,29;14042,34;0</t>
  </si>
  <si>
    <t>WIG;20021029;14034,08;14177,64;14001,49;14078,88;0</t>
  </si>
  <si>
    <t>WIG;20021030;14023;14163,57;13982,87;14042,52;0</t>
  </si>
  <si>
    <t>WIG;20021031;14029,78;14159,54;14011,76;14093,23;0</t>
  </si>
  <si>
    <t>WIG;20021104;14248,62;14303,38;14143,71;14195,88;0</t>
  </si>
  <si>
    <t>WIG;20021105;14144,35;14150,56;13959,01;14039,04;0</t>
  </si>
  <si>
    <t>WIG;20021106;14057,78;14067,15;13832,26;13839,16;0</t>
  </si>
  <si>
    <t>WIG;20021107;13847,13;13887,06;13762,87;13765,82;0</t>
  </si>
  <si>
    <t>WIG;20021108;13753,49;13792,99;13680,84;13792,99;0</t>
  </si>
  <si>
    <t>WIG;20021112;13781,06;13867,26;13753,12;13834,89;0</t>
  </si>
  <si>
    <t>WIG;20021113;13807,37;13824,61;13729,32;13824,61;0</t>
  </si>
  <si>
    <t>WIG;20021114;13860,14;14052,74;13846,18;13945,96;0</t>
  </si>
  <si>
    <t>WIG;20021115;13963,72;14006,98;13821,89;13841,69;0</t>
  </si>
  <si>
    <t>WIG;20021118;13815,65;13920,09;13803,85;13920,09;0</t>
  </si>
  <si>
    <t>WIG;20021119;13883,54;13994,91;13859,93;13990,84;0</t>
  </si>
  <si>
    <t>WIG;20021120;13990,2;14045,2;13928,42;14045,2;0</t>
  </si>
  <si>
    <t>WIG;20021121;14130,41;14454,26;14126,31;14454,26;0</t>
  </si>
  <si>
    <t>WIG;20021122;14554,05;14563,9;14418,22;14516,03;0</t>
  </si>
  <si>
    <t>WIG;20021125;14555,47;14881,26;14471,2;14881,26;0</t>
  </si>
  <si>
    <t>WIG;20021126;14795,59;14848,54;14697,97;14739,48;0</t>
  </si>
  <si>
    <t>WIG;20021127;14680,31;14931,32;14642,34;14850,58;0</t>
  </si>
  <si>
    <t>WIG;20021128;14883,61;14924,45;14808,61;14834,07;0</t>
  </si>
  <si>
    <t>WIG;20021129;14838,19;14838,19;14662,91;14662,91;0</t>
  </si>
  <si>
    <t>WIG;20021202;14672,62;15069,79;14665,55;15026,12;0</t>
  </si>
  <si>
    <t>WIG;20021203;14950,4;15037,88;14909,2;15028,7;0</t>
  </si>
  <si>
    <t>WIG;20021204;14928,73;15055,61;14799,73;14838,08;0</t>
  </si>
  <si>
    <t>WIG;20021205;14863,5;14971,4;14846,16;14909,65;0</t>
  </si>
  <si>
    <t>WIG;20021206;14879,54;14891,6;14668,47;14724,22;0</t>
  </si>
  <si>
    <t>WIG;20021209;14679,84;14744,76;14615,82;14726,38;0</t>
  </si>
  <si>
    <t>WIG;20021210;14627,36;14638,53;14493,36;14507;0</t>
  </si>
  <si>
    <t>WIG;20021211;14497,12;14587,14;14387,91;14408,77;0</t>
  </si>
  <si>
    <t>WIG;20021212;14519,47;14547,79;14403,31;14531,49;0</t>
  </si>
  <si>
    <t>WIG;20021213;14497,9;14539,22;14426,42;14534,66;0</t>
  </si>
  <si>
    <t>WIG;20021216;14557,04;14663,46;14549,55;14564,42;0</t>
  </si>
  <si>
    <t>WIG;20021217;14597,87;14603,49;14484,05;14523,89;0</t>
  </si>
  <si>
    <t>WIG;20021218;14459,86;14463,9;14151,25;14164,05;0</t>
  </si>
  <si>
    <t>WIG;20021219;14177,38;14240,19;14034,3;14135,77;0</t>
  </si>
  <si>
    <t>WIG;20021220;14120,36;14183,33;14043,81;14116,67;0</t>
  </si>
  <si>
    <t>WIG;20021223;14122,51;14294,29;14122,51;14294,29;0</t>
  </si>
  <si>
    <t>WIG;20021227;14295,72;14402,55;14267,48;14402,55;0</t>
  </si>
  <si>
    <t>WIG;20021230;14397,76;14418,58;14314,52;14390,28;0</t>
  </si>
  <si>
    <t>WIG;20021231;14373,77;14391,44;14328,23;14366,65;0</t>
  </si>
  <si>
    <t>WIG;20030102;14343,62;14378,11;14210,16;14378,11;0</t>
  </si>
  <si>
    <t>WIG;20030103;14584,89;14794,97;14564,39;14770,53;0</t>
  </si>
  <si>
    <t>WIG;20030106;14843,83;14895,43;14689,33;14814,32;0</t>
  </si>
  <si>
    <t>WIG;20030107;14836,84;14910,89;14759,16;14875,42;0</t>
  </si>
  <si>
    <t>WIG;20030108;14788,81;14917,57;14738,01;14738,01;0</t>
  </si>
  <si>
    <t>WIG;20030109;14733,07;14739,94;14569,26;14735,78;0</t>
  </si>
  <si>
    <t>WIG;20030110;14744,02;14864,38;14684,05;14785,91;0</t>
  </si>
  <si>
    <t>WIG;20030113;14865,71;15145,83;14861,9;15115,13;0</t>
  </si>
  <si>
    <t>WIG;20030114;15096,94;15168,02;14980;15039,44;0</t>
  </si>
  <si>
    <t>WIG;20030115;15024,94;15111,73;15008,91;15061,77;0</t>
  </si>
  <si>
    <t>WIG;20030116;14968,77;14968,77;14790,57;14827,53;0</t>
  </si>
  <si>
    <t>WIG;20030117;14667,13;14711,34;14578,89;14637,51;0</t>
  </si>
  <si>
    <t>WIG;20030120;14594,11;14631,88;14540,99;14594,74;0</t>
  </si>
  <si>
    <t>WIG;20030121;14635,83;14653,99;14369,46;14461,75;0</t>
  </si>
  <si>
    <t>WIG;20030122;14403,07;14417,15;14237,45;14301,16;0</t>
  </si>
  <si>
    <t>WIG;20030123;14373,54;14528,79;14312,05;14453,54;0</t>
  </si>
  <si>
    <t>WIG;20030124;14435,21;14525,57;14130,37;14133,8;0</t>
  </si>
  <si>
    <t>WIG;20030127;13930,13;13960,33;13738,05;13867,32;0</t>
  </si>
  <si>
    <t>WIG;20030128;13825,97;13917,9;13784,62;13886,61;0</t>
  </si>
  <si>
    <t>WIG;20030129;13723,26;13943,75;13623,65;13923,86;0</t>
  </si>
  <si>
    <t>WIG;20030130;13933,74;13984,93;13766,47;13783,66;0</t>
  </si>
  <si>
    <t>WIG;20030131;13704,9;13861,32;13700,37;13844,75;0</t>
  </si>
  <si>
    <t>WIG;20030203;13927,79;14143,14;13914,62;14125,43;0</t>
  </si>
  <si>
    <t>WIG;20030204;14103,97;14103,97;13861,93;13871,99;0</t>
  </si>
  <si>
    <t>WIG;20030205;13807,08;13905,51;13797,48;13877,99;0</t>
  </si>
  <si>
    <t>WIG;20030206;13844,16;13876,01;13694,82;13694,82;0</t>
  </si>
  <si>
    <t>WIG;20030207;13633,17;13823,07;13627,52;13797,26;0</t>
  </si>
  <si>
    <t>WIG;20030210;13776,11;13880,2;13750,93;13871,4;0</t>
  </si>
  <si>
    <t>WIG;20030211;13951,08;14000,49;13883,9;13918,78;0</t>
  </si>
  <si>
    <t>WIG;20030212;13846,27;13855,9;13779,58;13806,1;0</t>
  </si>
  <si>
    <t>WIG;20030213;13760,58;13900,78;13737,43;13865,86;0</t>
  </si>
  <si>
    <t>WIG;20030214;13862,4;13873,18;13781,3;13873,18;0</t>
  </si>
  <si>
    <t>WIG;20030217;14055,75;14079,91;13968,32;14038,18;0</t>
  </si>
  <si>
    <t>WIG;20030218;14012,12;14037,12;13924,6;13953,5;0</t>
  </si>
  <si>
    <t>WIG;20030219;13906,25;13912,04;13808,46;13844,75;0</t>
  </si>
  <si>
    <t>WIG;20030220;13834,06;13981,37;13817,02;13981,37;0</t>
  </si>
  <si>
    <t>WIG;20030221;13909,59;13971,21;13891,09;13922,09;0</t>
  </si>
  <si>
    <t>WIG;20030224;13892,02;13956,46;13814,98;13814,98;0</t>
  </si>
  <si>
    <t>WIG;20030225;13765,29;13774,56;13603,11;13622,95;0</t>
  </si>
  <si>
    <t>WIG;20030226;13651,28;13670,69;13572,11;13659,97;0</t>
  </si>
  <si>
    <t>WIG;20030227;13650,33;13727,11;13609,69;13727,11;0</t>
  </si>
  <si>
    <t>WIG;20030228;13727,39;13782,72;13688,8;13775,47;0</t>
  </si>
  <si>
    <t>WIG;20030303;13742,3;13774,21;13668,05;13687,16;0</t>
  </si>
  <si>
    <t>WIG;20030304;13648,44;13648,44;13482,2;13504,92;0</t>
  </si>
  <si>
    <t>WIG;20030305;13432,46;13542,32;13420,85;13502,65;0</t>
  </si>
  <si>
    <t>WIG;20030306;13480,18;13581,25;13475,43;13512,9;0</t>
  </si>
  <si>
    <t>WIG;20030307;13517,68;13607,41;13487,24;13599,63;0</t>
  </si>
  <si>
    <t>WIG;20030310;13668,37;13964,47;13659,58;13964,47;0</t>
  </si>
  <si>
    <t>WIG;20030311;13878,62;13888,8;13759,75;13852,81;0</t>
  </si>
  <si>
    <t>WIG;20030312;13842,82;13861,48;13706,47;13820,51;0</t>
  </si>
  <si>
    <t>WIG;20030313;13889,07;13996,43;13872,85;13943,35;0</t>
  </si>
  <si>
    <t>WIG;20030314;13988,8;14034,97;13841,71;13866,61;0</t>
  </si>
  <si>
    <t>WIG;20030317;13763,82;13763,82;13568,82;13604,78;0</t>
  </si>
  <si>
    <t>WIG;20030318;13721,75;13899,03;13704,38;13828,66;0</t>
  </si>
  <si>
    <t>WIG;20030319;13790,65;13861,3;13758,74;13816,95;0</t>
  </si>
  <si>
    <t>WIG;20030320;13843,93;13886,21;13811,94;13820,75;0</t>
  </si>
  <si>
    <t>WIG;20030321;13922,72;14069,39;13904,98;14069,39;0</t>
  </si>
  <si>
    <t>WIG;20030324;14057,96;14075,26;13972,68;14032,74;0</t>
  </si>
  <si>
    <t>WIG;20030325;13925,14;14041,19;13892,39;14011,12;0</t>
  </si>
  <si>
    <t>WIG;20030326;14047,49;14128,52;14010,27;14041,94;0</t>
  </si>
  <si>
    <t>WIG;20030327;14007,29;14013,11;13940,55;13977,69;0</t>
  </si>
  <si>
    <t>WIG;20030328;13993,67;13997,33;13882,76;13978,28;0</t>
  </si>
  <si>
    <t>WIG;20030331;13838,54;13846,76;13692,59;13759,43;0</t>
  </si>
  <si>
    <t>WIG;20030401;13803,59;13835,34;13755,41;13765,02;0</t>
  </si>
  <si>
    <t>WIG;20030402;13864,5;13929,8;13807,88;13910,34;0</t>
  </si>
  <si>
    <t>WIG;20030403;13986,66;14217,28;13951,86;14149,59;0</t>
  </si>
  <si>
    <t>WIG;20030404;14170,38;14194,87;14100,31;14175,37;0</t>
  </si>
  <si>
    <t>WIG;20030407;14375,8;14523,23;14375,8;14495,96;0</t>
  </si>
  <si>
    <t>WIG;20030408;14465,82;14505,99;14377,97;14451,56;0</t>
  </si>
  <si>
    <t>WIG;20030409;14436,87;14522,67;14366,41;14503,33;0</t>
  </si>
  <si>
    <t>WIG;20030410;14487,55;14506,3;14338,48;14382,83;0</t>
  </si>
  <si>
    <t>WIG;20030411;14422,37;14422,37;14310,55;14368,1;0</t>
  </si>
  <si>
    <t>WIG;20030414;14331,32;14334,66;14159,14;14175,02;0</t>
  </si>
  <si>
    <t>WIG;20030415;14251,74;14257,44;14114,99;14193,13;0</t>
  </si>
  <si>
    <t>WIG;20030416;14234,71;14297,04;14121,84;14121,97;0</t>
  </si>
  <si>
    <t>WIG;20030417;14098,58;14211,61;14079,62;14211,61;0</t>
  </si>
  <si>
    <t>WIG;20030422;14208,27;14277,57;14201,85;14236,89;0</t>
  </si>
  <si>
    <t>WIG;20030423;14302,48;14368,14;14294,95;14341,97;0</t>
  </si>
  <si>
    <t>WIG;20030424;14295,25;14333,11;14176,62;14196,17;0</t>
  </si>
  <si>
    <t>WIG;20030425;14155,31;14234,42;14142,26;14231,82;0</t>
  </si>
  <si>
    <t>WIG;20030428;14172,2;14341,35;14169,2;14287,79;0</t>
  </si>
  <si>
    <t>WIG;20030429;14314,82;14343,09;14149,9;14262,09;0</t>
  </si>
  <si>
    <t>WIG;20030430;14200,62;14259,75;14022,18;14259,75;0</t>
  </si>
  <si>
    <t>WIG;20030502;14241,8;14421,63;14228,14;14421,63;0</t>
  </si>
  <si>
    <t>WIG;20030505;14508,39;14627,08;14496,56;14608,92;0</t>
  </si>
  <si>
    <t>WIG;20030506;14586,66;14673,86;14528,51;14652,61;0</t>
  </si>
  <si>
    <t>WIG;20030507;14585,62;14593,55;14462,16;14503,65;0</t>
  </si>
  <si>
    <t>WIG;20030508;14514,8;14581,83;14501,32;14547,51;0</t>
  </si>
  <si>
    <t>WIG;20030509;14563,36;14675,9;14550,08;14675,9;0</t>
  </si>
  <si>
    <t>WIG;20030512;14694,04;14722,16;14575,13;14722,16;0</t>
  </si>
  <si>
    <t>WIG;20030513;14699,42;14733,86;14611,68;14690,91;0</t>
  </si>
  <si>
    <t>WIG;20030514;14646,85;15026,23;14626,79;15012,24;0</t>
  </si>
  <si>
    <t>WIG;20030515;14999,86;15050,09;14829,12;14945,41;0</t>
  </si>
  <si>
    <t>WIG;20030516;14911,54;14941,97;14858,67;14892,82;0</t>
  </si>
  <si>
    <t>WIG;20030519;14832,05;14832,05;14699,19;14801,21;0</t>
  </si>
  <si>
    <t>WIG;20030520;14769,37;14876,86;14747,28;14758,79;0</t>
  </si>
  <si>
    <t>WIG;20030521;14740,51;14892,63;14731,35;14891,71;0</t>
  </si>
  <si>
    <t>WIG;20030522;14887,67;15055,8;14872,12;14958,73;0</t>
  </si>
  <si>
    <t>WIG;20030523;14983,48;15053,67;14929,19;15040,45;0</t>
  </si>
  <si>
    <t>WIG;20030526;15064,45;15131,83;15025,39;15099,64;0</t>
  </si>
  <si>
    <t>WIG;20030527;15054,38;15062,38;14897,46;14937,2;0</t>
  </si>
  <si>
    <t>WIG;20030528;15011,77;15097,65;14978,53;15068,72;0</t>
  </si>
  <si>
    <t>WIG;20030529;15064,09;15176,14;15048,52;15153,67;0</t>
  </si>
  <si>
    <t>WIG;20030530;15118,64;15304,37;15111,37;15304,37;0</t>
  </si>
  <si>
    <t>WIG;20030602;15352,88;15382,31;15242,7;15250,08;0</t>
  </si>
  <si>
    <t>WIG;20030603;15287,83;15320,65;15233,58;15320,65;0</t>
  </si>
  <si>
    <t>WIG;20030604;15325,92;15505,03;15325,92;15472,31;0</t>
  </si>
  <si>
    <t>WIG;20030605;15486,93;15562,32;15429,86;15460,01;0</t>
  </si>
  <si>
    <t>WIG;20030606;15478,67;15607,52;15467,23;15598,45;0</t>
  </si>
  <si>
    <t>WIG;20030609;15569,69;15601,86;15435,69;15477,49;0</t>
  </si>
  <si>
    <t>WIG;20030610;15455,78;15475,12;15373,18;15384,13;0</t>
  </si>
  <si>
    <t>WIG;20030611;15371,14;15437,84;15333,88;15437,84;0</t>
  </si>
  <si>
    <t>WIG;20030612;15480,01;15626,57;15480,01;15582,97;0</t>
  </si>
  <si>
    <t>WIG;20030613;15559;15618,27;15539,12;15560,74;0</t>
  </si>
  <si>
    <t>WIG;20030616;15470,17;15573,27;15409,41;15573,27;0</t>
  </si>
  <si>
    <t>WIG;20030617;15619,15;15756,26;15619,15;15707,64;0</t>
  </si>
  <si>
    <t>WIG;20030618;15699,24;15970,86;15699,24;15858,46;0</t>
  </si>
  <si>
    <t>WIG;20030620;15850,11;15989,32;15850,11;15910,38;0</t>
  </si>
  <si>
    <t>WIG;20030623;15843,75;15907,37;15826,1;15843,78;0</t>
  </si>
  <si>
    <t>WIG;20030624;15709;15760,09;15678,71;15730,15;0</t>
  </si>
  <si>
    <t>WIG;20030625;15733,55;15937,8;15729,84;15937,8;0</t>
  </si>
  <si>
    <t>WIG;20030626;15901,97;15989,9;15901,33;15982,37;0</t>
  </si>
  <si>
    <t>WIG;20030627;15972,67;15978,56;15853,66;15930,57;0</t>
  </si>
  <si>
    <t>WIG;20030630;15860,13;15987,5;15849,89;15987,5;0</t>
  </si>
  <si>
    <t>WIG;20030701;15884,98;15919,69;15750,84;15751,78;0</t>
  </si>
  <si>
    <t>WIG;20030702;15800,29;15921,83;15774,28;15921,83;0</t>
  </si>
  <si>
    <t>WIG;20030703;15943,62;16091,85;15943,62;16053,61;0</t>
  </si>
  <si>
    <t>WIG;20030704;16008,29;16338,22;15983,62;16338,22;0</t>
  </si>
  <si>
    <t>WIG;20030707;16393,74;16829,47;16390,15;16829,47;0</t>
  </si>
  <si>
    <t>WIG;20030708;16787,85;16992,82;16663,73;16711,03;0</t>
  </si>
  <si>
    <t>WIG;20030709;16553,35;16943,13;16553,35;16893,01;0</t>
  </si>
  <si>
    <t>WIG;20030710;16845,69;17216,68;16832,02;17027,04;0</t>
  </si>
  <si>
    <t>WIG;20030711;16981,04;17132,42;16981,04;17108,8;0</t>
  </si>
  <si>
    <t>WIG;20030714;17196,43;17489,4;17196,43;17489,4;0</t>
  </si>
  <si>
    <t>WIG;20030715;17548,91;17548,91;17344,41;17471,05;0</t>
  </si>
  <si>
    <t>WIG;20030716;17439,97;17584,5;17382,86;17382,86;0</t>
  </si>
  <si>
    <t>WIG;20030717;17234,58;17513,72;17218,1;17435,78;0</t>
  </si>
  <si>
    <t>WIG;20030718;17400,11;17698,8;17400,11;17695,59;0</t>
  </si>
  <si>
    <t>WIG;20030721;17802,95;17849,3;17662,39;17805,82;0</t>
  </si>
  <si>
    <t>WIG;20030722;17787,94;17787,94;17575,78;17615,45;0</t>
  </si>
  <si>
    <t>WIG;20030723;17610,88;17618,52;17318,57;17318,57;0</t>
  </si>
  <si>
    <t>WIG;20030724;17318,59;17395,19;17244,92;17390,39;0</t>
  </si>
  <si>
    <t>WIG;20030725;17332,4;17458,47;17193,68;17458,47;0</t>
  </si>
  <si>
    <t>WIG;20030728;17625,09;18012,42;17618,63;17961,51;0</t>
  </si>
  <si>
    <t>WIG;20030729;18030,79;18160,29;17962,29;18048,18;0</t>
  </si>
  <si>
    <t>WIG;20030730;18062,65;18156,8;17871,74;17894,13;0</t>
  </si>
  <si>
    <t>WIG;20030731;17874,34;18004,31;17746,05;18004,31;0</t>
  </si>
  <si>
    <t>WIG;20030801;17971,72;18048,25;17912;17978,89;0</t>
  </si>
  <si>
    <t>WIG;20030804;17912,57;18019,41;17822,73;17822,73;0</t>
  </si>
  <si>
    <t>WIG;20030805;17831,44;17950,71;17789,85;17932,76;0</t>
  </si>
  <si>
    <t>WIG;20030806;17829,07;17917,94;17816,43;17877,71;0</t>
  </si>
  <si>
    <t>WIG;20030807;17856,5;18426,13;17809,92;18417,7;0</t>
  </si>
  <si>
    <t>WIG;20030808;18540,63;18674,91;18359,18;18372,55;0</t>
  </si>
  <si>
    <t>WIG;20030811;18440,82;18619,45;18414,59;18600,68;0</t>
  </si>
  <si>
    <t>WIG;20030812;18741,13;19014,4;18693,6;18999,96;0</t>
  </si>
  <si>
    <t>WIG;20030813;19120,68;19220,47;18890,41;18958,84;0</t>
  </si>
  <si>
    <t>WIG;20030814;18969,59;19448,73;18961,64;19388,03;0</t>
  </si>
  <si>
    <t>WIG;20030818;19526,85;19613,34;19330,38;19613,34;0</t>
  </si>
  <si>
    <t>WIG;20030819;19612,29;19657,68;19441,37;19602,26;0</t>
  </si>
  <si>
    <t>WIG;20030820;19549,43;19659,41;19494,73;19554,47;0</t>
  </si>
  <si>
    <t>WIG;20030821;19593,05;20024,02;19593,05;20024,02;0</t>
  </si>
  <si>
    <t>WIG;20030822;20118,09;20899,36;20118,09;20615,62;0</t>
  </si>
  <si>
    <t>WIG;20030825;20467,7;20789,22;20313,22;20622,01;0</t>
  </si>
  <si>
    <t>WIG;20030826;20700,12;21271,08;20700,12;21059,4;0</t>
  </si>
  <si>
    <t>WIG;20030827;21326,1;21498,82;20854,66;20996,25;0</t>
  </si>
  <si>
    <t>WIG;20030828;20882,8;21042,79;20701,05;20858,78;0</t>
  </si>
  <si>
    <t>WIG;20030829;21007,07;21339,72;21007,07;21336,29;0</t>
  </si>
  <si>
    <t>WIG;20030901;21639,05;22033,81;21548,46;22033,81;0</t>
  </si>
  <si>
    <t>WIG;20030902;22243,8;22310,83;21742,69;21921,79;0</t>
  </si>
  <si>
    <t>WIG;20030903;21840,61;21993,29;21577,34;21659,87;0</t>
  </si>
  <si>
    <t>WIG;20030904;21345,42;21485,33;21139,75;21189,13;0</t>
  </si>
  <si>
    <t>WIG;20030905;20992,17;21164,85;20650,86;20713,37;0</t>
  </si>
  <si>
    <t>WIG;20030908;20730,39;20805,99;20322,27;20744,88;0</t>
  </si>
  <si>
    <t>WIG;20030909;20864,59;20864,59;20389,36;20426,4;0</t>
  </si>
  <si>
    <t>WIG;20030910;20282,93;20343,79;19873,17;19983,97;0</t>
  </si>
  <si>
    <t>WIG;20030911;19744,74;20207,04;19744,74;20156,2;0</t>
  </si>
  <si>
    <t>WIG;20030912;20346,69;20346,69;19881,39;19881,39;0</t>
  </si>
  <si>
    <t>WIG;20030915;19923,49;20004,79;19768,38;19824,11;0</t>
  </si>
  <si>
    <t>WIG;20030916;19870,35;20279,94;19813,55;20279,94;0</t>
  </si>
  <si>
    <t>WIG;20030917;20595,32;20676,64;20183,63;20223,61;0</t>
  </si>
  <si>
    <t>WIG;20030918;20137,45;20214,11;20064,55;20200,89;0</t>
  </si>
  <si>
    <t>WIG;20030919;20275,03;20362,17;20092,92;20261,1;0</t>
  </si>
  <si>
    <t>WIG;20030922;20139,19;20139,19;19650,82;19704,26;0</t>
  </si>
  <si>
    <t>WIG;20030923;19630,23;19810,3;19488,89;19783,39;0</t>
  </si>
  <si>
    <t>WIG;20030924;19882,17;20034,38;19762,47;19824,82;0</t>
  </si>
  <si>
    <t>WIG;20030925;19636,45;19826,24;19608,97;19805,49;0</t>
  </si>
  <si>
    <t>WIG;20030926;19877,46;20052,7;19836,42;20002,37;0</t>
  </si>
  <si>
    <t>WIG;20030929;20079,24;20079,24;19757,29;19771,96;0</t>
  </si>
  <si>
    <t>WIG;20030930;19535,14;19644,26;19330,49;19330,49;0</t>
  </si>
  <si>
    <t>WIG;20031001;19290,93;19475,41;19288,72;19338,26;0</t>
  </si>
  <si>
    <t>WIG;20031002;19545,24;19675,02;19484,46;19675,02;0</t>
  </si>
  <si>
    <t>WIG;20031003;19801,36;19970,57;19665,5;19938,26;0</t>
  </si>
  <si>
    <t>WIG;20031006;20001,81;20672,54;19986,48;20649,68;0</t>
  </si>
  <si>
    <t>WIG;20031007;20813,91;20872,18;20435,16;20566,33;0</t>
  </si>
  <si>
    <t>WIG;20031008;20736,36;21207,64;20736,36;20920,37;0</t>
  </si>
  <si>
    <t>WIG;20031009;20916,59;21395,91;20873,78;21161,76;0</t>
  </si>
  <si>
    <t>WIG;20031010;21130,84;21291,11;20961,16;21181,21;0</t>
  </si>
  <si>
    <t>WIG;20031013;21392,99;21410,3;21092,74;21107,56;0</t>
  </si>
  <si>
    <t>WIG;20031014;21048,97;21512,68;20961,38;21512,68;0</t>
  </si>
  <si>
    <t>WIG;20031015;21641,49;22158,13;21620,89;21818,77;0</t>
  </si>
  <si>
    <t>WIG;20031016;21790,53;21858,1;21293,91;21395,01;0</t>
  </si>
  <si>
    <t>WIG;20031017;21372,95;21427,53;20935,52;21213,89;0</t>
  </si>
  <si>
    <t>WIG;20031020;21103,08;21237,51;21075,63;21080,52;0</t>
  </si>
  <si>
    <t>WIG;20031021;21056,49;21219,93;20590,13;20632,65;0</t>
  </si>
  <si>
    <t>WIG;20031022;20506,16;20637,25;20192,41;20318,41;0</t>
  </si>
  <si>
    <t>WIG;20031023;19988,63;20339,87;19932,79;20339,87;0</t>
  </si>
  <si>
    <t>WIG;20031024;20236,52;20264,63;20053,6;20214,77;0</t>
  </si>
  <si>
    <t>WIG;20031027;20241;20298,75;19908,26;19948,17;0</t>
  </si>
  <si>
    <t>WIG;20031028;20014,97;20553,45;19802,33;20553,45;0</t>
  </si>
  <si>
    <t>WIG;20031029;20769,31;20813,66;20356,68;20449,96;0</t>
  </si>
  <si>
    <t>WIG;20031030;20548,78;20932,26;20439,72;20757,4;0</t>
  </si>
  <si>
    <t>WIG;20031031;20700,16;20832,69;20663,72;20663,72;0</t>
  </si>
  <si>
    <t>WIG;20031103;20798,25;21030,73;20533,45;20752,56;0</t>
  </si>
  <si>
    <t>WIG;20031104;20680,5;20814,2;20398,16;20413,76;0</t>
  </si>
  <si>
    <t>WIG;20031105;20452,42;20536,16;20242,75;20399,03;0</t>
  </si>
  <si>
    <t>WIG;20031106;20381,35;20712,35;20303,3;20647,55;0</t>
  </si>
  <si>
    <t>WIG;20031107;20723,33;20851,2;20558,13;20602,63;0</t>
  </si>
  <si>
    <t>WIG;20031110;20537,33;20691,85;20439,69;20691,85;0</t>
  </si>
  <si>
    <t>WIG;20031112;20769,58;20769,58;20401,72;20401,72;0</t>
  </si>
  <si>
    <t>WIG;20031113;20548,51;20660,53;20361,06;20388,22;0</t>
  </si>
  <si>
    <t>WIG;20031114;20446,55;20503,53;20376,76;20425,08;0</t>
  </si>
  <si>
    <t>WIG;20031117;20174,48;20174,48;19826,7;19899,74;0</t>
  </si>
  <si>
    <t>WIG;20031118;19874,07;19892,55;19604,94;19674,12;0</t>
  </si>
  <si>
    <t>WIG;20031119;19431,41;19435,25;19225,41;19333,5;0</t>
  </si>
  <si>
    <t>WIG;20031120;19378,26;19385,12;18693,46;18782,83;0</t>
  </si>
  <si>
    <t>WIG;20031121;18851,04;19144,28;18728,83;19144,28;0</t>
  </si>
  <si>
    <t>WIG;20031124;19304,81;19323,61;19083,09;19310,32;0</t>
  </si>
  <si>
    <t>WIG;20031125;19397,43;19401,94;18962,63;18962,63;0</t>
  </si>
  <si>
    <t>WIG;20031126;18960,75;19139,12;18933,94;19056,01;0</t>
  </si>
  <si>
    <t>WIG;20031127;19070,86;19286,27;19043,09;19249,11;0</t>
  </si>
  <si>
    <t>WIG;20031128;19298,87;19365,82;19098,24;19231,52;0</t>
  </si>
  <si>
    <t>WIG;20031201;19354,27;19818,78;19354,27;19818,78;0</t>
  </si>
  <si>
    <t>WIG;20031202;19893,34;20083,59;19750;19850,94;0</t>
  </si>
  <si>
    <t>WIG;20031203;19820,73;19926,2;19582,83;19854,94;0</t>
  </si>
  <si>
    <t>WIG;20031204;19783,44;19836,47;19575,9;19626,04;0</t>
  </si>
  <si>
    <t>WIG;20031205;19523,96;19706,87;19465,64;19610,2;0</t>
  </si>
  <si>
    <t>WIG;20031208;19512,27;20088,5;19483,16;20066,46;0</t>
  </si>
  <si>
    <t>WIG;20031209;20186,93;20362,6;20118,51;20336,97;0</t>
  </si>
  <si>
    <t>WIG;20031210;20169,15;20325,55;20099,58;20297,58;0</t>
  </si>
  <si>
    <t>WIG;20031211;20316,06;20533,29;20290,31;20476,83;0</t>
  </si>
  <si>
    <t>WIG;20031212;20649,12;20882,82;20629,67;20725,98;0</t>
  </si>
  <si>
    <t>WIG;20031215;20941,46;20985,58;20686,42;20733,41;0</t>
  </si>
  <si>
    <t>WIG;20031216;20604,61;20693,37;20474,55;20693,37;0</t>
  </si>
  <si>
    <t>WIG;20031217;20608,97;20669,83;20494,86;20516,22;0</t>
  </si>
  <si>
    <t>WIG;20031218;20457,58;20673,81;20446,33;20637,72;0</t>
  </si>
  <si>
    <t>WIG;20031219;20631,72;20745,09;20510,16;20603,46;0</t>
  </si>
  <si>
    <t>WIG;20031222;20631,53;20683,97;20598,47;20635,98;0</t>
  </si>
  <si>
    <t>WIG;20031223;20672,27;20874,44;20652,36;20862,08;0</t>
  </si>
  <si>
    <t>WIG;20031229;20892,74;20897,48;20725,33;20855,13;0</t>
  </si>
  <si>
    <t>WIG;20031230;20893,04;20907,74;20802,17;20862,15;0</t>
  </si>
  <si>
    <t>WIG;20031231;20811,87;20875,58;20807,93;20820,07;0</t>
  </si>
  <si>
    <t>WIG;20040102;20849,66;21299,37;20848,93;21299,37;0</t>
  </si>
  <si>
    <t>WIG;20040105;21372,83;22063,22;21372,83;22017,8;0</t>
  </si>
  <si>
    <t>WIG;20040106;22053,01;22215,39;21855,74;21953,58;0</t>
  </si>
  <si>
    <t>WIG;20040107;21922,22;22038,21;21761,06;21972,55;0</t>
  </si>
  <si>
    <t>WIG;20040108;22150,16;22380,84;21905,87;21958,3;0</t>
  </si>
  <si>
    <t>WIG;20040109;21985,56;22002,91;21710,17;21813,73;0</t>
  </si>
  <si>
    <t>WIG;20040112;21732,66;22276,67;21596,99;22276,67;0</t>
  </si>
  <si>
    <t>WIG;20040113;22192,62;22474,5;22124,08;22338,16;0</t>
  </si>
  <si>
    <t>WIG;20040114;22279,39;22346,36;21935,1;22012,32;0</t>
  </si>
  <si>
    <t>WIG;20040115;21894,49;22235,01;21796,66;22155,21;0</t>
  </si>
  <si>
    <t>WIG;20040116;22330,35;22344,14;21952,66;22010,2;0</t>
  </si>
  <si>
    <t>WIG;20040119;22068,11;22244,89;22016,83;22144;0</t>
  </si>
  <si>
    <t>WIG;20040120;22228,02;22354,32;22146,95;22238,18;0</t>
  </si>
  <si>
    <t>WIG;20040121;22266,55;22300,06;22072,51;22137,2;0</t>
  </si>
  <si>
    <t>WIG;20040122;22187,89;22496,97;22119,98;22411,71;0</t>
  </si>
  <si>
    <t>WIG;20040123;22432,46;22669;22286,96;22490,12;0</t>
  </si>
  <si>
    <t>WIG;20040126;22462,37;22518,16;22382,33;22518,16;0</t>
  </si>
  <si>
    <t>WIG;20040127;22635;22651;22426,21;22469,07;0</t>
  </si>
  <si>
    <t>WIG;20040128;22199,36;22219,28;21804,36;21829,92;0</t>
  </si>
  <si>
    <t>WIG;20040129;21503,36;21858,33;21441;21751,41;0</t>
  </si>
  <si>
    <t>WIG;20040130;21814,25;21997,74;21690,44;21947,21;0</t>
  </si>
  <si>
    <t>WIG;20040202;22022,23;22329,93;22013,96;22227,67;0</t>
  </si>
  <si>
    <t>WIG;20040203;22283,94;22340,71;22022,88;22063,42;0</t>
  </si>
  <si>
    <t>WIG;20040204;21960,23;22225,48;21933,81;22160,85;0</t>
  </si>
  <si>
    <t>WIG;20040205;22245,63;22404,34;22205,01;22244,16;0</t>
  </si>
  <si>
    <t>WIG;20040206;22278,99;22612,81;22278,99;22512,88;0</t>
  </si>
  <si>
    <t>WIG;20040209;22748,34;23085,1;22723,95;23085,1;0</t>
  </si>
  <si>
    <t>WIG;20040210;23233,79;23352,78;23044,48;23352,78;0</t>
  </si>
  <si>
    <t>WIG;20040211;23307,87;23430,31;23182,33;23259,48;0</t>
  </si>
  <si>
    <t>WIG;20040212;23290,2;23432,05;23283,4;23400,42;0</t>
  </si>
  <si>
    <t>WIG;20040213;23523,07;23562,08;23191,81;23293,96;0</t>
  </si>
  <si>
    <t>WIG;20040216;23211,65;23458,2;23194,68;23448,51;0</t>
  </si>
  <si>
    <t>WIG;20040217;23599,96;23622,67;23407,81;23493,64;0</t>
  </si>
  <si>
    <t>WIG;20040218;23484,14;23574,43;23410,39;23477,31;0</t>
  </si>
  <si>
    <t>WIG;20040219;23373,5;23419,83;23129,04;23187,76;0</t>
  </si>
  <si>
    <t>WIG;20040220;23040,45;23333,88;23009,75;23333,88;0</t>
  </si>
  <si>
    <t>WIG;20040223;23270,51;23327,5;23071,59;23133,04;0</t>
  </si>
  <si>
    <t>WIG;20040224;23006,72;23006,72;22523,62;22586,84;0</t>
  </si>
  <si>
    <t>WIG;20040225;22578,73;22694,29;22479,63;22653,53;0</t>
  </si>
  <si>
    <t>WIG;20040226;22795,05;23004,71;22699,11;22759,79;0</t>
  </si>
  <si>
    <t>WIG;20040227;22853,5;23317,86;22839,32;23317,86;0</t>
  </si>
  <si>
    <t>WIG;20040301;23640,22;23844;23364,51;23844;0</t>
  </si>
  <si>
    <t>WIG;20040302;23891,57;23907,75;23640,93;23811,24;0</t>
  </si>
  <si>
    <t>WIG;20040303;23735,35;23803,08;23604,32;23718,78;0</t>
  </si>
  <si>
    <t>WIG;20040304;23755,42;23755,42;23573,75;23677,32;0</t>
  </si>
  <si>
    <t>WIG;20040305;23717,98;24037,48;23717,98;23858,06;0</t>
  </si>
  <si>
    <t>WIG;20040308;23924,89;24271,29;23924,89;24243,21;0</t>
  </si>
  <si>
    <t>WIG;20040309;24082,1;24084,3;23763,89;23832,67;0</t>
  </si>
  <si>
    <t>WIG;20040310;23660,04;23951,23;23620,03;23910,67;0</t>
  </si>
  <si>
    <t>WIG;20040311;23447,29;23527,08;23290,53;23503,91;0</t>
  </si>
  <si>
    <t>WIG;20040312;23384,36;23705,83;23377,26;23677,41;0</t>
  </si>
  <si>
    <t>WIG;20040315;23661,68;23661,68;23275,18;23275,18;0</t>
  </si>
  <si>
    <t>WIG;20040316;23334,46;23509,11;23227,59;23509,11;0</t>
  </si>
  <si>
    <t>WIG;20040317;23649,17;23733,43;23559,47;23668,68;0</t>
  </si>
  <si>
    <t>WIG;20040318;23595,9;23647,65;23255,65;23309,5;0</t>
  </si>
  <si>
    <t>WIG;20040319;23311;23389,87;22924,17;23089,18;0</t>
  </si>
  <si>
    <t>WIG;20040322;22976,55;23150,3;22963,95;23027,54;0</t>
  </si>
  <si>
    <t>WIG;20040323;23145,76;23355,72;23119,58;23355,72;0</t>
  </si>
  <si>
    <t>WIG;20040324;23457,44;23530,99;23288,45;23353,94;0</t>
  </si>
  <si>
    <t>WIG;20040325;23357,63;23661,49;23336,45;23642,82;0</t>
  </si>
  <si>
    <t>WIG;20040326;23751,66;23840,33;23656,85;23682,14;0</t>
  </si>
  <si>
    <t>WIG;20040329;23670,65;24040,81;23640,7;23863,74;0</t>
  </si>
  <si>
    <t>WIG;20040330;23907,33;24073,6;23887,8;24044,58;0</t>
  </si>
  <si>
    <t>WIG;20040331;23996,58;23996,58;23706,87;23870,12;0</t>
  </si>
  <si>
    <t>WIG;20040401;23846,8;23972,13;23784,8;23883,68;0</t>
  </si>
  <si>
    <t>WIG;20040402;24065,23;24492,61;24065,23;24387,78;0</t>
  </si>
  <si>
    <t>WIG;20040405;24408,58;24572,97;24343,19;24559,35;0</t>
  </si>
  <si>
    <t>WIG;20040406;24489,53;24701,28;24487,41;24559,06;0</t>
  </si>
  <si>
    <t>WIG;20040407;24492,04;24637,84;24459,99;24463,68;0</t>
  </si>
  <si>
    <t>WIG;20040408;24449,23;24736,45;24446,49;24694,14;0</t>
  </si>
  <si>
    <t>WIG;20040413;24852,27;25253,94;24852,27;25206,59;0</t>
  </si>
  <si>
    <t>WIG;20040414;25059,44;25110,93;24920,79;25013,5;0</t>
  </si>
  <si>
    <t>WIG;20040415;25082,35;25196,35;25040,17;25196,35;0</t>
  </si>
  <si>
    <t>WIG;20040416;25125,11;25175,28;24915,65;25059,06;0</t>
  </si>
  <si>
    <t>WIG;20040419;25191,2;25244,08;24926,33;24955,12;0</t>
  </si>
  <si>
    <t>WIG;20040420;25099,49;25140,97;24968,77;25130,82;0</t>
  </si>
  <si>
    <t>WIG;20040421;25086,17;25289,55;25016,21;25158,3;0</t>
  </si>
  <si>
    <t>WIG;20040422;25116,38;25116,38;24394,96;24469,7;0</t>
  </si>
  <si>
    <t>WIG;20040423;24705,14;24765,66;24622,85;24639,75;0</t>
  </si>
  <si>
    <t>WIG;20040426;24542,31;24741,68;24542,31;24613,85;0</t>
  </si>
  <si>
    <t>WIG;20040427;24681,58;24734,87;24410,17;24611,79;0</t>
  </si>
  <si>
    <t>WIG;20040428;24565,26;24701,85;24537,54;24601,56;0</t>
  </si>
  <si>
    <t>WIG;20040429;24424,48;24433,07;23982,1;24100,2;0</t>
  </si>
  <si>
    <t>WIG;20040430;24188,91;24361,69;24090,37;24304,41;0</t>
  </si>
  <si>
    <t>WIG;20040504;24377,34;24633,76;24347,17;24454,64;0</t>
  </si>
  <si>
    <t>WIG;20040505;24543,01;24617,24;24087,86;24126,04;0</t>
  </si>
  <si>
    <t>WIG;20040506;24216,27;24216,27;23780,57;23919,36;0</t>
  </si>
  <si>
    <t>WIG;20040507;23961,95;24040,3;23600,71;23651,06;0</t>
  </si>
  <si>
    <t>WIG;20040510;23109,53;23172,32;22816,2;22962,68;0</t>
  </si>
  <si>
    <t>WIG;20040511;23018,62;23081,75;22506,98;22623,5;0</t>
  </si>
  <si>
    <t>WIG;20040512;22605,56;22998,74;22567,55;22870,31;0</t>
  </si>
  <si>
    <t>WIG;20040513;22993,73;23072,96;22446,44;22523,4;0</t>
  </si>
  <si>
    <t>WIG;20040514;22674,34;22751,29;22620,19;22677,49;0</t>
  </si>
  <si>
    <t>WIG;20040517;22411,92;22849,73;22392,27;22743,79;0</t>
  </si>
  <si>
    <t>WIG;20040518;22971,4;23089,46;22898,52;22984,54;0</t>
  </si>
  <si>
    <t>WIG;20040519;23190,07;23326,86;23146,91;23261,2;0</t>
  </si>
  <si>
    <t>WIG;20040520;23132,08;23320,38;23103,99;23282,2;0</t>
  </si>
  <si>
    <t>WIG;20040521;23327,87;23553,18;23280,31;23280,31;0</t>
  </si>
  <si>
    <t>WIG;20040524;23363,01;23513,05;23155,54;23245,43;0</t>
  </si>
  <si>
    <t>WIG;20040525;23165,12;23259,17;22778,15;22891,66;0</t>
  </si>
  <si>
    <t>WIG;20040526;23046,07;23307,37;22983,87;23290,65;0</t>
  </si>
  <si>
    <t>WIG;20040527;23434,42;23574,45;23326,84;23421,78;0</t>
  </si>
  <si>
    <t>WIG;20040528;23420,18;23541,74;23357,94;23541,74;0</t>
  </si>
  <si>
    <t>WIG;20040531;23631,9;23666,36;23507,82;23607,7;0</t>
  </si>
  <si>
    <t>WIG;20040601;23434,69;23506,94;23356,26;23506,94;0</t>
  </si>
  <si>
    <t>WIG;20040602;23575,4;23900,17;23574,86;23738,38;0</t>
  </si>
  <si>
    <t>WIG;20040603;23716,33;23716,33;23530,24;23665,75;0</t>
  </si>
  <si>
    <t>WIG;20040604;23653,39;23699,78;23472,4;23506,95;0</t>
  </si>
  <si>
    <t>WIG;20040607;23669,04;23775,53;23563,04;23669,64;0</t>
  </si>
  <si>
    <t>WIG;20040608;23758,97;23813,38;23657,73;23673,81;0</t>
  </si>
  <si>
    <t>WIG;20040609;23690,25;23718,15;23370,43;23422,03;0</t>
  </si>
  <si>
    <t>WIG;20040611;23323,26;23471,19;23309,79;23471,19;0</t>
  </si>
  <si>
    <t>WIG;20040614;23219,33;23278,6;23083,75;23157,08;0</t>
  </si>
  <si>
    <t>WIG;20040615;23125,47;23260,42;23053,35;23260,42;0</t>
  </si>
  <si>
    <t>WIG;20040616;23322,64;23356,18;23132,42;23203,13;0</t>
  </si>
  <si>
    <t>WIG;20040617;23187,86;23222,64;22914,41;23007,8;0</t>
  </si>
  <si>
    <t>WIG;20040618;22932,96;23183,79;22932,96;23058,88;0</t>
  </si>
  <si>
    <t>WIG;20040621;23113,4;23437,69;23058,55;23437,69;0</t>
  </si>
  <si>
    <t>WIG;20040622;23371,92;23460,49;23340,02;23385,13;0</t>
  </si>
  <si>
    <t>WIG;20040623;23447,13;23600,19;23447,13;23569,8;0</t>
  </si>
  <si>
    <t>WIG;20040624;23740,99;23750,69;23591,41;23635,15;0</t>
  </si>
  <si>
    <t>WIG;20040625;23675,69;23818,92;23581,35;23818,92;0</t>
  </si>
  <si>
    <t>WIG;20040628;23831,87;23954,25;23802,58;23938,12;0</t>
  </si>
  <si>
    <t>WIG;20040629;23856,13;24000,81;23815,29;24000,81;0</t>
  </si>
  <si>
    <t>WIG;20040630;24008,17;24010,62;23881,56;23949,32;0</t>
  </si>
  <si>
    <t>WIG;20040701;23910,02;23928,12;23822,56;23895,98;0</t>
  </si>
  <si>
    <t>WIG;20040702;23804,22;23804,22;23602,22;23757,22;0</t>
  </si>
  <si>
    <t>WIG;20040705;23667,49;23785,21;23623,77;23770,62;0</t>
  </si>
  <si>
    <t>WIG;20040706;23672,31;23766,67;23606,02;23635,11;0</t>
  </si>
  <si>
    <t>WIG;20040707;23637,76;23766,63;23637,76;23766,63;0</t>
  </si>
  <si>
    <t>WIG;20040708;23741,55;23861,8;23681,3;23861,8;0</t>
  </si>
  <si>
    <t>WIG;20040709;23843,51;23895,75;23740,57;23847,56;0</t>
  </si>
  <si>
    <t>WIG;20040712;23885,07;23920,1;23705,44;23744,85;0</t>
  </si>
  <si>
    <t>WIG;20040713;23762,1;23796,61;23434,82;23526,43;0</t>
  </si>
  <si>
    <t>WIG;20040714;23433,48;23445,12;23317,64;23364,64;0</t>
  </si>
  <si>
    <t>WIG;20040715;23391,15;23497,9;23185,31;23188,88;0</t>
  </si>
  <si>
    <t>WIG;20040716;23258,03;23508,21;23050,88;23508,21;0</t>
  </si>
  <si>
    <t>WIG;20040719;23535,47;23682,34;23480,99;23611,95;0</t>
  </si>
  <si>
    <t>WIG;20040720;23564,37;23724,32;23561,92;23710,7;0</t>
  </si>
  <si>
    <t>WIG;20040721;23864,66;24037,31;23864,27;23994,65;0</t>
  </si>
  <si>
    <t>WIG;20040722;23913,3;23943,96;23745,94;23813,55;0</t>
  </si>
  <si>
    <t>WIG;20040723;23858,57;23966,39;23809,09;23879,13;0</t>
  </si>
  <si>
    <t>WIG;20040726;23899,29;23991,97;23843,49;23913,25;0</t>
  </si>
  <si>
    <t>WIG;20040727;23923,3;23933,45;23709,29;23809,3;0</t>
  </si>
  <si>
    <t>WIG;20040728;23860,43;23860,43;23528,97;23584,33;0</t>
  </si>
  <si>
    <t>WIG;20040729;23642,87;23642,87;23496,89;23628,41;0</t>
  </si>
  <si>
    <t>WIG;20040730;23659,67;23679,91;23527,25;23632,26;0</t>
  </si>
  <si>
    <t>WIG;20040802;23557,14;23660,16;23530,27;23637,73;0</t>
  </si>
  <si>
    <t>WIG;20040803;23652,34;23814,54;23613,78;23786,52;0</t>
  </si>
  <si>
    <t>WIG;20040804;23748,33;23901,8;23717,44;23835,26;0</t>
  </si>
  <si>
    <t>WIG;20040805;23911,07;24051,37;23869,09;23981,22;0</t>
  </si>
  <si>
    <t>WIG;20040806;23884,18;23899,9;23664,16;23736,3;0</t>
  </si>
  <si>
    <t>WIG;20040809;23604,72;23680,78;23315,21;23503;0</t>
  </si>
  <si>
    <t>WIG;20040810;23487,51;23638,09;23443,86;23551,06;0</t>
  </si>
  <si>
    <t>WIG;20040811;23584,45;23598,03;23187,62;23244,96;0</t>
  </si>
  <si>
    <t>WIG;20040812;23232,94;23358,65;23232,94;23324,91;0</t>
  </si>
  <si>
    <t>WIG;20040813;23340,99;23430,09;23226,29;23367,62;0</t>
  </si>
  <si>
    <t>WIG;20040816;23357,93;23480,87;23331,4;23394,2;0</t>
  </si>
  <si>
    <t>WIG;20040817;23370,43;23665,94;23358,14;23623,21;0</t>
  </si>
  <si>
    <t>WIG;20040818;23666,38;23777,84;23635,47;23751,64;0</t>
  </si>
  <si>
    <t>WIG;20040819;23820,33;23870,03;23731,7;23787,9;0</t>
  </si>
  <si>
    <t>WIG;20040820;23759,06;23918,62;23719,86;23917,9;0</t>
  </si>
  <si>
    <t>WIG;20040823;23927,99;24009,99;23895,12;23940,99;0</t>
  </si>
  <si>
    <t>WIG;20040824;23957,01;24224,52;23900,1;24224,52;0</t>
  </si>
  <si>
    <t>WIG;20040825;24195,86;24257,71;23936,3;23961,29;0</t>
  </si>
  <si>
    <t>WIG;20040826;23998,38;23998,38;23840,86;23955,06;0</t>
  </si>
  <si>
    <t>WIG;20040827;23939,44;24179,82;23939,44;24179,82;0</t>
  </si>
  <si>
    <t>WIG;20040830;24102,67;24210,69;24039,82;24132,01;0</t>
  </si>
  <si>
    <t>WIG;20040831;24087,27;24297,93;24049,53;24239,18;0</t>
  </si>
  <si>
    <t>WIG;20040901;24241,74;24400,83;24106,33;24306,21;0</t>
  </si>
  <si>
    <t>WIG;20040902;24311,55;24486,88;24245,09;24364,44;0</t>
  </si>
  <si>
    <t>WIG;20040903;24418,21;24504,77;24352,05;24412,73;0</t>
  </si>
  <si>
    <t>WIG;20040906;24428,25;24537,05;24390,96;24537,05;0</t>
  </si>
  <si>
    <t>WIG;20040907;24555,05;24843,33;24543,82;24838,55;0</t>
  </si>
  <si>
    <t>WIG;20040908;24805,93;25003,74;24775,23;24953,9;0</t>
  </si>
  <si>
    <t>WIG;20040909;24821,44;24852,46;24726,36;24829,52;0</t>
  </si>
  <si>
    <t>WIG;20040910;24869,1;25058,85;24869,1;24939,36;0</t>
  </si>
  <si>
    <t>WIG;20040913;24937,12;25173;24922,57;25094,96;0</t>
  </si>
  <si>
    <t>WIG;20040914;25077,94;25169,97;24933,17;25078,73;0</t>
  </si>
  <si>
    <t>WIG;20040915;24935,42;25184,67;24852,44;25182,21;0</t>
  </si>
  <si>
    <t>WIG;20040916;25233,55;25264,18;25125,43;25185,9;0</t>
  </si>
  <si>
    <t>WIG;20040917;25198,83;25499,97;25174,96;25312,54;0</t>
  </si>
  <si>
    <t>WIG;20040920;25268,66;25366,15;25147,62;25238,82;0</t>
  </si>
  <si>
    <t>WIG;20040921;25315,85;25412,69;25143,57;25272,68;0</t>
  </si>
  <si>
    <t>WIG;20040922;25202,17;25216,76;25061,63;25199,8;0</t>
  </si>
  <si>
    <t>WIG;20040923;25058,73;25089,85;24961,31;25078,12;0</t>
  </si>
  <si>
    <t>WIG;20040924;25023,79;25118,42;24833,82;24869,27;0</t>
  </si>
  <si>
    <t>WIG;20040927;24772,98;24985,37;24730,62;24955,99;0</t>
  </si>
  <si>
    <t>WIG;20040928;24892,34;25145,02;24879,74;25128,67;0</t>
  </si>
  <si>
    <t>WIG;20040929;25165,71;25239,65;25056,17;25190,32;0</t>
  </si>
  <si>
    <t>WIG;20040930;25186,02;25326,88;25172,39;25267,83;0</t>
  </si>
  <si>
    <t>WIG;20041001;25182,96;25283,27;25056,94;25254,9;0</t>
  </si>
  <si>
    <t>WIG;20041004;25483,42;25659,46;25418,33;25619,42;0</t>
  </si>
  <si>
    <t>WIG;20041005;25701,03;25866,93;25670,53;25735,85;0</t>
  </si>
  <si>
    <t>WIG;20041006;25715,74;25773,36;25504,49;25763,58;0</t>
  </si>
  <si>
    <t>WIG;20041007;25852,01;25852,01;25538,54;25723,74;0</t>
  </si>
  <si>
    <t>WIG;20041008;25579,61;25670,18;25367,79;25451;0</t>
  </si>
  <si>
    <t>WIG;20041011;25341,77;25499,56;25256,83;25489,32;0</t>
  </si>
  <si>
    <t>WIG;20041012;25392,12;25428,49;24914,26;24949,89;0</t>
  </si>
  <si>
    <t>WIG;20041013;24963;25065,46;24809,9;24949,06;0</t>
  </si>
  <si>
    <t>WIG;20041014;24707,06;24921,49;24647,95;24736,48;0</t>
  </si>
  <si>
    <t>WIG;20041015;24734,52;24906,03;24710,92;24871,48;0</t>
  </si>
  <si>
    <t>WIG;20041018;24844,86;24879,29;24586,12;24706,01;0</t>
  </si>
  <si>
    <t>WIG;20041019;24783,2;25056,91;24768,28;25050,85;0</t>
  </si>
  <si>
    <t>WIG;20041020;24939,92;24979,36;24774,28;24927,32;0</t>
  </si>
  <si>
    <t>WIG;20041021;24883,06;24982,73;24793,32;24982,73;0</t>
  </si>
  <si>
    <t>WIG;20041022;24915,87;25111,38;24868,38;25020,16;0</t>
  </si>
  <si>
    <t>WIG;20041025;24751,27;24777,3;24639,53;24736,12;0</t>
  </si>
  <si>
    <t>WIG;20041026;24785,52;24849,85;24686,77;24821,66;0</t>
  </si>
  <si>
    <t>WIG;20041027;24811,8;24967,09;24754,53;24949,49;0</t>
  </si>
  <si>
    <t>WIG;20041028;25168,82;25246,89;24855,85;24986,95;0</t>
  </si>
  <si>
    <t>WIG;20041029;25037,74;25448,82;25037,74;25419,31;0</t>
  </si>
  <si>
    <t>WIG;20041102;25643,65;25888,21;25615,1;25781,86;0</t>
  </si>
  <si>
    <t>WIG;20041103;25853,01;25886,71;25521,07;25572,8;0</t>
  </si>
  <si>
    <t>WIG;20041104;25534,25;25739,56;25366,63;25503,64;0</t>
  </si>
  <si>
    <t>WIG;20041105;25424,96;25511,51;25212,41;25327,69;0</t>
  </si>
  <si>
    <t>WIG;20041108;25465,11;25477,25;25088,13;25160,94;0</t>
  </si>
  <si>
    <t>WIG;20041109;25197,27;25554,52;25058,29;25554,52;0</t>
  </si>
  <si>
    <t>WIG;20041110;25568,31;25626,63;25421,07;25521,35;0</t>
  </si>
  <si>
    <t>WIG;20041112;25734,06;25900,79;25539,79;25623,95;0</t>
  </si>
  <si>
    <t>WIG;20041115;25732,19;25745,52;25289,91;25312,73;0</t>
  </si>
  <si>
    <t>WIG;20041116;25276,42;25301,51;25024,04;25205,62;0</t>
  </si>
  <si>
    <t>WIG;20041117;25241,32;25452,49;25181,88;25277,89;0</t>
  </si>
  <si>
    <t>WIG;20041118;25338,37;25396,47;25192,47;25332,93;0</t>
  </si>
  <si>
    <t>WIG;20041119;25393,04;25443,13;25283,76;25309,54;0</t>
  </si>
  <si>
    <t>WIG;20041122;25163,92;25188,62;25000,65;25133,17;0</t>
  </si>
  <si>
    <t>WIG;20041123;25129,22;25191,82;24866,25;24887,11;0</t>
  </si>
  <si>
    <t>WIG;20041124;24844,82;24871;24635,96;24852,84;0</t>
  </si>
  <si>
    <t>WIG;20041125;24838,71;25153,18;24790,81;25153,18;0</t>
  </si>
  <si>
    <t>WIG;20041126;25215,55;25268,42;25072,63;25268,42;0</t>
  </si>
  <si>
    <t>WIG;20041129;25294,35;25393,05;25245,29;25305,15;0</t>
  </si>
  <si>
    <t>WIG;20041130;25268,86;25424,73;25208,4;25424,73;0</t>
  </si>
  <si>
    <t>WIG;20041201;25403,46;25621,27;25306,48;25621,27;0</t>
  </si>
  <si>
    <t>WIG;20041202;25764,27;26107,21;25679,71;26107,21;0</t>
  </si>
  <si>
    <t>WIG;20041203;26143,99;26143,99;25906,18;26040,17;0</t>
  </si>
  <si>
    <t>WIG;20041206;25961,33;25969,66;25803,36;25917,79;0</t>
  </si>
  <si>
    <t>WIG;20041207;25896,52;26067,84;25811,1;26067,84;0</t>
  </si>
  <si>
    <t>WIG;20041208;25976,6;26047,48;25867,4;25917,13;0</t>
  </si>
  <si>
    <t>WIG;20041209;25876,74;25876,74;25603,5;25682,69;0</t>
  </si>
  <si>
    <t>WIG;20041210;25723,37;25803,42;25641,89;25653,67;0</t>
  </si>
  <si>
    <t>WIG;20041213;25683,01;25814,61;25519,67;25725,89;0</t>
  </si>
  <si>
    <t>WIG;20041214;25764,58;25835,62;25596,87;25664,91;0</t>
  </si>
  <si>
    <t>WIG;20041215;25695,44;25839,42;25658,6;25839,42;0</t>
  </si>
  <si>
    <t>WIG;20041216;25843,85;26152,39;25843,85;26152,39;0</t>
  </si>
  <si>
    <t>WIG;20041217;26206,15;26210,76;26046,15;26206,21;0</t>
  </si>
  <si>
    <t>WIG;20041220;26248,14;26476,65;26235,31;26476,65;0</t>
  </si>
  <si>
    <t>WIG;20041221;26439,91;26439,91;26260,06;26363,24;0</t>
  </si>
  <si>
    <t>WIG;20041222;26361,46;26465,7;26039,73;26201,46;0</t>
  </si>
  <si>
    <t>WIG;20041223;26196,27;26282,72;26032,67;26048,99;0</t>
  </si>
  <si>
    <t>WIG;20041224;26044,17;26152,41;25967,28;26152,41;0</t>
  </si>
  <si>
    <t>WIG;20041227;26140,43;26203,01;26041,71;26203,01;0</t>
  </si>
  <si>
    <t>WIG;20041228;26197,25;26197,25;25965,98;26060,85;0</t>
  </si>
  <si>
    <t>WIG;20041229;26074,3;26470,99;26041,44;26470,99;0</t>
  </si>
  <si>
    <t>WIG;20041230;26470,71;26587,22;26466,27;26576,86;0</t>
  </si>
  <si>
    <t>WIG;20041231;26606,38;26691,68;26573,4;26636,19;0</t>
  </si>
  <si>
    <t>WIG;20050103;26669,89;26903,46;26614,93;26709,54;0</t>
  </si>
  <si>
    <t>WIG;20050104;26587,61;26637,74;26383,65;26567,4;0</t>
  </si>
  <si>
    <t>WIG;20050105;26311,87;26311,87;26052,61;26052,61;0</t>
  </si>
  <si>
    <t>WIG;20050106;25928,62;26013,5;25792,46;25886,84;0</t>
  </si>
  <si>
    <t>WIG;20050107;25918,65;25974,32;25726,32;25931,41;0</t>
  </si>
  <si>
    <t>WIG;20050110;25916,51;25931,62;25672,22;25752,76;0</t>
  </si>
  <si>
    <t>WIG;20050111;25806,57;25854,25;25626,25;25626,25;0</t>
  </si>
  <si>
    <t>WIG;20050112;25663,8;25800,01;25652,78;25716,82;0</t>
  </si>
  <si>
    <t>WIG;20050113;25850,2;25904,75;25776,25;25813,12;0</t>
  </si>
  <si>
    <t>WIG;20050114;25771,95;25779,31;25647,55;25767,07;0</t>
  </si>
  <si>
    <t>WIG;20050117;25830,03;25842,32;25630,89;25792,33;0</t>
  </si>
  <si>
    <t>WIG;20050118;25604,48;25666,93;25236,31;25278,43;0</t>
  </si>
  <si>
    <t>WIG;20050119;25138,04;25444,04;25062,76;25390,45;0</t>
  </si>
  <si>
    <t>WIG;20050120;25223,5;25398,87;25145,8;25333,68;0</t>
  </si>
  <si>
    <t>WIG;20050121;25250,89;25314,01;25117,98;25206,5;0</t>
  </si>
  <si>
    <t>WIG;20050124;25047,79;25224,11;24966,02;25224,11;0</t>
  </si>
  <si>
    <t>WIG;20050125;25279,08;25480,7;25258,62;25421,42;0</t>
  </si>
  <si>
    <t>WIG;20050126;25476,56;25597,73;25413,71;25582,91;0</t>
  </si>
  <si>
    <t>WIG;20050127;25590,94;25762,85;25567,05;25690,17;0</t>
  </si>
  <si>
    <t>WIG;20050128;25725,06;25860,73;25674,33;25792,27;0</t>
  </si>
  <si>
    <t>WIG;20050131;25858,64;26010,14;25804,16;25992,99;0</t>
  </si>
  <si>
    <t>WIG;20050201;25988;26313,54;25978,94;26297,25;0</t>
  </si>
  <si>
    <t>WIG;20050202;26320,45;26350,42;26214,11;26231,06;0</t>
  </si>
  <si>
    <t>WIG;20050203;26238,77;26397,91;26200,08;26282,9;0</t>
  </si>
  <si>
    <t>WIG;20050204;26299,64;26638,88;26294,18;26638,88;0</t>
  </si>
  <si>
    <t>WIG;20050207;26765;26934,29;26676,48;26934,29;0</t>
  </si>
  <si>
    <t>WIG;20050208;26902,87;26952,11;26765,9;26851,06;0</t>
  </si>
  <si>
    <t>WIG;20050209;26757,32;26849,74;26610,61;26719,79;0</t>
  </si>
  <si>
    <t>WIG;20050210;26691,96;27026,88;26620,14;26877,29;0</t>
  </si>
  <si>
    <t>WIG;20050211;26920,5;26953,71;26812,09;26812,09;0</t>
  </si>
  <si>
    <t>WIG;20050214;26859,6;27009,02;26809,34;26809,34;0</t>
  </si>
  <si>
    <t>WIG;20050215;26800,51;26970,46;26782,55;26964,64;0</t>
  </si>
  <si>
    <t>WIG;20050216;27001,99;27572,84;27001,99;27500,69;0</t>
  </si>
  <si>
    <t>WIG;20050217;27644,66;27905,79;27644,66;27800,77;0</t>
  </si>
  <si>
    <t>WIG;20050218;27706;28124,42;27649,33;27752,76;0</t>
  </si>
  <si>
    <t>WIG;20050221;27669,84;28087,68;27659,4;28019,21;0</t>
  </si>
  <si>
    <t>WIG;20050222;28096,55;28159,19;27719,61;27873,45;0</t>
  </si>
  <si>
    <t>WIG;20050223;27644,44;27801,07;27574,84;27793,65;0</t>
  </si>
  <si>
    <t>WIG;20050224;27905,41;28088,53;27867,57;28073,17;0</t>
  </si>
  <si>
    <t>WIG;20050225;28397,6;28555,94;28287,4;28547,1;0</t>
  </si>
  <si>
    <t>WIG;20050228;28644,48;28681,53;28171,77;28294,49;0</t>
  </si>
  <si>
    <t>WIG;20050301;28145,07;28291,28;27860,09;28227,26;0</t>
  </si>
  <si>
    <t>WIG;20050302;27894,55;28013,88;27434,67;27434,67;0</t>
  </si>
  <si>
    <t>WIG;20050303;27409,74;27660,29;27409,74;27580,53;0</t>
  </si>
  <si>
    <t>WIG;20050304;27729,77;27857,43;27584,74;27841,23;0</t>
  </si>
  <si>
    <t>WIG;20050307;27992,68;28239,52;27803,98;28007,8;0</t>
  </si>
  <si>
    <t>WIG;20050308;27930,93;28087,26;27808,07;27901,05;0</t>
  </si>
  <si>
    <t>WIG;20050309;27948,85;28336,98;27939,78;28218,78;0</t>
  </si>
  <si>
    <t>WIG;20050310;28161,38;28161,38;27847,36;27992,72;0</t>
  </si>
  <si>
    <t>WIG;20050311;27959,64;27965,64;27563,25;27613,97;0</t>
  </si>
  <si>
    <t>WIG;20050314;27562,76;27577,03;27226,2;27301,23;0</t>
  </si>
  <si>
    <t>WIG;20050315;27352,09;27466,18;27282,74;27347,46;0</t>
  </si>
  <si>
    <t>WIG;20050316;27122,49;27131,84;26647,76;26807,67;0</t>
  </si>
  <si>
    <t>WIG;20050317;26718,75;26863,67;26597,41;26623,79;0</t>
  </si>
  <si>
    <t>WIG;20050318;26786,8;26929,04;26786,8;26850;0</t>
  </si>
  <si>
    <t>WIG;20050321;26904,48;26967,94;26401,13;26411,82;0</t>
  </si>
  <si>
    <t>WIG;20050322;26456,51;26840,65;26439,79;26840,65;0</t>
  </si>
  <si>
    <t>WIG;20050323;26529,6;26844,36;26482,25;26801,99;0</t>
  </si>
  <si>
    <t>WIG;20050324;26945,08;27032,61;26860,1;26908,71;0</t>
  </si>
  <si>
    <t>WIG;20050329;26912,73;26912,73;26691,65;26901,25;0</t>
  </si>
  <si>
    <t>WIG;20050330;26905,31;27079,58;26843,87;27023,61;0</t>
  </si>
  <si>
    <t>WIG;20050331;27187,4;27371,37;27061,79;27268,07;0</t>
  </si>
  <si>
    <t>WIG;20050401;27356,77;27542,33;27197,35;27197,35;0</t>
  </si>
  <si>
    <t>WIG;20050404;27267,06;27388,94;27032,3;27178,62;0</t>
  </si>
  <si>
    <t>WIG;20050405;27200,38;27479,74;27147,76;27419,37;0</t>
  </si>
  <si>
    <t>WIG;20050406;27395,3;27582,96;27349,65;27582,96;0</t>
  </si>
  <si>
    <t>WIG;20050407;27596,99;27636,75;27260,18;27335,08;0</t>
  </si>
  <si>
    <t>WIG;20050411;27182,94;27358,29;27126,89;27358,29;0</t>
  </si>
  <si>
    <t>WIG;20050412;27350,8;27388,56;27256,54;27325,74;0</t>
  </si>
  <si>
    <t>WIG;20050413;27382,1;27500,75;27267,48;27311,18;0</t>
  </si>
  <si>
    <t>WIG;20050414;27146,01;27204,1;26958,58;27047,14;0</t>
  </si>
  <si>
    <t>WIG;20050415;26870,54;26904,7;26733,56;26865,92;0</t>
  </si>
  <si>
    <t>WIG;20050418;26498,2;26520,88;26208,46;26345,42;0</t>
  </si>
  <si>
    <t>WIG;20050419;26356,21;26398,46;26221,07;26340,77;0</t>
  </si>
  <si>
    <t>WIG;20050420;26381,69;26450,37;26082,65;26082,65;0</t>
  </si>
  <si>
    <t>WIG;20050421;26113,29;26342,65;26113,29;26342,65;0</t>
  </si>
  <si>
    <t>WIG;20050422;26485,13;26603,41;26483,36;26534,04;0</t>
  </si>
  <si>
    <t>WIG;20050425;26539,89;26667,99;26502,29;26565,22;0</t>
  </si>
  <si>
    <t>WIG;20050426;26554,17;26554,47;26266,2;26311,65;0</t>
  </si>
  <si>
    <t>WIG;20050427;26248,69;26248,69;25804,9;25939,43;0</t>
  </si>
  <si>
    <t>WIG;20050428;25868,02;25948,63;25677,1;25726,44;0</t>
  </si>
  <si>
    <t>WIG;20050429;25809,66;25933;25737,93;25813,59;0</t>
  </si>
  <si>
    <t>WIG;20050502;25894,23;25951,88;25851,05;25887,04;0</t>
  </si>
  <si>
    <t>WIG;20050504;25995,44;26098,14;25795,01;25856,91;0</t>
  </si>
  <si>
    <t>WIG;20050505;26026,81;26185,54;25891,21;25975,86;0</t>
  </si>
  <si>
    <t>WIG;20050506;26062,43;26088,35;25779,9;25977,64;0</t>
  </si>
  <si>
    <t>WIG;20050509;25988,95;26048,5;25855,53;26000,59;0</t>
  </si>
  <si>
    <t>WIG;20050510;26025,53;26025,53;25570,39;25624,19;0</t>
  </si>
  <si>
    <t>WIG;20050511;25530,6;25814,82;25530,35;25736,82;0</t>
  </si>
  <si>
    <t>WIG;20050512;25841,65;25976,54;25772,2;25839,03;0</t>
  </si>
  <si>
    <t>WIG;20050513;25743,87;25838,61;25626,42;25662,59;0</t>
  </si>
  <si>
    <t>WIG;20050516;25662,11;25678;25514,25;25617,02;0</t>
  </si>
  <si>
    <t>WIG;20050517;25647,53;25718,46;25466,48;25718,46;0</t>
  </si>
  <si>
    <t>WIG;20050518;25807,66;26092,87;25771,9;26092,87;0</t>
  </si>
  <si>
    <t>WIG;20050519;26215,01;26263,37;26112,95;26187,95;0</t>
  </si>
  <si>
    <t>WIG;20050520;26166,12;26396,49;26156,33;26324;0</t>
  </si>
  <si>
    <t>WIG;20050523;26320,22;26324,02;26195,17;26303,65;0</t>
  </si>
  <si>
    <t>WIG;20050524;26311,66;26311,66;26072,31;26216,36;0</t>
  </si>
  <si>
    <t>WIG;20050525;26227,47;26325,88;26209,31;26279,48;0</t>
  </si>
  <si>
    <t>WIG;20050527;26407,32;26712,73;26407,32;26712,73;0</t>
  </si>
  <si>
    <t>WIG;20050530;26750,27;26832,3;26654,83;26744,52;0</t>
  </si>
  <si>
    <t>WIG;20050531;26697,26;26787,4;26647,28;26744,36;0</t>
  </si>
  <si>
    <t>WIG;20050601;26602,4;26671,42;26427,39;26499,16;0</t>
  </si>
  <si>
    <t>WIG;20050602;26567,63;26852,51;26559,36;26793,57;0</t>
  </si>
  <si>
    <t>WIG;20050603;26901,4;27021,17;26847,85;26974,61;0</t>
  </si>
  <si>
    <t>WIG;20050606;26985,91;27335,87;26954,79;27335,87;0</t>
  </si>
  <si>
    <t>WIG;20050607;27400,84;27452,29;27234,47;27441,93;0</t>
  </si>
  <si>
    <t>WIG;20050608;27311,36;27456,09;27284,17;27425,43;0</t>
  </si>
  <si>
    <t>WIG;20050609;27396,56;27521,19;27331,9;27521,19;0</t>
  </si>
  <si>
    <t>WIG;20050610;27568,52;27661,72;27540,86;27574,66;0</t>
  </si>
  <si>
    <t>WIG;20050613;27499,31;27781,46;27476,63;27688,28;0</t>
  </si>
  <si>
    <t>WIG;20050614;27731;27787,15;27366,25;27465,18;0</t>
  </si>
  <si>
    <t>WIG;20050615;27432,15;27827,4;27432,15;27827,4;0</t>
  </si>
  <si>
    <t>WIG;20050616;27891,35;27939,27;27748,21;27819,48;0</t>
  </si>
  <si>
    <t>WIG;20050617;27808,29;27985,85;27792,99;27985,85;0</t>
  </si>
  <si>
    <t>WIG;20050620;27945,44;28122,7;27944,3;27996,8;0</t>
  </si>
  <si>
    <t>WIG;20050621;28042,38;28104,81;27976,64;28041,32;0</t>
  </si>
  <si>
    <t>WIG;20050622;28037,71;28413,72;28037,71;28394,28;0</t>
  </si>
  <si>
    <t>WIG;20050623;28530,77;28550,53;28182,28;28336,22;0</t>
  </si>
  <si>
    <t>WIG;20050624;28122,71;28167,28;27952,01;28071,26;0</t>
  </si>
  <si>
    <t>WIG;20050627;27997,62;27997,62;27802,21;27899,23;0</t>
  </si>
  <si>
    <t>WIG;20050628;27959,63;28137,96;27959,63;28108,72;0</t>
  </si>
  <si>
    <t>WIG;20050629;28165,8;28194,2;28039,97;28089,84;0</t>
  </si>
  <si>
    <t>WIG;20050630;28046,48;28355,74;28015,64;28332,05;0</t>
  </si>
  <si>
    <t>WIG;20050701;28308,71;28620,07;28278,55;28620,07;0</t>
  </si>
  <si>
    <t>WIG;20050704;28680,64;28891,18;28675,45;28884,29;0</t>
  </si>
  <si>
    <t>WIG;20050705;28896,11;29037,66;28654,84;28748,36;0</t>
  </si>
  <si>
    <t>WIG;20050706;28760,89;28921,74;28750,94;28908,94;0</t>
  </si>
  <si>
    <t>WIG;20050707;28796,92;28812,76;28159,43;28564,5;0</t>
  </si>
  <si>
    <t>WIG;20050708;28655,42;28925,62;28655,42;28925,62;0</t>
  </si>
  <si>
    <t>WIG;20050711;29067,44;29132,67;28824,21;28922;0</t>
  </si>
  <si>
    <t>WIG;20050712;28941,44;29248,18;28851,67;29248,18;0</t>
  </si>
  <si>
    <t>WIG;20050713;29240,67;29531,87;29200,63;29480,61;0</t>
  </si>
  <si>
    <t>WIG;20050714;29525,7;29567,74;29413,47;29516,37;0</t>
  </si>
  <si>
    <t>WIG;20050715;29461,36;29544,72;29391,9;29430,52;0</t>
  </si>
  <si>
    <t>WIG;20050718;29412,71;29561,76;29238,99;29238,99;0</t>
  </si>
  <si>
    <t>WIG;20050719;29257,13;29347,08;29150,25;29332,47;0</t>
  </si>
  <si>
    <t>WIG;20050720;29434,38;29663,35;29408,68;29501,51;0</t>
  </si>
  <si>
    <t>WIG;20050721;29625,67;29634,05;29363,12;29363,12;0</t>
  </si>
  <si>
    <t>WIG;20050722;29368,35;29406,43;29007,58;29165,53;0</t>
  </si>
  <si>
    <t>WIG;20050725;29245,77;29430,01;29178,11;29377,4;0</t>
  </si>
  <si>
    <t>WIG;20050726;29455,21;29671,59;29415,17;29601,54;0</t>
  </si>
  <si>
    <t>WIG;20050727;29723,47;29899,2;29556,95;29870,06;0</t>
  </si>
  <si>
    <t>WIG;20050728;29903,1;30239,88;29903,1;30239,88;0</t>
  </si>
  <si>
    <t>WIG;20050729;30271,93;30488,4;30271,93;30448,31;0</t>
  </si>
  <si>
    <t>WIG;20050801;30408,01;30665,36;30370,16;30665,36;0</t>
  </si>
  <si>
    <t>WIG;20050802;30790,41;31222,63;30790,41;31189,89;0</t>
  </si>
  <si>
    <t>WIG;20050803;31091,43;31129,74;30740,21;30813,37;0</t>
  </si>
  <si>
    <t>WIG;20050804;30650,93;30914,78;30518,04;30880,87;0</t>
  </si>
  <si>
    <t>WIG;20050805;30872;31049,31;30818,97;30907,2;0</t>
  </si>
  <si>
    <t>WIG;20050808;30956,12;31368,59;30945,02;31314,81;0</t>
  </si>
  <si>
    <t>WIG;20050809;31367,4;31449,25;31141,72;31320,17;0</t>
  </si>
  <si>
    <t>WIG;20050810;31338,81;31467,68;30941,55;31055,32;0</t>
  </si>
  <si>
    <t>WIG;20050811;31034,85;31180,76;30874,45;30968,19;0</t>
  </si>
  <si>
    <t>WIG;20050812;30717,4;30850,21;30633,49;30736,04;0</t>
  </si>
  <si>
    <t>WIG;20050816;30895,07;31045,37;30837;31008,13;0</t>
  </si>
  <si>
    <t>WIG;20050817;30986,35;31015,04;30777,05;30890,68;0</t>
  </si>
  <si>
    <t>WIG;20050818;30788,12;30839,39;30442,59;30562,59;0</t>
  </si>
  <si>
    <t>WIG;20050819;30553,49;30582,79;30414,63;30548,51;0</t>
  </si>
  <si>
    <t>WIG;20050822;30563,49;30741,54;30553,42;30698,11;0</t>
  </si>
  <si>
    <t>WIG;20050823;30695,96;30707,94;30477,64;30707,94;0</t>
  </si>
  <si>
    <t>WIG;20050824;30683,25;30863,36;30656,94;30697,39;0</t>
  </si>
  <si>
    <t>WIG;20050825;30598,01;30711,78;30496,12;30614,97;0</t>
  </si>
  <si>
    <t>WIG;20050826;30623,37;30968,31;30623,37;30917,73;0</t>
  </si>
  <si>
    <t>WIG;20050829;30895,95;31090,63;30871,67;31090,63;0</t>
  </si>
  <si>
    <t>WIG;20050830;31148,63;31391,97;31148,63;31362,39;0</t>
  </si>
  <si>
    <t>WIG;20050831;31559,68;31631,4;31268,13;31364,29;0</t>
  </si>
  <si>
    <t>WIG;20050901;31479,57;31959,84;31479,57;31884,02;0</t>
  </si>
  <si>
    <t>WIG;20050902;32000,56;32171,8;31800,79;31959,33;0</t>
  </si>
  <si>
    <t>WIG;20050905;31877,59;31975,14;31706,86;31706,86;0</t>
  </si>
  <si>
    <t>WIG;20050906;31696,51;31867,64;31681,73;31867,64;0</t>
  </si>
  <si>
    <t>WIG;20050907;31918,55;31980,13;31626,33;31893,73;0</t>
  </si>
  <si>
    <t>WIG;20050908;31863,39;31904,64;31698,06;31734,5;0</t>
  </si>
  <si>
    <t>WIG;20050909;31828,12;32132,65;31828,12;32084,46;0</t>
  </si>
  <si>
    <t>WIG;20050912;32214,11;32426,52;32150,53;32426,52;0</t>
  </si>
  <si>
    <t>WIG;20050913;32621,91;32682,01;32428,31;32428,31;0</t>
  </si>
  <si>
    <t>WIG;20050914;32330,42;32468,53;32221,01;32468,53;0</t>
  </si>
  <si>
    <t>WIG;20050915;32403,76;33019,29;32403,76;32916,96;0</t>
  </si>
  <si>
    <t>WIG;20050916;33054,57;33308,67;32965,4;33256,34;0</t>
  </si>
  <si>
    <t>WIG;20050919;33340,08;33960,18;33235,32;33916,85;0</t>
  </si>
  <si>
    <t>WIG;20050920;34278,09;34343,46;33415,15;33756,89;0</t>
  </si>
  <si>
    <t>WIG;20050921;33604,94;33620,37;33337,26;33535,21;0</t>
  </si>
  <si>
    <t>WIG;20050922;33442,64;33673,05;33363,68;33440,06;0</t>
  </si>
  <si>
    <t>WIG;20050923;33404,09;33420,45;32890,44;33223,87;0</t>
  </si>
  <si>
    <t>WIG;20050926;33121,54;33595,96;32921,13;33482,25;0</t>
  </si>
  <si>
    <t>WIG;20050927;33577,35;33881,65;33446,33;33761,72;0</t>
  </si>
  <si>
    <t>WIG;20050928;33947,55;34038,28;33348,63;33384,68;0</t>
  </si>
  <si>
    <t>WIG;20050929;33317,81;33522,34;33224,42;33418,46;0</t>
  </si>
  <si>
    <t>WIG;20050930;33613,31;33801,42;33476,24;33801,17;0</t>
  </si>
  <si>
    <t>WIG;20051003;33898,06;34281,24;33598,56;34281,24;0</t>
  </si>
  <si>
    <t>WIG;20051004;34357,89;34359,98;34132,93;34179,37;0</t>
  </si>
  <si>
    <t>WIG;20051005;33885,6;33949,09;33675,46;33708,53;0</t>
  </si>
  <si>
    <t>WIG;20051006;33233,05;33233,05;32554,31;32700,55;0</t>
  </si>
  <si>
    <t>WIG;20051007;32532,21;32739,9;32349,72;32700,71;0</t>
  </si>
  <si>
    <t>WIG;20051010;32823,43;33074,8;32679,72;32709,1;0</t>
  </si>
  <si>
    <t>WIG;20051011;32839,27;33153,45;32839,27;33153,19;0</t>
  </si>
  <si>
    <t>WIG;20051012;33135,4;33137,17;32815,68;32891,81;0</t>
  </si>
  <si>
    <t>WIG;20051013;32769,05;32769,05;31759,06;31792,59;0</t>
  </si>
  <si>
    <t>WIG;20051014;31633,55;31812,06;31330,75;31599,89;0</t>
  </si>
  <si>
    <t>WIG;20051017;31822,32;32079,34;31822,32;31842,32;0</t>
  </si>
  <si>
    <t>WIG;20051018;32122,14;32208,07;31741,96;31899,11;0</t>
  </si>
  <si>
    <t>WIG;20051019;31439,86;31449,45;31109,79;31271,9;0</t>
  </si>
  <si>
    <t>WIG;20051020;31694,92;31784,33;31558,19;31761,22;0</t>
  </si>
  <si>
    <t>WIG;20051021;31682,18;31847,03;31559,98;31727,44;0</t>
  </si>
  <si>
    <t>WIG;20051024;31711,02;32023,28;31711,02;31870,61;0</t>
  </si>
  <si>
    <t>WIG;20051025;32033,48;32197,78;31920,27;32146,66;0</t>
  </si>
  <si>
    <t>WIG;20051026;32297,12;32384,85;31617,69;31986,97;0</t>
  </si>
  <si>
    <t>WIG;20051027;31444,03;31593,74;31336,16;31549,78;0</t>
  </si>
  <si>
    <t>WIG;20051028;31346,61;31757,1;31214,57;31728,5;0</t>
  </si>
  <si>
    <t>WIG;20051031;31937,43;32252,28;31911,03;32024,41;0</t>
  </si>
  <si>
    <t>WIG;20051102;32482,82;32801,74;32324,5;32801,74;0</t>
  </si>
  <si>
    <t>WIG;20051103;32954,25;33183,4;32737,51;33178,91;0</t>
  </si>
  <si>
    <t>WIG;20051104;33224,04;33317,63;33021,17;33317,63;0</t>
  </si>
  <si>
    <t>WIG;20051107;33172,38;33172,38;32780,64;33084,75;0</t>
  </si>
  <si>
    <t>WIG;20051108;32996,05;33039,06;32880,63;32989,06;0</t>
  </si>
  <si>
    <t>WIG;20051109;32942,05;33034,99;32854,97;33026,89;0</t>
  </si>
  <si>
    <t>WIG;20051110;33160,38;33217,3;32761,2;33012,91;0</t>
  </si>
  <si>
    <t>WIG;20051114;33347,53;33377,27;32861,18;33131,51;0</t>
  </si>
  <si>
    <t>WIG;20051115;33256,17;33256,17;32901,03;33079,31;0</t>
  </si>
  <si>
    <t>WIG;20051116;33123,07;33270,45;32789,5;33001,54;0</t>
  </si>
  <si>
    <t>WIG;20051117;33131,16;33590,18;33081,48;33590,18;0</t>
  </si>
  <si>
    <t>WIG;20051118;33854,83;33909,63;33564,92;33667,04;0</t>
  </si>
  <si>
    <t>WIG;20051121;33762,75;33777,98;33405,9;33405,9;0</t>
  </si>
  <si>
    <t>WIG;20051122;33563,69;33605,37;33119,93;33119,93;0</t>
  </si>
  <si>
    <t>WIG;20051123;33206,61;33368,22;33102,41;33275,03;0</t>
  </si>
  <si>
    <t>WIG;20051124;33372,98;33387,41;33191,37;33299,94;0</t>
  </si>
  <si>
    <t>WIG;20051125;33433,75;33433,75;33195,95;33392,83;0</t>
  </si>
  <si>
    <t>WIG;20051128;33574,23;33779,77;33482,95;33635,64;0</t>
  </si>
  <si>
    <t>WIG;20051129;33569,9;33749,78;33414,34;33749,78;0</t>
  </si>
  <si>
    <t>WIG;20051130;33710,88;34017,83;33626,43;33926,06;0</t>
  </si>
  <si>
    <t>WIG;20051201;34012,14;34167,02;33960,81;34111,29;0</t>
  </si>
  <si>
    <t>WIG;20051202;34391,88;34480,66;34080,41;34480,66;0</t>
  </si>
  <si>
    <t>WIG;20051205;34503,59;34635,74;34287,86;34370,99;0</t>
  </si>
  <si>
    <t>WIG;20051206;34360,06;34364,86;33999,7;34147,53;0</t>
  </si>
  <si>
    <t>WIG;20051207;34213,73;34481,24;34148,98;34481,24;0</t>
  </si>
  <si>
    <t>WIG;20051208;34368,22;34482,04;34362,83;34447,54;0</t>
  </si>
  <si>
    <t>WIG;20051209;34478,57;34489,65;34150,41;34333,89;0</t>
  </si>
  <si>
    <t>WIG;20051212;34392,81;34550,2;34333,9;34497,14;0</t>
  </si>
  <si>
    <t>WIG;20051213;34524,41;34617,71;34426,23;34434,25;0</t>
  </si>
  <si>
    <t>WIG;20051214;34474,25;34833,17;34425,79;34803,12;0</t>
  </si>
  <si>
    <t>WIG;20051215;34826,51;35005,81;34702,65;34716,76;0</t>
  </si>
  <si>
    <t>WIG;20051216;34740,36;34914,59;34586,96;34821,8;0</t>
  </si>
  <si>
    <t>WIG;20051219;34917,6;35013,55;34822,14;34942,1;0</t>
  </si>
  <si>
    <t>WIG;20051220;34911,01;35428,86;34887,15;35343,41;0</t>
  </si>
  <si>
    <t>WIG;20051221;35428,37;35550,62;35384,74;35537,63;0</t>
  </si>
  <si>
    <t>WIG;20051222;35571,66;35618,77;35390,3;35502,94;0</t>
  </si>
  <si>
    <t>WIG;20051223;35481,22;35733,8;35458,38;35730,36;0</t>
  </si>
  <si>
    <t>WIG;20051227;35672,46;36068,56;35665,67;36068,56;0</t>
  </si>
  <si>
    <t>WIG;20051228;36082,18;36082,18;35766,66;35854,93;0</t>
  </si>
  <si>
    <t>WIG;20051229;35922,19;36018,96;35821,06;35983,24;0</t>
  </si>
  <si>
    <t>WIG;20051230;35881,36;35881,36;35511,44;35600,79;0</t>
  </si>
  <si>
    <t>WIG;20060102;35466,39;36046,58;35324,53;36046,58;0</t>
  </si>
  <si>
    <t>WIG;20060103;36153,49;36953,49;36100,75;36814,06;0</t>
  </si>
  <si>
    <t>WIG;20060104;37225,05;37631,17;37104,29;37631,17;0</t>
  </si>
  <si>
    <t>WIG;20060105;37663,39;37697,07;37428,36;37603,47;0</t>
  </si>
  <si>
    <t>WIG;20060106;37674,73;38136,62;37484,34;37921,06;0</t>
  </si>
  <si>
    <t>WIG;20060109;38271,54;38591,68;37798,66;37798,66;0</t>
  </si>
  <si>
    <t>WIG;20060110;37753,22;37865,55;37435,49;37435,49;0</t>
  </si>
  <si>
    <t>WIG;20060111;37750,6;38161,37;37677,24;38090,99;0</t>
  </si>
  <si>
    <t>WIG;20060112;38051,66;38085,32;37796,17;38071,1;0</t>
  </si>
  <si>
    <t>WIG;20060113;37681,09;37735,97;37495;37599,52;0</t>
  </si>
  <si>
    <t>WIG;20060116;37547,29;38140,12;37494,62;38138,21;0</t>
  </si>
  <si>
    <t>WIG;20060117;38099,21;38217,65;37931,06;38129,38;0</t>
  </si>
  <si>
    <t>WIG;20060118;37479,11;37888,91;37405,52;37854,94;0</t>
  </si>
  <si>
    <t>WIG;20060119;38094,91;38902,79;38094,91;38782,85;0</t>
  </si>
  <si>
    <t>WIG;20060120;38956,2;39160,39;38827,9;39013,09;0</t>
  </si>
  <si>
    <t>WIG;20060123;38517,42;39005,89;38313,95;38932,16;0</t>
  </si>
  <si>
    <t>WIG;20060124;39074,8;39211,64;38692,77;38906,01;0</t>
  </si>
  <si>
    <t>WIG;20060125;39258,97;39421,97;39107,96;39351,63;0</t>
  </si>
  <si>
    <t>WIG;20060126;39557,8;39557,8;38940,89;39008,07;0</t>
  </si>
  <si>
    <t>WIG;20060127;39152,21;39224;38725,12;39106,99;0</t>
  </si>
  <si>
    <t>WIG;20060130;39082,97;39167,21;38855,84;39109,05;0</t>
  </si>
  <si>
    <t>WIG;20060131;38994,74;38994,74;37830,76;37854,95;0</t>
  </si>
  <si>
    <t>WIG;20060201;37423,17;38038,03;37360,87;38038,03;0</t>
  </si>
  <si>
    <t>WIG;20060202;38260,66;38327,49;37874,83;37964,75;0</t>
  </si>
  <si>
    <t>WIG;20060203;37797,58;37797,58;37134,8;37221,99;0</t>
  </si>
  <si>
    <t>WIG;20060206;37382,21;38072,14;37382,21;38072,14;0</t>
  </si>
  <si>
    <t>WIG;20060207;38229,85;38297,47;37806,61;38297,47;0</t>
  </si>
  <si>
    <t>WIG;20060208;38010,79;38257,08;37697,93;38162,66;0</t>
  </si>
  <si>
    <t>WIG;20060209;38369,45;38568,44;38257,43;38335,51;0</t>
  </si>
  <si>
    <t>WIG;20060210;38219,51;38281,81;37826,96;37870,88;0</t>
  </si>
  <si>
    <t>WIG;20060213;37654,63;38048;37652,53;37664,27;0</t>
  </si>
  <si>
    <t>WIG;20060214;37983,93;38109,01;37844,92;37978,92;0</t>
  </si>
  <si>
    <t>WIG;20060215;38118,48;38149,89;37836,26;38109,01;0</t>
  </si>
  <si>
    <t>WIG;20060216;38166,24;38204,01;37587,53;37599,64;0</t>
  </si>
  <si>
    <t>WIG;20060217;37734,51;38625,78;37619,45;38625,78;0</t>
  </si>
  <si>
    <t>WIG;20060220;38844,88;39277,08;38746,63;39165,23;0</t>
  </si>
  <si>
    <t>WIG;20060221;39277,11;39304,2;38958,6;39153,88;0</t>
  </si>
  <si>
    <t>WIG;20060222;39226,86;39318,96;38955,9;39128,31;0</t>
  </si>
  <si>
    <t>WIG;20060223;39124,11;39273,76;39042,69;39222,51;0</t>
  </si>
  <si>
    <t>WIG;20060224;39292,53;39793,98;39216,7;39793,98;0</t>
  </si>
  <si>
    <t>WIG;20060227;39967,92;40120,66;39698,84;40073,44;0</t>
  </si>
  <si>
    <t>WIG;20060228;39468,2;39819,21;38632,66;38854,37;0</t>
  </si>
  <si>
    <t>WIG;20060301;39025,9;39225,37;38827,01;39195,01;0</t>
  </si>
  <si>
    <t>WIG;20060302;39329,15;39610,92;39179,75;39584,2;0</t>
  </si>
  <si>
    <t>WIG;20060303;39693,08;39693,08;38998,24;39357,01;0</t>
  </si>
  <si>
    <t>WIG;20060306;39387,22;39645,52;39205,74;39645,52;0</t>
  </si>
  <si>
    <t>WIG;20060307;39410,28;39410,28;38357,48;38761,67;0</t>
  </si>
  <si>
    <t>WIG;20060308;38683,94;38728,56;37799,13;38039,72;0</t>
  </si>
  <si>
    <t>WIG;20060309;38194,02;38392,91;37902,89;38136,21;0</t>
  </si>
  <si>
    <t>WIG;20060310;38147,37;38176,62;37510,21;37942,08;0</t>
  </si>
  <si>
    <t>WIG;20060313;38058,61;38126,29;37700,88;37978,94;0</t>
  </si>
  <si>
    <t>WIG;20060314;37850,95;37850,95;37517,29;37672,48;0</t>
  </si>
  <si>
    <t>WIG;20060315;37987,6;38403,35;37977,35;38218,89;0</t>
  </si>
  <si>
    <t>WIG;20060316;38416,68;39033,23;38370,3;39033,23;0</t>
  </si>
  <si>
    <t>WIG;20060317;39279,3;39722,76;39122,13;39214,4;0</t>
  </si>
  <si>
    <t>WIG;20060320;39293,91;39450,05;39092,79;39183,95;0</t>
  </si>
  <si>
    <t>WIG;20060321;39068,2;39164,58;38859,97;38973,86;0</t>
  </si>
  <si>
    <t>WIG;20060322;38698,05;38964,18;38538,13;38890,72;0</t>
  </si>
  <si>
    <t>WIG;20060323;39009,76;39471,42;39009,76;39471,42;0</t>
  </si>
  <si>
    <t>WIG;20060324;39730,77;39937,79;39619,89;39660,78;0</t>
  </si>
  <si>
    <t>WIG;20060327;39756,72;40040,49;39743,34;40040,49;0</t>
  </si>
  <si>
    <t>WIG;20060328;40031,92;40031,92;39528,25;39528,25;0</t>
  </si>
  <si>
    <t>WIG;20060329;39305,47;39621,08;38917,16;39621,08;0</t>
  </si>
  <si>
    <t>WIG;20060330;39944,57;40276,95;39944,57;40115,91;0</t>
  </si>
  <si>
    <t>WIG;20060331;40195,82;40317,12;39946,38;40220,32;0</t>
  </si>
  <si>
    <t>WIG;20060403;40199,06;40867,61;40191,63;40867,61;0</t>
  </si>
  <si>
    <t>WIG;20060404;40852,61;40929,2;40611,55;40929,2;0</t>
  </si>
  <si>
    <t>WIG;20060405;41097,65;41282,93;40794,21;40825,95;0</t>
  </si>
  <si>
    <t>WIG;20060406;41180,54;41286,57;41010,86;41216,45;0</t>
  </si>
  <si>
    <t>WIG;20060407;41445,41;41945,74;41423,94;41823,15;0</t>
  </si>
  <si>
    <t>WIG;20060410;41900,4;42027,26;41582,19;41776,32;0</t>
  </si>
  <si>
    <t>WIG;20060411;41716,37;41915,6;41303,92;41446,29;0</t>
  </si>
  <si>
    <t>WIG;20060412;41216,57;41790,11;41170,2;41790,11;0</t>
  </si>
  <si>
    <t>WIG;20060413;41905,5;42262,64;41871,79;42018,42;0</t>
  </si>
  <si>
    <t>WIG;20060418;42352,59;42866,82;42338,63;42717,75;0</t>
  </si>
  <si>
    <t>WIG;20060419;43291,7;43293,49;42554,42;42715,47;0</t>
  </si>
  <si>
    <t>WIG;20060420;42877,89;43572,66;42589,76;43572,66;0</t>
  </si>
  <si>
    <t>WIG;20060421;43174,03;44126,03;42942,6;43979,52;0</t>
  </si>
  <si>
    <t>WIG;20060424;43962,21;44545,74;43921,75;44446,2;0</t>
  </si>
  <si>
    <t>WIG;20060425;44348,37;44428,56;43917,21;44281,2;0</t>
  </si>
  <si>
    <t>WIG;20060426;44500,49;44688,66;44037,69;44688,66;0</t>
  </si>
  <si>
    <t>WIG;20060427;44827,5;44836,21;43278,13;43646,64;0</t>
  </si>
  <si>
    <t>WIG;20060428;43513,44;43998,59;43454,82;43998,59;0</t>
  </si>
  <si>
    <t>WIG;20060502;43945,86;44238,21;43945,86;44052,76;0</t>
  </si>
  <si>
    <t>WIG;20060504;44250,17;44769,32;44140,81;44769,32;0</t>
  </si>
  <si>
    <t>WIG;20060505;45124,85;45198,5;44567,16;45070,86;0</t>
  </si>
  <si>
    <t>WIG;20060508;45549;45644,6;45152,2;45591,9;0</t>
  </si>
  <si>
    <t>WIG;20060509;45402,01;45438,07;44904,46;44939,95;0</t>
  </si>
  <si>
    <t>WIG;20060510;45140,78;45206,66;44740,94;44798,12;0</t>
  </si>
  <si>
    <t>WIG;20060511;45189,24;45894,55;45077;45894,55;0</t>
  </si>
  <si>
    <t>WIG;20060512;45493,67;45586,56;45125,47;45390,27;0</t>
  </si>
  <si>
    <t>WIG;20060515;44968,58;44995,25;43840,86;43998,44;0</t>
  </si>
  <si>
    <t>WIG;20060516;43643,82;44033,49;43213,64;43995;0</t>
  </si>
  <si>
    <t>WIG;20060517;44324,64;44619,94;43024,09;43072,07;0</t>
  </si>
  <si>
    <t>WIG;20060518;42551,07;43074,02;42270,28;42853,98;0</t>
  </si>
  <si>
    <t>WIG;20060519;43128,7;43260,42;42417,39;42656,79;0</t>
  </si>
  <si>
    <t>WIG;20060522;42328,86;42356,89;40181,58;40384,46;0</t>
  </si>
  <si>
    <t>WIG;20060523;40206,28;41015,06;38476,8;40815,61;0</t>
  </si>
  <si>
    <t>WIG;20060524;40498,34;40966,41;39222,45;39393,33;0</t>
  </si>
  <si>
    <t>WIG;20060525;39311,94;39968,53;38368,71;39841,74;0</t>
  </si>
  <si>
    <t>WIG;20060526;40571,56;40767,62;40336,29;40446,42;0</t>
  </si>
  <si>
    <t>WIG;20060529;40899,48;41079,97;40344,7;40446,26;0</t>
  </si>
  <si>
    <t>WIG;20060530;40148,65;40160,4;39504,11;39918,83;0</t>
  </si>
  <si>
    <t>WIG;20060531;39098,31;40037,16;38946,88;39632,25;0</t>
  </si>
  <si>
    <t>WIG;20060601;40009,49;40171,44;39722,06;39970,99;0</t>
  </si>
  <si>
    <t>WIG;20060602;40482,34;41068,36;40442,57;40917,49;0</t>
  </si>
  <si>
    <t>WIG;20060605;40864,25;41503,43;40786,87;41234,43;0</t>
  </si>
  <si>
    <t>WIG;20060606;40746,13;40916,03;40314,82;40352,53;0</t>
  </si>
  <si>
    <t>WIG;20060607;40534,27;40586,6;39930,77;40226,29;0</t>
  </si>
  <si>
    <t>WIG;20060608;39425,31;39425,31;38841,91;39259,1;0</t>
  </si>
  <si>
    <t>WIG;20060609;39481,12;39685,13;38576,64;38758,3;0</t>
  </si>
  <si>
    <t>WIG;20060612;38473,38;38473,63;37066,48;37425,81;0</t>
  </si>
  <si>
    <t>WIG;20060613;35894,65;36357,29;34768,27;36148,34;0</t>
  </si>
  <si>
    <t>WIG;20060614;36132,94;36368,58;35255,75;36020,66;0</t>
  </si>
  <si>
    <t>WIG;20060616;37440,8;37618,05;36340,62;36340,62;0</t>
  </si>
  <si>
    <t>WIG;20060619;36725,07;37160,35;36482,14;37160,35;0</t>
  </si>
  <si>
    <t>WIG;20060620;36804,64;37485,98;36742,49;37187,27;0</t>
  </si>
  <si>
    <t>WIG;20060621;37369,89;37640,82;36902,08;37449,69;0</t>
  </si>
  <si>
    <t>WIG;20060622;38030,85;38200,92;37225,96;37225,96;0</t>
  </si>
  <si>
    <t>WIG;20060623;37260,43;37402,61;36858,39;37402,61;0</t>
  </si>
  <si>
    <t>WIG;20060626;37378,02;37980,85;37378,02;37980,85;0</t>
  </si>
  <si>
    <t>WIG;20060627;38184,28;39561,69;38150,63;39552,76;0</t>
  </si>
  <si>
    <t>WIG;20060628;39040,17;40124,08;38985,8;40124,08;0</t>
  </si>
  <si>
    <t>WIG;20060629;40220,51;40459,18;39820,85;39986,18;0</t>
  </si>
  <si>
    <t>WIG;20060630;40937,04;41094,09;40455,12;40644,58;0</t>
  </si>
  <si>
    <t>WIG;20060703;40836,63;41019,93;40383,07;40760,21;0</t>
  </si>
  <si>
    <t>WIG;20060704;40828,66;41241,98;40795,08;41132,03;0</t>
  </si>
  <si>
    <t>WIG;20060705;41207,86;41281,2;40726,46;40814,39;0</t>
  </si>
  <si>
    <t>WIG;20060706;40920,86;42002,65;40776,1;41991,45;0</t>
  </si>
  <si>
    <t>WIG;20060707;42020,15;42958,13;41865,54;42875,6;0</t>
  </si>
  <si>
    <t>WIG;20060710;42108,15;43581,43;42106,15;43265,63;0</t>
  </si>
  <si>
    <t>WIG;20060711;43354,5;43745,45;42863,72;42967,63;0</t>
  </si>
  <si>
    <t>WIG;20060712;43381,99;44005,62;43244,58;43549,11;0</t>
  </si>
  <si>
    <t>WIG;20060713;43271,81;43331,27;41855,52;42080,59;0</t>
  </si>
  <si>
    <t>WIG;20060714;41270,31;42147,18;41270,31;42010,8;0</t>
  </si>
  <si>
    <t>WIG;20060717;42035,67;42035,67;41363,6;41508,16;0</t>
  </si>
  <si>
    <t>WIG;20060718;41487,94;42218,49;41487,94;42076,38;0</t>
  </si>
  <si>
    <t>WIG;20060719;42137,81;42348,23;41875,07;42278,45;0</t>
  </si>
  <si>
    <t>WIG;20060720;43056,07;43671,19;43001,12;43600,19;0</t>
  </si>
  <si>
    <t>WIG;20060721;43294,01;43659,27;43227,77;43418,01;0</t>
  </si>
  <si>
    <t>WIG;20060724;43341,06;43680;43259,71;43630,03;0</t>
  </si>
  <si>
    <t>WIG;20060725;43873,49;44358,17;43770,99;44063,27;0</t>
  </si>
  <si>
    <t>WIG;20060726;44038,65;44452,9;43870,32;44392,66;0</t>
  </si>
  <si>
    <t>WIG;20060727;44764,46;45750,76;44663,71;45750,76;0</t>
  </si>
  <si>
    <t>WIG;20060728;45640,81;45900,19;45344,7;45781,7;0</t>
  </si>
  <si>
    <t>WIG;20060731;45899,06;46194,73;45598,26;45894,89;0</t>
  </si>
  <si>
    <t>WIG;20060801;46118,23;46153,37;45102,8;45121,18;0</t>
  </si>
  <si>
    <t>WIG;20060802;45055,58;45186,16;44350,2;44735,66;0</t>
  </si>
  <si>
    <t>WIG;20060803;44756,39;44762,97;43373,74;43507,4;0</t>
  </si>
  <si>
    <t>WIG;20060804;43644,87;44071,3;43297,52;44003,29;0</t>
  </si>
  <si>
    <t>WIG;20060807;43690,89;43899,37;43104,62;43648,7;0</t>
  </si>
  <si>
    <t>WIG;20060808;43748,22;43886,57;43462,34;43609,44;0</t>
  </si>
  <si>
    <t>WIG;20060809;43909,15;44547,16;43590,47;44519,14;0</t>
  </si>
  <si>
    <t>WIG;20060810;44280,76;44290,95;43497,5;43758,99;0</t>
  </si>
  <si>
    <t>WIG;20060811;44115,76;44360,01;42742,67;42742,67;0</t>
  </si>
  <si>
    <t>WIG;20060814;42924,76;43053,28;42634,75;42977,02;0</t>
  </si>
  <si>
    <t>WIG;20060816;43454,74;43555,36;43121,23;43402,61;0</t>
  </si>
  <si>
    <t>WIG;20060817;43526,08;43570,3;42871,2;42968,6;0</t>
  </si>
  <si>
    <t>WIG;20060818;42848,29;43185,51;42702,73;43166,87;0</t>
  </si>
  <si>
    <t>WIG;20060821;43135,99;43447,51;42977,76;43194,29;0</t>
  </si>
  <si>
    <t>WIG;20060822;43559,02;43614,29;43253,89;43513,69;0</t>
  </si>
  <si>
    <t>WIG;20060823;43538,74;43606,44;43323,31;43516,97;0</t>
  </si>
  <si>
    <t>WIG;20060824;43292,24;43354,27;42829,38;42900,39;0</t>
  </si>
  <si>
    <t>WIG;20060825;43003,24;43120,61;42325,62;42583,71;0</t>
  </si>
  <si>
    <t>WIG;20060828;42351,1;42516,35;42059,64;42384,4;0</t>
  </si>
  <si>
    <t>WIG;20060829;42593,53;43405,3;42593,53;43330;0</t>
  </si>
  <si>
    <t>WIG;20060830;43429,55;43921,48;43418,79;43787,24;0</t>
  </si>
  <si>
    <t>WIG;20060831;44001,03;44139,48;43328,59;43363,32;0</t>
  </si>
  <si>
    <t>WIG;20060901;43405,24;43589,27;43283,01;43488,03;0</t>
  </si>
  <si>
    <t>WIG;20060904;43808,36;44831,32;43675,84;44770,05;0</t>
  </si>
  <si>
    <t>WIG;20060905;44826,79;45115,46;44539,42;45033,33;0</t>
  </si>
  <si>
    <t>WIG;20060906;44996,04;45011,57;44442,63;44716,62;0</t>
  </si>
  <si>
    <t>WIG;20060907;44477,28;44477,28;44052,86;44301,11;0</t>
  </si>
  <si>
    <t>WIG;20060908;44419,08;44520,8;43904,5;44071,87;0</t>
  </si>
  <si>
    <t>WIG;20060911;43735,26;43947,4;43344,84;43768,52;0</t>
  </si>
  <si>
    <t>WIG;20060912;43723,49;44289,74;43448,09;44289,74;0</t>
  </si>
  <si>
    <t>WIG;20060913;44418,88;44863,86;44418,88;44795,81;0</t>
  </si>
  <si>
    <t>WIG;20060914;44884,46;44986;44303,19;44429,85;0</t>
  </si>
  <si>
    <t>WIG;20060915;44227,94;44352,51;44004,37;44352,51;0</t>
  </si>
  <si>
    <t>WIG;20060918;44586,07;45007,08;44402,12;44870,85;0</t>
  </si>
  <si>
    <t>WIG;20060919;44848,92;44854,21;44450,31;44659,39;0</t>
  </si>
  <si>
    <t>WIG;20060920;44429,64;44487,24;43901,57;44176,62;0</t>
  </si>
  <si>
    <t>WIG;20060921;44068,05;44433,77;43888,44;44057,54;0</t>
  </si>
  <si>
    <t>WIG;20060922;43663,54;43964,24;43376,34;43772,07;0</t>
  </si>
  <si>
    <t>WIG;20060925;44020,03;44222,21;43907,31;44222,21;0</t>
  </si>
  <si>
    <t>WIG;20060926;44497,18;44613,05;44248,09;44387,9;0</t>
  </si>
  <si>
    <t>WIG;20060927;44612,87;44612,87;43730,48;43995,91;0</t>
  </si>
  <si>
    <t>WIG;20060928;44027,4;44578,37;44027,4;44360,14;0</t>
  </si>
  <si>
    <t>WIG;20060929;44546,61;44568,91;43998,92;44052,54;0</t>
  </si>
  <si>
    <t>WIG;20061002;44297,12;44297,12;43801,83;44209,1;0</t>
  </si>
  <si>
    <t>WIG;20061003;44005,08;44190,61;43818,46;44007,66;0</t>
  </si>
  <si>
    <t>WIG;20061004;43849,12;44344,4;43725,35;44267,46;0</t>
  </si>
  <si>
    <t>WIG;20061005;44777,06;45038,63;44777,06;45008,8;0</t>
  </si>
  <si>
    <t>WIG;20061006;44981,12;45140,7;44854,51;44966,63;0</t>
  </si>
  <si>
    <t>WIG;20061009;44941,65;45464,58;44933,66;45464,58;0</t>
  </si>
  <si>
    <t>WIG;20061010;45716,25;46451,62;45716,25;46138,35;0</t>
  </si>
  <si>
    <t>WIG;20061011;46352,5;46505,58;46143,55;46340,32;0</t>
  </si>
  <si>
    <t>WIG;20061012;46244,21;46989,05;46229,47;46950,76;0</t>
  </si>
  <si>
    <t>WIG;20061013;47110,4;47367,96;47067,08;47280,43;0</t>
  </si>
  <si>
    <t>WIG;20061016;47315,45;47504,31;46987,2;47393,92;0</t>
  </si>
  <si>
    <t>WIG;20061017;47321,68;47463,06;46812,97;46812,97;0</t>
  </si>
  <si>
    <t>WIG;20061018;46934,35;47789,61;46831,77;47651;0</t>
  </si>
  <si>
    <t>WIG;20061019;47454,05;47823,87;47434,54;47823,87;0</t>
  </si>
  <si>
    <t>WIG;20061020;48087,83;48253,88;47365,91;47562,92;0</t>
  </si>
  <si>
    <t>WIG;20061023;47678,18;47753,77;47174,97;47432,27;0</t>
  </si>
  <si>
    <t>WIG;20061024;47483,9;47683,16;47341,39;47523,51;0</t>
  </si>
  <si>
    <t>WIG;20061025;47659,55;47951,5;47537,34;47951,5;0</t>
  </si>
  <si>
    <t>WIG;20061026;48471,99;48555,73;48141,44;48310,22;0</t>
  </si>
  <si>
    <t>WIG;20061027;48232,37;48279,87;47615,77;47761,04;0</t>
  </si>
  <si>
    <t>WIG;20061030;47385,73;47412,02;47030,35;47209,15;0</t>
  </si>
  <si>
    <t>WIG;20061031;47335,62;47589,7;47244;47358,12;0</t>
  </si>
  <si>
    <t>WIG;20061102;47194,26;47418,4;47098,06;47361,53;0</t>
  </si>
  <si>
    <t>WIG;20061103;47498,78;47833,42;47288,83;47833,42;0</t>
  </si>
  <si>
    <t>WIG;20061106;48025,23;48767,01;47994,99;48767,01;0</t>
  </si>
  <si>
    <t>WIG;20061107;49024,56;49613,28;48935,89;49534,64;0</t>
  </si>
  <si>
    <t>WIG;20061108;49442,9;49501,15;49097,19;49437,06;0</t>
  </si>
  <si>
    <t>WIG;20061109;49830,65;50091,12;49554,85;49555,18;0</t>
  </si>
  <si>
    <t>WIG;20061110;49394,43;49619,11;49027,78;49032,64;0</t>
  </si>
  <si>
    <t>WIG;20061113;48987,62;49270,68;48391,88;48958,52;0</t>
  </si>
  <si>
    <t>WIG;20061114;49104,4;49163,36;48553,33;48900,38;0</t>
  </si>
  <si>
    <t>WIG;20061115;49024,39;49110,03;47765,89;48099,01;0</t>
  </si>
  <si>
    <t>WIG;20061116;48046,41;48708,07;47810,88;48526,8;0</t>
  </si>
  <si>
    <t>WIG;20061117;48336,92;48336,92;47852,01;48300,38;0</t>
  </si>
  <si>
    <t>WIG;20061120;48121,08;48489,97;47837,68;48381,06;0</t>
  </si>
  <si>
    <t>WIG;20061121;48657,69;48977,6;48635,65;48977,6;0</t>
  </si>
  <si>
    <t>WIG;20061122;49279,21;49819,96;49279,21;49698,12;0</t>
  </si>
  <si>
    <t>WIG;20061123;49569,96;49805,66;49568,97;49701,36;0</t>
  </si>
  <si>
    <t>WIG;20061124;49693,09;49708,54;49316,41;49566,07;0</t>
  </si>
  <si>
    <t>WIG;20061127;49655,56;49859,57;49385,87;49477,9;0</t>
  </si>
  <si>
    <t>WIG;20061128;49104,94;49407,67;48939,27;49344,9;0</t>
  </si>
  <si>
    <t>WIG;20061129;49587,6;50425,36;49565,56;50425,36;0</t>
  </si>
  <si>
    <t>WIG;20061130;50574,47;50630,48;49983,04;50230,32;0</t>
  </si>
  <si>
    <t>WIG;20061201;50601,83;50998,82;50441,59;50601,74;0</t>
  </si>
  <si>
    <t>WIG;20061204;50796,96;51680,97;50796,96;51680,97;0</t>
  </si>
  <si>
    <t>WIG;20061205;51593,93;52444,5;51569,51;52370,79;0</t>
  </si>
  <si>
    <t>WIG;20061206;52417,56;52478,32;51863,21;52019,87;0</t>
  </si>
  <si>
    <t>WIG;20061207;52115,28;52523,75;51986,83;52338,99;0</t>
  </si>
  <si>
    <t>WIG;20061208;52082,49;52169,88;51851,61;52166,51;0</t>
  </si>
  <si>
    <t>WIG;20061211;52307,8;52314,7;51874,63;52024,79;0</t>
  </si>
  <si>
    <t>WIG;20061212;52057,86;52150,69;51635,9;51747,14;0</t>
  </si>
  <si>
    <t>WIG;20061213;51723,77;52254,03;51681,52;51927,09;0</t>
  </si>
  <si>
    <t>WIG;20061214;52010,62;52190,51;51701,79;52037,95;0</t>
  </si>
  <si>
    <t>WIG;20061215;52158,75;52177,96;50477,07;51961,96;0</t>
  </si>
  <si>
    <t>WIG;20061218;51960,45;52242,23;51650,36;52242,23;0</t>
  </si>
  <si>
    <t>WIG;20061219;51848,05;51848,05;50777,92;50778,15;0</t>
  </si>
  <si>
    <t>WIG;20061220;51125,02;51241,77;49931,64;50164,95;0</t>
  </si>
  <si>
    <t>WIG;20061221;50074,51;50304,33;49910,05;50232,37;0</t>
  </si>
  <si>
    <t>WIG;20061222;50354,22;50390,95;49725,4;49730,58;0</t>
  </si>
  <si>
    <t>WIG;20061227;50242,41;50740,32;50242,41;50740,19;0</t>
  </si>
  <si>
    <t>WIG;20061228;50929,27;51017,67;50182,99;50477,49;0</t>
  </si>
  <si>
    <t>WIG;20061229;50467,41;50500,86;49987,46;50411,82;0</t>
  </si>
  <si>
    <t>WIG;20070102;50396,19;51273,77;50386,17;51202,99;0</t>
  </si>
  <si>
    <t>WIG;20070103;51163,73;51359,03;51023,62;51220,11;0</t>
  </si>
  <si>
    <t>WIG;20070104;50594,38;50594,38;50194,64;50381,11;0</t>
  </si>
  <si>
    <t>WIG;20070105;50101,04;50254,76;49459,91;49560,26;0</t>
  </si>
  <si>
    <t>WIG;20070108;49151,59;49678,91;48814,75;49512,92;0</t>
  </si>
  <si>
    <t>WIG;20070109;49818,47;50120,02;49618,33;49769,49;0</t>
  </si>
  <si>
    <t>WIG;20070110;49545,9;49864,45;49195,94;49264,41;0</t>
  </si>
  <si>
    <t>WIG;20070111;49854,01;50484,05;49822,15;50484,05;0</t>
  </si>
  <si>
    <t>WIG;20070112;50539,12;51075,84;50534,15;51020,94;0</t>
  </si>
  <si>
    <t>WIG;20070115;0;52143,2;51261,29;52037,55;0</t>
  </si>
  <si>
    <t>WIG;20070116;51941,37;52322,15;51736,02;52195,63;0</t>
  </si>
  <si>
    <t>WIG;20070117;52240,88;52433,88;52032,28;52362,24;0</t>
  </si>
  <si>
    <t>WIG;20070118;52918,81;54132,28;52918,81;53853,2;0</t>
  </si>
  <si>
    <t>WIG;20070119;53662,27;54121,05;53578,91;54048,19;0</t>
  </si>
  <si>
    <t>WIG;20070122;54456,2;54804,44;53574;53574;0</t>
  </si>
  <si>
    <t>WIG;20070123;53532,04;53679,62;53064,26;53652,21;0</t>
  </si>
  <si>
    <t>WIG;20070124;54055,67;54223,95;53670,83;53681,53;0</t>
  </si>
  <si>
    <t>WIG;20070125;53910,33;54364,04;53358,02;53433,5;0</t>
  </si>
  <si>
    <t>WIG;20070126;52996,26;53617,9;52713,49;53487,96;0</t>
  </si>
  <si>
    <t>WIG;20070129;53717,55;53954,12;53633,95;53792,04;0</t>
  </si>
  <si>
    <t>WIG;20070130;53813,79;53856,58;53339,03;53717,9;0</t>
  </si>
  <si>
    <t>WIG;20070131;53954,68;54558,15;53913,54;54558,15;0</t>
  </si>
  <si>
    <t>WIG;20070201;55004,58;55558,13;54963,9;55431,48;0</t>
  </si>
  <si>
    <t>WIG;20070202;55501,04;55644,43;55274,93;55314,03;0</t>
  </si>
  <si>
    <t>WIG;20070205;55330,34;55402,29;55154,21;55358,58;0</t>
  </si>
  <si>
    <t>WIG;20070206;55474,34;55701,4;55236,06;55236,06;0</t>
  </si>
  <si>
    <t>WIG;20070207;55386,93;55426,19;54850,83;55099,87;0</t>
  </si>
  <si>
    <t>WIG;20070208;54675,95;54786,42;53398,95;53519;0</t>
  </si>
  <si>
    <t>WIG;20070209;53538,6;53871,1;53318,21;53826,85;0</t>
  </si>
  <si>
    <t>WIG;20070212;53433,49;53471,43;52935,24;52939,24;0</t>
  </si>
  <si>
    <t>WIG;20070213;53077,41;53986,67;53028,21;53920,38;0</t>
  </si>
  <si>
    <t>WIG;20070214;54360,1;54455,39;53915,91;54145,91;0</t>
  </si>
  <si>
    <t>WIG;20070215;54509,78;54542,27;53714,52;53896,08;0</t>
  </si>
  <si>
    <t>WIG;20070216;53902,9;53957,96;53636,18;53834,86;0</t>
  </si>
  <si>
    <t>WIG;20070219;54056,94;54792,84;54052,03;54712,06;0</t>
  </si>
  <si>
    <t>WIG;20070220;54809,08;54867,98;54217,6;54274,69;0</t>
  </si>
  <si>
    <t>WIG;20070221;54678,98;55090,09;54631,93;54821,35;0</t>
  </si>
  <si>
    <t>WIG;20070222;55232,49;55767,47;55201,04;55641,5;0</t>
  </si>
  <si>
    <t>WIG;20070223;55526,22;55840,19;55286,34;55702,53;0</t>
  </si>
  <si>
    <t>WIG;20070226;56008,43;56029,11;55216,8;55339,76;0</t>
  </si>
  <si>
    <t>WIG;20070227;54767,2;54767,2;52644,47;52906,36;0</t>
  </si>
  <si>
    <t>WIG;20070228;52102,47;52385,85;51364,99;51900,39;0</t>
  </si>
  <si>
    <t>WIG;20070301;52301,34;52719,06;51069,09;51503,02;0</t>
  </si>
  <si>
    <t>WIG;20070302;51808,13;51971,13;51358,64;51917,31;0</t>
  </si>
  <si>
    <t>WIG;20070305;50903,86;50903,86;49871,19;50746,74;0</t>
  </si>
  <si>
    <t>WIG;20070306;51100,68;51501,47;50832,73;51482,87;0</t>
  </si>
  <si>
    <t>WIG;20070307;51672,02;52123,56;51410,99;51415,62;0</t>
  </si>
  <si>
    <t>WIG;20070308;52097,28;53070,27;52097,28;53059,95;0</t>
  </si>
  <si>
    <t>WIG;20070309;53005,46;53487,95;52700,5;52910,76;0</t>
  </si>
  <si>
    <t>WIG;20070312;53309,68;53642,34;52971,98;53053,52;0</t>
  </si>
  <si>
    <t>WIG;20070313;53057,89;53333,83;52358,06;52739,95;0</t>
  </si>
  <si>
    <t>WIG;20070314;51725,52;52881,33;51268,05;52873,49;0</t>
  </si>
  <si>
    <t>WIG;20070315;52815,06;53282,55;52815,06;53206,81;0</t>
  </si>
  <si>
    <t>WIG;20070316;53193,44;53927,5;53038,98;53676,93;0</t>
  </si>
  <si>
    <t>WIG;20070319;53955,84;54591,45;53955,84;54591,45;0</t>
  </si>
  <si>
    <t>WIG;20070320;54596,08;54596,08;54127,83;54537,92;0</t>
  </si>
  <si>
    <t>WIG;20070321;54588,91;55326,24;54588,91;55234,92;0</t>
  </si>
  <si>
    <t>WIG;20070322;55974,53;56719,49;55974,53;56315,4;0</t>
  </si>
  <si>
    <t>WIG;20070323;56285,08;56936,49;56148,18;56936,49;0</t>
  </si>
  <si>
    <t>WIG;20070326;56992,57;57186,84;56464,39;56464,39;0</t>
  </si>
  <si>
    <t>WIG;20070327;56979,37;57090,25;56565,36;56643,45;0</t>
  </si>
  <si>
    <t>WIG;20070328;56476,96;56573,87;56097,44;56288,81;0</t>
  </si>
  <si>
    <t>WIG;20070329;56429,44;57347,18;56385,73;57283,19;0</t>
  </si>
  <si>
    <t>WIG;20070330;57561,35;57759,4;57255,27;57524,57;0</t>
  </si>
  <si>
    <t>WIG;20070402;57197,48;57253,79;56748,03;56816,19;0</t>
  </si>
  <si>
    <t>WIG;20070403;57229,53;57604,37;57045,07;57604,37;0</t>
  </si>
  <si>
    <t>WIG;20070404;57952,36;58269,61;57780,33;57981,75;0</t>
  </si>
  <si>
    <t>WIG;20070405;58081,66;58183,82;57792;58183,82;0</t>
  </si>
  <si>
    <t>WIG;20070410;58352,95;58928,03;58317,05;58928,03;0</t>
  </si>
  <si>
    <t>WIG;20070411;58688,76;59434,41;58644,35;59206,43;0</t>
  </si>
  <si>
    <t>WIG;20070412;59030,39;59253,21;58074,17;58298,23;0</t>
  </si>
  <si>
    <t>WIG;20070413;58851,64;59089,88;58798,46;58822,47;0</t>
  </si>
  <si>
    <t>WIG;20070416;59570,57;59711,44;59223,19;59424,56;0</t>
  </si>
  <si>
    <t>WIG;20070417;59282,7;59353,91;58950,56;59353,79;0</t>
  </si>
  <si>
    <t>WIG;20070418;59668,38;60278,03;59355,79;59682,03;0</t>
  </si>
  <si>
    <t>WIG;20070419;59031,44;59424,1;58751,28;59268,34;0</t>
  </si>
  <si>
    <t>WIG;20070420;59728,94;60361,05;59723,42;60316,69;0</t>
  </si>
  <si>
    <t>WIG;20070423;60713,84;60844,68;60157,6;60311,28;0</t>
  </si>
  <si>
    <t>WIG;20070424;60430,43;60430,43;59689,86;59722,61;0</t>
  </si>
  <si>
    <t>WIG;20070425;59648,83;59787,44;59339,36;59535,37;0</t>
  </si>
  <si>
    <t>WIG;20070426;60089,33;60220,35;59458,61;59477,13;0</t>
  </si>
  <si>
    <t>WIG;20070427;59484,89;59484,89;59054,14;59378,12;0</t>
  </si>
  <si>
    <t>WIG;20070430;59413,63;59805,48;59149,03;59805,48;0</t>
  </si>
  <si>
    <t>WIG;20070502;60216,52;60406,38;60108,03;60331,66;0</t>
  </si>
  <si>
    <t>WIG;20070504;60874,09;61553,73;60874,09;61553,73;0</t>
  </si>
  <si>
    <t>WIG;20070507;61552,21;61696,59;61283,82;61283,82;0</t>
  </si>
  <si>
    <t>WIG;20070508;61449,11;61478,7;60107,84;60116,28;0</t>
  </si>
  <si>
    <t>WIG;20070509;60306,91;60572,5;59993,25;60121,37;0</t>
  </si>
  <si>
    <t>WIG;20070510;60227,65;60373,7;58984,08;59328,29;0</t>
  </si>
  <si>
    <t>WIG;20070511;58659,11;59667,38;57816,28;59667,38;0</t>
  </si>
  <si>
    <t>WIG;20070514;60340,68;60701,97;60155,03;60516,96;0</t>
  </si>
  <si>
    <t>WIG;20070515;60480,13;60480,13;59443,74;59885,65;0</t>
  </si>
  <si>
    <t>WIG;20070516;59634,41;59683,81;59143;59588,89;0</t>
  </si>
  <si>
    <t>WIG;20070517;59764,2;60247,23;59218,2;59350,3;0</t>
  </si>
  <si>
    <t>WIG;20070518;59457,59;59952,26;59409,38;59952,26;0</t>
  </si>
  <si>
    <t>WIG;20070521;60286,67;61050,47;60286,67;61050,47;0</t>
  </si>
  <si>
    <t>WIG;20070522;61697,39;61784,34;61273,38;61782,82;0</t>
  </si>
  <si>
    <t>WIG;20070523;61752,62;61796,89;61345,74;61505,85;0</t>
  </si>
  <si>
    <t>WIG;20070524;61052,95;61980,7;60647,85;61888,7;0</t>
  </si>
  <si>
    <t>WIG;20070525;61558,31;61760,27;61244,27;61664,68;0</t>
  </si>
  <si>
    <t>WIG;20070528;61999,13;62640,32;61829,18;62623,62;0</t>
  </si>
  <si>
    <t>WIG;20070529;62730;62832,18;62380,57;62779,18;0</t>
  </si>
  <si>
    <t>WIG;20070530;62297,16;62315,16;61833,37;62313,96;0</t>
  </si>
  <si>
    <t>WIG;20070531;63064,92;63722,27;63002,55;63566,15;0</t>
  </si>
  <si>
    <t>WIG;20070601;63806,33;64610,81;63683,87;64610,81;0</t>
  </si>
  <si>
    <t>WIG;20070604;64577,83;64714,12;64155,03;64499,16;0</t>
  </si>
  <si>
    <t>WIG;20070605;64887,86;65016,48;64280,14;64622,68;0</t>
  </si>
  <si>
    <t>WIG;20070606;64636,79;64653,31;63336,31;63527,02;0</t>
  </si>
  <si>
    <t>WIG;20070608;62634,97;62974,87;62259,25;62956,22;0</t>
  </si>
  <si>
    <t>WIG;20070611;63602,85;64037,73;63415,2;63873,02;0</t>
  </si>
  <si>
    <t>WIG;20070612;63896,86;63923,58;63346,31;63348,68;0</t>
  </si>
  <si>
    <t>WIG;20070613;63240,13;63883,83;63005,43;63821,78;0</t>
  </si>
  <si>
    <t>WIG;20070614;64312,42;64881,84;64310,82;64698,72;0</t>
  </si>
  <si>
    <t>WIG;20070615;65004,84;65731,64;65004,84;65438,16;0</t>
  </si>
  <si>
    <t>WIG;20070618;65524,33;65776,85;65278,61;65319,08;0</t>
  </si>
  <si>
    <t>WIG;20070619;65443,33;65473,8;65007,94;65473,8;0</t>
  </si>
  <si>
    <t>WIG;20070620;65674,94;65860,18;64940,2;64940,2;0</t>
  </si>
  <si>
    <t>WIG;20070621;65156,33;65384,12;64822,25;65003,34;0</t>
  </si>
  <si>
    <t>WIG;20070622;65162;65712,81;65152,49;65712,81;0</t>
  </si>
  <si>
    <t>WIG;20070625;65543,34;65800,94;65057,13;65800,94;0</t>
  </si>
  <si>
    <t>WIG;20070626;65652,97;66578,68;65534,47;66578,68;0</t>
  </si>
  <si>
    <t>WIG;20070627;66152,15;66348,19;65609,18;65609,18;0</t>
  </si>
  <si>
    <t>WIG;20070628;66046,98;66425,27;65931,89;66425,27;0</t>
  </si>
  <si>
    <t>WIG;20070629;66339,62;66351,13;65845,88;66077,69;0</t>
  </si>
  <si>
    <t>WIG;20070702;65919,82;66077,69;65163,12;65637,39;0</t>
  </si>
  <si>
    <t>WIG;20070703;65920,65;66651,05;65920,65;66608,21;0</t>
  </si>
  <si>
    <t>WIG;20070704;66649,13;67023,82;66607,33;66951,73;0</t>
  </si>
  <si>
    <t>WIG;20070705;66958,22;67100,7;66541,94;66850,08;0</t>
  </si>
  <si>
    <t>WIG;20070706;66923,41;67568,51;66923,41;67568,51;0</t>
  </si>
  <si>
    <t>WIG;20070709;67561,9;67772,91;67144,09;67288,84;0</t>
  </si>
  <si>
    <t>WIG;20070710;66989,09;66989,09;65904,48;66219,44;0</t>
  </si>
  <si>
    <t>WIG;20070711;66050,31;66137,01;65516,15;65815,13;0</t>
  </si>
  <si>
    <t>WIG;20070712;66023,7;66076,45;65236,96;65895,9;0</t>
  </si>
  <si>
    <t>WIG;20070713;66491,04;66655,01;65863,63;65989,73;0</t>
  </si>
  <si>
    <t>WIG;20070716;66077,21;66143,63;64491,11;65079,43;0</t>
  </si>
  <si>
    <t>WIG;20070717;64652,84;65092,89;64060,27;65056,7;0</t>
  </si>
  <si>
    <t>WIG;20070718;65206,13;65211,38;64801,02;64971,55;0</t>
  </si>
  <si>
    <t>WIG;20070719;65230,93;65949,16;65221,29;65915,43;0</t>
  </si>
  <si>
    <t>WIG;20070720;66025,99;66084,24;65148,18;65257,29;0</t>
  </si>
  <si>
    <t>WIG;20070723;65283,35;66045,6;65193,34;66045,6;0</t>
  </si>
  <si>
    <t>WIG;20070724;65839,34;65893,3;65174,55;65252,94;0</t>
  </si>
  <si>
    <t>WIG;20070725;64647,53;64890,9;63900,77;64842,32;0</t>
  </si>
  <si>
    <t>WIG;20070726;64729,35;65084,16;62897;63188,16;0</t>
  </si>
  <si>
    <t>WIG;20070727;62153,96;62867,82;61631,78;62609,47;0</t>
  </si>
  <si>
    <t>WIG;20070730;62795,44;62991,5;62210,99;62547,98;0</t>
  </si>
  <si>
    <t>WIG;20070731;62999,53;63670,52;62999,53;63670,52;0</t>
  </si>
  <si>
    <t>WIG;20070801;62357,39;62398,8;61820,92;62297,26;0</t>
  </si>
  <si>
    <t>WIG;20070802;62861,68;63091,41;62305,23;62426,43;0</t>
  </si>
  <si>
    <t>WIG;20070803;62775,55;62887,31;61521,45;61684,42;0</t>
  </si>
  <si>
    <t>WIG;20070806;60782,06;61080,03;60177,27;60750,1;0</t>
  </si>
  <si>
    <t>WIG;20070807;61391,48;61750,23;61207,94;61343,31;0</t>
  </si>
  <si>
    <t>WIG;20070808;61566,81;61752,83;60933,5;61302,4;0</t>
  </si>
  <si>
    <t>WIG;20070809;61697,28;61697,61;59901,94;60310,62;0</t>
  </si>
  <si>
    <t>WIG;20070810;58585,34;59131,23;58004,22;58395,54;0</t>
  </si>
  <si>
    <t>WIG;20070813;58672,53;59707,66;58672,53;59707,66;0</t>
  </si>
  <si>
    <t>WIG;20070814;59378,61;59465,91;58935,41;59123,73;0</t>
  </si>
  <si>
    <t>WIG;20070816;57131,67;57282,26;54137,08;55510,57;0</t>
  </si>
  <si>
    <t>WIG;20070817;55040,78;56752,8;53969,51;56506,52;0</t>
  </si>
  <si>
    <t>WIG;20070820;57452,59;57782,77;56551,3;56759,16;0</t>
  </si>
  <si>
    <t>WIG;20070821;56777,05;56777,05;55558,85;56034,83;0</t>
  </si>
  <si>
    <t>WIG;20070822;56627,37;58592,8;56546,23;58592,8;0</t>
  </si>
  <si>
    <t>WIG;20070823;59654,53;59822,22;59048,78;59253,2;0</t>
  </si>
  <si>
    <t>WIG;20070824;58975,68;60141,54;58826,46;60108,17;0</t>
  </si>
  <si>
    <t>WIG;20070827;60620,39;60823,2;60073,46;60073,46;0</t>
  </si>
  <si>
    <t>WIG;20070828;59811,59;60103,4;59370,76;59447;0</t>
  </si>
  <si>
    <t>WIG;20070829;58293,08;59960,66;58189,96;59960,66;0</t>
  </si>
  <si>
    <t>WIG;20070830;60586,7;60691,73;58864,79;59061,57;0</t>
  </si>
  <si>
    <t>WIG;20070831;59883,58;60737,85;59772,21;60649,86;0</t>
  </si>
  <si>
    <t>WIG;20070903;60816,73;61143,2;60564,75;61010,54;0</t>
  </si>
  <si>
    <t>WIG;20070904;60957,36;61406,64;60587;61406,64;0</t>
  </si>
  <si>
    <t>WIG;20070905;61442,49;61509,46;60375,83;60375,83;0</t>
  </si>
  <si>
    <t>WIG;20070906;60600,2;60884,85;59920,85;59920,85;0</t>
  </si>
  <si>
    <t>WIG;20070907;60098,43;60468,85;58718,89;59197,36;0</t>
  </si>
  <si>
    <t>WIG;20070910;58395,63;58769,87;58108,37;58174,13;0</t>
  </si>
  <si>
    <t>WIG;20070911;58387,01;58960,21;58359,15;58692,07;0</t>
  </si>
  <si>
    <t>WIG;20070912;58959,63;59619,65;58802,9;59619,65;0</t>
  </si>
  <si>
    <t>WIG;20070913;59492,9;60416,65;59231,89;60416,65;0</t>
  </si>
  <si>
    <t>WIG;20070914;60628,46;60681,66;59663,93;60071,34;0</t>
  </si>
  <si>
    <t>WIG;20070917;59940,1;60045,34;59588,69;59984,91;0</t>
  </si>
  <si>
    <t>WIG;20070918;59838,89;60579,02;59830,13;60579,02;0</t>
  </si>
  <si>
    <t>WIG;20070919;62275,92;62572,56;61902,59;62572,56;0</t>
  </si>
  <si>
    <t>WIG;20070920;62581,29;62602,05;62190,64;62599,59;0</t>
  </si>
  <si>
    <t>WIG;20070921;62540,86;62797,29;61679,75;62259,23;0</t>
  </si>
  <si>
    <t>WIG;20070924;62356,12;62363,34;61484,97;61570,24;0</t>
  </si>
  <si>
    <t>WIG;20070925;61455,54;61614,42;60726,33;61032,04;0</t>
  </si>
  <si>
    <t>WIG;20070926;61230,6;61485,57;60962,64;61230,87;0</t>
  </si>
  <si>
    <t>WIG;20070927;61755,57;62000,41;61021,41;61030,29;0</t>
  </si>
  <si>
    <t>WIG;20070928;61112,67;61279,61;60312,87;60368,92;0</t>
  </si>
  <si>
    <t>WIG;20071001;60285,44;60440,69;59490,03;60287,53;0</t>
  </si>
  <si>
    <t>WIG;20071002;60812,03;61336,17;60791,4;61196,53;0</t>
  </si>
  <si>
    <t>WIG;20071003;61244,46;61246,03;60752,49;60946,96;0</t>
  </si>
  <si>
    <t>WIG;20071004;60820,14;61204,94;60583,24;61048,09;0</t>
  </si>
  <si>
    <t>WIG;20071005;61185,84;61661,32;61052,16;61554,11;0</t>
  </si>
  <si>
    <t>WIG;20071006;0;0;0;0;0</t>
  </si>
  <si>
    <t>WIG;20071008;61882,86;61922,8;61477,68;61752,98;0</t>
  </si>
  <si>
    <t>WIG;20071009;61716,77;63149,97;61697;63068,13;0</t>
  </si>
  <si>
    <t>WIG;20071010;63375,06;63427,43;62967,03;62967,03;0</t>
  </si>
  <si>
    <t>WIG;20071011;63316,1;64057,16;63276,69;64057,16;0</t>
  </si>
  <si>
    <t>WIG;20071012;63488,21;63866,82;63258,37;63813,86;0</t>
  </si>
  <si>
    <t>WIG;20071015;64137,93;64358,66;64092,14;64292,3;0</t>
  </si>
  <si>
    <t>WIG;20071016;63784,88;63784,88;63301,4;63301,4;0</t>
  </si>
  <si>
    <t>WIG;20071017;63280,65;63666,7;63028,57;63618,68;0</t>
  </si>
  <si>
    <t>WIG;20071018;63679,42;63699,8;62133,01;62552,95;0</t>
  </si>
  <si>
    <t>WIG;20071019;62395,8;63132,68;62290,39;63132,68;0</t>
  </si>
  <si>
    <t>WIG;20071022;62362,31;62729,83;61734,34;62626,86;0</t>
  </si>
  <si>
    <t>WIG;20071023;63033,69;63843,43;62984,28;63836,9;0</t>
  </si>
  <si>
    <t>WIG;20071024;63669,43;63701,51;63149,39;63436,77;0</t>
  </si>
  <si>
    <t>WIG;20071025;63763,29;63889,25;63272,73;63604,32;0</t>
  </si>
  <si>
    <t>WIG;20071026;63394,22;63707,41;63015,71;63366,34;0</t>
  </si>
  <si>
    <t>WIG;20071029;63933,19;64025,24;63723,69;63759,55;0</t>
  </si>
  <si>
    <t>WIG;20071030;63768,74;63805,34;63056,59;63363,58;0</t>
  </si>
  <si>
    <t>WIG;20071031;63109,12;63432,2;62967,46;63126,46;0</t>
  </si>
  <si>
    <t>WIG;20071102;62246;62459,22;62002,01;62154,65;0</t>
  </si>
  <si>
    <t>WIG;20071105;61911,05;61924,13;61148,02;61759,14;0</t>
  </si>
  <si>
    <t>WIG;20071106;61801,79;61929,71;61460,63;61527,41;0</t>
  </si>
  <si>
    <t>WIG;20071107;61770,77;61839,66;59652,07;59953,16;0</t>
  </si>
  <si>
    <t>WIG;20071108;58405,79;59282,88;57946,15;59276,14;0</t>
  </si>
  <si>
    <t>WIG;20071109;59633,2;59709,72;57435,16;58222,82;0</t>
  </si>
  <si>
    <t>WIG;20071112;57664,15;57993,66;57209,07;57244,48;0</t>
  </si>
  <si>
    <t>WIG;20071113;57585,85;58049,94;57225,94;57978,35;0</t>
  </si>
  <si>
    <t>WIG;20071114;58759,48;58845,74;57383,98;57383,98;0</t>
  </si>
  <si>
    <t>WIG;20071115;57543,45;57586,71;55198,58;55600,24;0</t>
  </si>
  <si>
    <t>WIG;20071116;55427,97;55668,64;54400,36;55517,65;0</t>
  </si>
  <si>
    <t>WIG;20071119;56017,7;56125,23;55222,46;55558;0</t>
  </si>
  <si>
    <t>WIG;20071120;55526,15;55668,29;54765,43;55668,29;0</t>
  </si>
  <si>
    <t>WIG;20071121;54945,47;55089,45;54237,61;54670,59;0</t>
  </si>
  <si>
    <t>WIG;20071122;54526,25;55682,71;53843,05;55613,8;0</t>
  </si>
  <si>
    <t>WIG;20071123;56038,55;56276,72;55891,79;56094,38;0</t>
  </si>
  <si>
    <t>WIG;20071126;56641,09;56701,98;55288,94;55385,73;0</t>
  </si>
  <si>
    <t>WIG;20071127;55135,03;55237,22;54307,55;54575,42;0</t>
  </si>
  <si>
    <t>WIG;20071128;55008,26;55846,87;54355,93;55778,34;0</t>
  </si>
  <si>
    <t>WIG;20071129;56614,41;56810,22;56103,06;56105,33;0</t>
  </si>
  <si>
    <t>WIG;20071130;56438,3;56976;56338,94;56680,28;0</t>
  </si>
  <si>
    <t>WIG;20071203;56938,25;56997,41;56295,86;56412,82;0</t>
  </si>
  <si>
    <t>WIG;20071204;56394,74;56688,05;56222,64;56514,37;0</t>
  </si>
  <si>
    <t>WIG;20071205;57059,08;58442,96;56948,01;58142,96;0</t>
  </si>
  <si>
    <t>WIG;20071206;58478,27;58774,38;57927,72;58126,18;0</t>
  </si>
  <si>
    <t>WIG;20071207;58455,87;58635,79;58152,22;58635,79;0</t>
  </si>
  <si>
    <t>WIG;20071210;58621,57;59175,87;58418,51;58795,04;0</t>
  </si>
  <si>
    <t>WIG;20071211;58982,29;58982,29;58206,09;58396,83;0</t>
  </si>
  <si>
    <t>WIG;20071212;57490,86;58629,86;57490,86;58629,86;0</t>
  </si>
  <si>
    <t>WIG;20071213;58204,55;58280,33;57430,52;57736,5;0</t>
  </si>
  <si>
    <t>WIG;20071214;57739,33;57832,34;56460,42;56871,39;0</t>
  </si>
  <si>
    <t>WIG;20071217;56244,59;56244,59;55401,61;55401,61;0</t>
  </si>
  <si>
    <t>WIG;20071218;55546,01;55680,1;54030,49;55130,63;0</t>
  </si>
  <si>
    <t>WIG;20071219;55284,22;55284,22;54347,57;55060,77;0</t>
  </si>
  <si>
    <t>WIG;20071220;54963,4;55451,57;54962,76;55309,84;0</t>
  </si>
  <si>
    <t>WIG;20071221;55780,47;56188,86;55534,46;55792,46;0</t>
  </si>
  <si>
    <t>WIG;20071227;56038,53;56563,11;56038,53;56560,93;0</t>
  </si>
  <si>
    <t>WIG;20071228;56342,48;56445,56;55590,55;55648,54;0</t>
  </si>
  <si>
    <t>WIG;20080102;55702,46;56066,82;55521,39;55521,39;0</t>
  </si>
  <si>
    <t>WIG;20080103;55266,87;55497,97;54968,92;55497,97;0</t>
  </si>
  <si>
    <t>WIG;20080104;55685,37;55823,38;54732,16;54850,74;0</t>
  </si>
  <si>
    <t>WIG;20080107;54427,17;54525,15;53718,51;53718,51;0</t>
  </si>
  <si>
    <t>WIG;20080108;53786,39;53979,39;53315,43;53862,62;0</t>
  </si>
  <si>
    <t>WIG;20080109;53284,65;53284,65;51842,25;52419,12;0</t>
  </si>
  <si>
    <t>WIG;20080110;52382,73;52418,72;50614,98;51123,31;0</t>
  </si>
  <si>
    <t>WIG;20080111;50846,52;51204,09;50400,82;50400,82;0</t>
  </si>
  <si>
    <t>WIG;20080114;50202,36;50202,36;48727,23;49644,93;0</t>
  </si>
  <si>
    <t>WIG;20080115;49344,75;49965,94;47837,9;47863,64;0</t>
  </si>
  <si>
    <t>WIG;20080116;45786,28;46796,67;45400,06;46204,97;0</t>
  </si>
  <si>
    <t>WIG;20080117;47106,47;47201,45;45483,54;46548,84;0</t>
  </si>
  <si>
    <t>WIG;20080118;46315,57;47292,15;46041,8;47128,67;0</t>
  </si>
  <si>
    <t>WIG;20080121;45925,79;46297,39;44509,36;44509,36;0</t>
  </si>
  <si>
    <t>WIG;20080122;42522,26;45405,02;42506,24;45113,17;0</t>
  </si>
  <si>
    <t>WIG;20080123;46201,86;46351,08;44294,58;45362,07;0</t>
  </si>
  <si>
    <t>WIG;20080124;46579,13;47344,47;46447,64;47258,73;0</t>
  </si>
  <si>
    <t>WIG;20080125;47927,58;47964,71;47153;47522,07;0</t>
  </si>
  <si>
    <t>WIG;20080128;46795,26;46936,7;46360,9;46632,21;0</t>
  </si>
  <si>
    <t>WIG;20080129;47139,2;48037,07;47139,2;48037,07;0</t>
  </si>
  <si>
    <t>WIG;20080130;48210,33;48479,68;47938,04;48451,01;0</t>
  </si>
  <si>
    <t>WIG;20080131;48282,2;48456,6;47192,96;47747,81;0</t>
  </si>
  <si>
    <t>WIG;20080201;48381,7;49094,25;48369,91;49092,2;0</t>
  </si>
  <si>
    <t>WIG;20080204;49740,11;49923,94;49147,5;49429,45;0</t>
  </si>
  <si>
    <t>WIG;20080205;49236,29;49276,51;47695,66;47874,99;0</t>
  </si>
  <si>
    <t>WIG;20080206;46952,25;47929,48;46512,66;47929,48;0</t>
  </si>
  <si>
    <t>WIG;20080207;47848,76;47972,75;46552,19;47263,33;0</t>
  </si>
  <si>
    <t>WIG;20080208;47740,48;47740,48;46907,3;47588,98;0</t>
  </si>
  <si>
    <t>WIG;20080211;47378,74;48251,45;47364,95;47942,35;0</t>
  </si>
  <si>
    <t>WIG;20080212;48433,57;49460,28;48250,18;49364,33;0</t>
  </si>
  <si>
    <t>WIG;20080213;49220,54;49951,14;49116,52;49770,4;0</t>
  </si>
  <si>
    <t>WIG;20080214;50574,81;50699,13;49630,07;50029,37;0</t>
  </si>
  <si>
    <t>WIG;20080215;49848,91;49956,86;49007,94;49309,45;0</t>
  </si>
  <si>
    <t>WIG;20080218;49504,87;50263,67;49504,87;50193,53;0</t>
  </si>
  <si>
    <t>WIG;20080219;50220,12;50342,59;49603,53;50149,68;0</t>
  </si>
  <si>
    <t>WIG;20080220;49571,17;49837,48;49019,17;49837,48;0</t>
  </si>
  <si>
    <t>WIG;20080221;50110,1;50210,71;49591,14;49721,81;0</t>
  </si>
  <si>
    <t>WIG;20080222;49512,43;49675,47;49172,11;49320,22;0</t>
  </si>
  <si>
    <t>WIG;20080225;49702,36;49918,39;49089,48;49413,12;0</t>
  </si>
  <si>
    <t>WIG;20080226;49603,67;49899,69;48811,85;49038,71;0</t>
  </si>
  <si>
    <t>WIG;20080227;49101,07;49239,22;48500,47;48910,13;0</t>
  </si>
  <si>
    <t>WIG;20080228;49018,38;49018,38;48277,39;48505,48;0</t>
  </si>
  <si>
    <t>WIG;20080229;48457,94;48536,83;47373,72;47522;0</t>
  </si>
  <si>
    <t>WIG;20080303;46676,67;46676,85;46046,9;46556,85;0</t>
  </si>
  <si>
    <t>WIG;20080304;46637,18;46671,86;45674,39;45807,69;0</t>
  </si>
  <si>
    <t>WIG;20080305;45956,38;46772,32;45770,9;46772,32;0</t>
  </si>
  <si>
    <t>WIG;20080306;46576,2;46855,97;46105,37;46335,81;0</t>
  </si>
  <si>
    <t>WIG;20080307;45826,33;45871,37;45312,22;45792,47;0</t>
  </si>
  <si>
    <t>WIG;20080310;45754,62;46564,15;45658,43;46397,34;0</t>
  </si>
  <si>
    <t>WIG;20080311;46229,23;47409,68;46223,73;47345,99;0</t>
  </si>
  <si>
    <t>WIG;20080312;47860,75;47861,14;47246,18;47624,22;0</t>
  </si>
  <si>
    <t>WIG;20080313;46821,58;46847,27;46226,18;46423,82;0</t>
  </si>
  <si>
    <t>WIG;20080314;46540,89;47026,22;46189,19;46239,44;0</t>
  </si>
  <si>
    <t>WIG;20080317;45515,71;45564,52;44480,45;44933,9;0</t>
  </si>
  <si>
    <t>WIG;20080318;45098,25;46332,85;45038,59;46332,85;0</t>
  </si>
  <si>
    <t>WIG;20080319;46419,19;46667,43;45853,61;46667,43;0</t>
  </si>
  <si>
    <t>WIG;20080320;46149,22;46606,38;45903,7;45903,7;0</t>
  </si>
  <si>
    <t>WIG;20080325;47216,55;47396,71;46914,38;47290,8;0</t>
  </si>
  <si>
    <t>WIG;20080326;47262,22;47550,98;47156,84;47380,95;0</t>
  </si>
  <si>
    <t>WIG;20080327;47758,47;48125,56;47727,22;48012,4;0</t>
  </si>
  <si>
    <t>WIG;20080328;47770,91;48131,95;47590,26;47936,7;0</t>
  </si>
  <si>
    <t>WIG;20080331;47581,41;48108,45;47290,12;48011,28;0</t>
  </si>
  <si>
    <t>WIG;20080401;47890,39;48584,81;47860,32;48584,81;0</t>
  </si>
  <si>
    <t>WIG;20080402;49036,74;49088,38;48461,06;48548,05;0</t>
  </si>
  <si>
    <t>WIG;20080403;48507,82;48662,85;47984,56;48137,51;0</t>
  </si>
  <si>
    <t>WIG;20080404;48175,04;48724,16;48143,1;48615,51;0</t>
  </si>
  <si>
    <t>WIG;20080407;48954,15;49165,82;48827,02;48900,99;0</t>
  </si>
  <si>
    <t>WIG;20080408;48682,88;48682,88;48143,75;48249,15;0</t>
  </si>
  <si>
    <t>WIG;20080409;48090,99;48579,09;48070,67;48557,79;0</t>
  </si>
  <si>
    <t>WIG;20080410;48403,03;48541,35;48027,41;48148,78;0</t>
  </si>
  <si>
    <t>WIG;20080411;48483,51;48616;47064,18;47064,18;0</t>
  </si>
  <si>
    <t>WIG;20080414;46876,42;47073,33;46256,7;46715,7;0</t>
  </si>
  <si>
    <t>WIG;20080415;46808,22;47015,03;46398,3;47005,72;0</t>
  </si>
  <si>
    <t>WIG;20080416;47044,43;47287,6;46742,09;47125,13;0</t>
  </si>
  <si>
    <t>WIG;20080417;47285,96;47395,23;46699,04;46997,47;0</t>
  </si>
  <si>
    <t>WIG;20080418;46986,72;47477,13;46871,07;47477,05;0</t>
  </si>
  <si>
    <t>WIG;20080421;47459,54;47621,1;46815,16;46957,62;0</t>
  </si>
  <si>
    <t>WIG;20080422;46909,91;46926,18;45547,67;46152,17;0</t>
  </si>
  <si>
    <t>WIG;20080423;45998,87;46069,22;45250,19;45393,98;0</t>
  </si>
  <si>
    <t>WIG;20080424;45593,65;46035,24;45416,57;45957,92;0</t>
  </si>
  <si>
    <t>WIG;20080425;46163,08;46481,06;46068,39;46265,27;0</t>
  </si>
  <si>
    <t>WIG;20080428;46609,17;46823,17;46560,86;46807,86;0</t>
  </si>
  <si>
    <t>WIG;20080429;46732,8;46785,64;46175,13;46223,87;0</t>
  </si>
  <si>
    <t>WIG;20080430;46178,15;46691,84;46039,83;46691,84;0</t>
  </si>
  <si>
    <t>WIG;20080505;47273,98;47444,39;47105,35;47427,92;0</t>
  </si>
  <si>
    <t>WIG;20080506;47704,2;47736,98;47306,79;47536,28;0</t>
  </si>
  <si>
    <t>WIG;20080507;47698,69;48341,91;47692,69;48264,32;0</t>
  </si>
  <si>
    <t>WIG;20080508;47825;47973,63;47631,15;47729,92;0</t>
  </si>
  <si>
    <t>WIG;20080509;47751,92;47751,92;47412,62;47598,66;0</t>
  </si>
  <si>
    <t>WIG;20080512;47908,86;48065,27;47844,88;47956,52;0</t>
  </si>
  <si>
    <t>WIG;20080513;48168,93;48195,35;47925,43;48014,37;0</t>
  </si>
  <si>
    <t>WIG;20080514;48367,87;48504,86;48192,06;48321,35;0</t>
  </si>
  <si>
    <t>WIG;20080515;48056,67;48083,11;47640,03;47760,75;0</t>
  </si>
  <si>
    <t>WIG;20080516;47965,51;48082,62;47828,41;47960,4;0</t>
  </si>
  <si>
    <t>WIG;20080519;48035,53;48048,1;47365,19;47709,82;0</t>
  </si>
  <si>
    <t>WIG;20080520;47701,64;47701,64;46976,08;47025,2;0</t>
  </si>
  <si>
    <t>WIG;20080521;46958,84;47259,67;46642,2;47014,99;0</t>
  </si>
  <si>
    <t>WIG;20080523;46759,47;46824,7;46325,53;46573,9;0</t>
  </si>
  <si>
    <t>WIG;20080526;46543,97;46717,21;46457,46;46620,03;0</t>
  </si>
  <si>
    <t>WIG;20080527;46813,96;46836,1;46505,55;46582,82;0</t>
  </si>
  <si>
    <t>WIG;20080528;46772,72;47110,63;46717,24;46868,52;0</t>
  </si>
  <si>
    <t>WIG;20080529;47132,24;47157,32;46348,71;46546,54;0</t>
  </si>
  <si>
    <t>WIG;20080530;46705,07;46803,87;46570,49;46624,44;0</t>
  </si>
  <si>
    <t>WIG;20080602;46650,26;46650,26;46321,38;46390,78;0</t>
  </si>
  <si>
    <t>WIG;20080603;46212,9;46692,35;46212,9;46692,35;0</t>
  </si>
  <si>
    <t>WIG;20080604;46554,66;46577,4;45908,71;45908,71;0</t>
  </si>
  <si>
    <t>WIG;20080605;46012,23;46277,97;45896,21;46100,38;0</t>
  </si>
  <si>
    <t>WIG;20080606;46560,65;46758,82;45819,4;45819,4;0</t>
  </si>
  <si>
    <t>WIG;20080609;45356,58;45356,58;44803,3;45029,57;0</t>
  </si>
  <si>
    <t>WIG;20080610;44468,46;44485,07;43519,85;43782,32;0</t>
  </si>
  <si>
    <t>WIG;20080611;43882,57;43882,57;42896,54;42968,11;0</t>
  </si>
  <si>
    <t>WIG;20080612;42820,8;43461,47;42820,8;43459,77;0</t>
  </si>
  <si>
    <t>WIG;20080613;43232,08;43657,45;42983,77;43623,32;0</t>
  </si>
  <si>
    <t>WIG;20080616;43938,2;43974,5;43208,29;43322,93;0</t>
  </si>
  <si>
    <t>WIG;20080617;43511,43;43878,61;43493,63;43559,61;0</t>
  </si>
  <si>
    <t>WIG;20080618;43292,7;43469,36;42903,76;42925,3;0</t>
  </si>
  <si>
    <t>WIG;20080619;42382,66;43425,16;42382,66;43310,33;0</t>
  </si>
  <si>
    <t>WIG;20080620;43455,09;43687,63;42987,44;42987,44;0</t>
  </si>
  <si>
    <t>WIG;20080623;43177,55;43430,81;42272,15;42272,15;0</t>
  </si>
  <si>
    <t>WIG;20080624;42561,96;42588,98;41835,63;42006,23;0</t>
  </si>
  <si>
    <t>WIG;20080625;42189,38;42315,34;41855,89;42077,27;0</t>
  </si>
  <si>
    <t>WIG;20080626;42045,98;42248,3;41706,99;42117,4;0</t>
  </si>
  <si>
    <t>WIG;20080627;41377,45;41585,98;41178,17;41373,83;0</t>
  </si>
  <si>
    <t>WIG;20080630;41603,12;41745,3;41056,33;41146,26;0</t>
  </si>
  <si>
    <t>WIG;20080701;41119,58;41214,61;40201,78;40489,39;0</t>
  </si>
  <si>
    <t>WIG;20080702;40445,67;40580,42;40263,51;40419,99;0</t>
  </si>
  <si>
    <t>WIG;20080703;40038,56;40261,24;39684,59;40101,76;0</t>
  </si>
  <si>
    <t>WIG;20080704;40013,45;40074,69;39497,92;39584,02;0</t>
  </si>
  <si>
    <t>WIG;20080707;39726,7;39726,7;39134,51;39471,6;0</t>
  </si>
  <si>
    <t>WIG;20080708;39019,1;39429,79;38692,7;39429,79;0</t>
  </si>
  <si>
    <t>WIG;20080709;39739,81;40061,98;39645,56;40003,07;0</t>
  </si>
  <si>
    <t>WIG;20080710;39636,49;40163,52;39606,23;39632,83;0</t>
  </si>
  <si>
    <t>WIG;20080711;39862,3;39934,6;38763,81;38927,92;0</t>
  </si>
  <si>
    <t>WIG;20080714;39142,43;39299,53;38682,53;38828,47;0</t>
  </si>
  <si>
    <t>WIG;20080715;38394;38526,59;37613,18;37654,12;0</t>
  </si>
  <si>
    <t>WIG;20080716;37812,77;37945,53;37371,76;37507,55;0</t>
  </si>
  <si>
    <t>WIG;20080717;38197,16;38682,73;38014,58;38682,73;0</t>
  </si>
  <si>
    <t>WIG;20080718;38601,22;38936,6;38243,68;38847,26;0</t>
  </si>
  <si>
    <t>WIG;20080721;38708,93;39746,73;38676,28;39745,36;0</t>
  </si>
  <si>
    <t>WIG;20080722;39587,55;39799,45;39394,53;39799,18;0</t>
  </si>
  <si>
    <t>WIG;20080723;40180,7;40702,54;40163,69;40702,54;0</t>
  </si>
  <si>
    <t>WIG;20080724;40785,75;40978,28;40356,29;40381,78;0</t>
  </si>
  <si>
    <t>WIG;20080725;39944,6;40651,77;39823,76;40640,39;0</t>
  </si>
  <si>
    <t>WIG;20080728;40471,07;40886,16;40469,3;40879,48;0</t>
  </si>
  <si>
    <t>WIG;20080729;40477,86;40924,31;40452,45;40869,23;0</t>
  </si>
  <si>
    <t>WIG;20080730;41437,15;42416,36;41437,15;42416,36;0</t>
  </si>
  <si>
    <t>WIG;20080731;42322,23;42546,36;41755,24;42405,83;0</t>
  </si>
  <si>
    <t>WIG;20080801;42136,24;42153,09;41842,2;42017,93;0</t>
  </si>
  <si>
    <t>WIG;20080804;41755,9;42109,99;41551,92;41628,12;0</t>
  </si>
  <si>
    <t>WIG;20080805;41564,99;42230,35;41564,99;42118,25;0</t>
  </si>
  <si>
    <t>WIG;20080806;42374,45;42374,45;41437,13;41437,13;0</t>
  </si>
  <si>
    <t>WIG;20080807;41345,83;41831,09;40848,49;40924,25;0</t>
  </si>
  <si>
    <t>WIG;20080808;40884,87;41070,98;40389,52;40651,79;0</t>
  </si>
  <si>
    <t>WIG;20080811;41041,16;41080,25;40816,03;40949,96;0</t>
  </si>
  <si>
    <t>WIG;20080812;40943,92;41530,21;40909,89;41457,96;0</t>
  </si>
  <si>
    <t>WIG;20080813;41436,58;41436,58;41008,68;41049,76;0</t>
  </si>
  <si>
    <t>WIG;20080814;41274,95;41390,62;40712,72;40903,46;0</t>
  </si>
  <si>
    <t>WIG;20080818;40828,07;41062,22;40662,79;40736,81;0</t>
  </si>
  <si>
    <t>WIG;20080819;40390,21;40433,93;39705,88;39777,48;0</t>
  </si>
  <si>
    <t>WIG;20080820;39856,99;39951,46;39571,09;39888,14;0</t>
  </si>
  <si>
    <t>WIG;20080821;39768,68;39903,25;39555,31;39903,25;0</t>
  </si>
  <si>
    <t>WIG;20080822;40061,92;40447,86;40018,36;40411,33;0</t>
  </si>
  <si>
    <t>WIG;20080825;40482,8;40599,43;40190,14;40281,62;0</t>
  </si>
  <si>
    <t>WIG;20080826;39941,3;40031,06;39786,8;39799;0</t>
  </si>
  <si>
    <t>WIG;20080827;39899,22;39990,22;39306,67;39468,17;0</t>
  </si>
  <si>
    <t>WIG;20080828;39304,22;40149,89;39226,05;40149,89;0</t>
  </si>
  <si>
    <t>WIG;20080829;40221,02;40563,44;40221,02;40481,8;0</t>
  </si>
  <si>
    <t>WIG;20080901;40083,53;40551,36;40083,53;40440,13;0</t>
  </si>
  <si>
    <t>WIG;20080902;40489,12;41396,42;40277,02;41389,15;0</t>
  </si>
  <si>
    <t>WIG;20080903;41265,94;41453,47;41086,28;41152,32;0</t>
  </si>
  <si>
    <t>WIG;20080904;41383,03;41483,37;41147,18;41263,03;0</t>
  </si>
  <si>
    <t>WIG;20080905;40618,7;40722,9;39830,52;39913,52;0</t>
  </si>
  <si>
    <t>WIG;20080908;40569,15;40751,81;40393,5;40654,47;0</t>
  </si>
  <si>
    <t>WIG;20080909;40531,81;40695,47;40201,95;40246,8;0</t>
  </si>
  <si>
    <t>WIG;20080910;40108,91;40152,49;39147,4;39572,33;0</t>
  </si>
  <si>
    <t>WIG;20080911;39484,31;39566,77;39015,5;39038,96;0</t>
  </si>
  <si>
    <t>WIG;20080912;39408,49;39481,25;39062,21;39121,03;0</t>
  </si>
  <si>
    <t>WIG;20080915;38606,54;38609,76;37402,86;37705,13;0</t>
  </si>
  <si>
    <t>WIG;20080916;37162,35;37447,74;36539,99;36560,96;0</t>
  </si>
  <si>
    <t>WIG;20080917;37101,98;37252,19;36173,56;36431,54;0</t>
  </si>
  <si>
    <t>WIG;20080918;35733,74;36653,56;35688,47;36578,47;0</t>
  </si>
  <si>
    <t>WIG;20080919;37519,91;38366,39;37420,24;38360,99;0</t>
  </si>
  <si>
    <t>WIG;20080922;38577,1;38832,65;38086,01;38277,87;0</t>
  </si>
  <si>
    <t>WIG;20080923;37877,67;37915,74;37290,39;37405,6;0</t>
  </si>
  <si>
    <t>WIG;20080924;37621,81;37750,04;37388,78;37486,11;0</t>
  </si>
  <si>
    <t>WIG;20080925;37476,61;38400,15;37418,6;38400,15;0</t>
  </si>
  <si>
    <t>WIG;20080926;38025;38583,03;37912,28;38460,54;0</t>
  </si>
  <si>
    <t>WIG;20080929;38365,49;38365,58;36854,78;36854,78;0</t>
  </si>
  <si>
    <t>WIG;20080930;35827,17;37367,33;35690,36;37367,33;0</t>
  </si>
  <si>
    <t>WIG;20081001;37451,71;38235,96;37451,03;37783,08;0</t>
  </si>
  <si>
    <t>WIG;20081002;38018,46;38065,04;36812,11;37179,65;0</t>
  </si>
  <si>
    <t>WIG;20081003;37002,75;37115,69;36268,69;36830,27;0</t>
  </si>
  <si>
    <t>WIG;20081006;35912,16;35912,16;34690,15;34832,29;0</t>
  </si>
  <si>
    <t>WIG;20081007;35366,37;35405,45;33780,36;34166,86;0</t>
  </si>
  <si>
    <t>WIG;20081008;32846,51;34150,78;32259,81;33643,42;0</t>
  </si>
  <si>
    <t>WIG;20081009;33994,73;34223,79;33559,75;33724,03;0</t>
  </si>
  <si>
    <t>WIG;20081010;32046,18;32118,15;29666,04;31041,42;0</t>
  </si>
  <si>
    <t>WIG;20081013;32020,44;32060,13;31238,41;31554,9;0</t>
  </si>
  <si>
    <t>WIG;20081014;33116,9;33222,17;32503,87;32757,06;0</t>
  </si>
  <si>
    <t>WIG;20081015;32577,98;32577,98;30737,12;30997,31;0</t>
  </si>
  <si>
    <t>WIG;20081016;29633,49;30810,42;29569,2;30047,39;0</t>
  </si>
  <si>
    <t>WIG;20081017;30826,25;30878,7;27893,1;28624,85;0</t>
  </si>
  <si>
    <t>WIG;20081020;29218,29;29390,38;28565,74;28670,13;0</t>
  </si>
  <si>
    <t>WIG;20081021;29093,3;29641,19;28843,19;29096,61;0</t>
  </si>
  <si>
    <t>WIG;20081022;28612,73;28814,36;27241,64;27282,25;0</t>
  </si>
  <si>
    <t>WIG;20081023;27303,18;27524,45;25561,88;26273,3;0</t>
  </si>
  <si>
    <t>WIG;20081024;25668,59;25725,16;24698,54;25291,39;0</t>
  </si>
  <si>
    <t>WIG;20081027;24621,28;25594,4;24125,41;25278,6;0</t>
  </si>
  <si>
    <t>WIG;20081028;26020,42;26199,77;25617,91;25874,05;0</t>
  </si>
  <si>
    <t>WIG;20081029;26792,55;27565,63;26720,76;27497,03;0</t>
  </si>
  <si>
    <t>WIG;20081030;28272,88;28390;27444,37;28056,29;0</t>
  </si>
  <si>
    <t>WIG;20081031;27683,69;28444,36;27530,61;28397,06;0</t>
  </si>
  <si>
    <t>WIG;20081103;28421,17;28947,71;28215,19;28455,94;0</t>
  </si>
  <si>
    <t>WIG;20081104;28558,06;29600,54;28405,42;29600,54;0</t>
  </si>
  <si>
    <t>WIG;20081105;29474,06;29561,03;28869,26;29070,63;0</t>
  </si>
  <si>
    <t>WIG;20081106;28258,52;28661,1;27878,05;27976,81;0</t>
  </si>
  <si>
    <t>WIG;20081107;28131,67;28529,24;27817,29;28427,3;0</t>
  </si>
  <si>
    <t>WIG;20081110;28874,14;29198,37;28750,51;28819,98;0</t>
  </si>
  <si>
    <t>WIG;20081112;28465,27;28480,19;26796,36;27590,59;0</t>
  </si>
  <si>
    <t>WIG;20081113;26591,73;27021,78;26156,95;26702,48;0</t>
  </si>
  <si>
    <t>WIG;20081114;27487,6;27580,77;26945,68;27110,59;0</t>
  </si>
  <si>
    <t>WIG;20081117;26964,83;27125,7;26336,89;26583,32;0</t>
  </si>
  <si>
    <t>WIG;20081118;26378,9;26378,9;25615,91;25778,61;0</t>
  </si>
  <si>
    <t>WIG;20081119;26070,71;26117,25;25558,18;26108,55;0</t>
  </si>
  <si>
    <t>WIG;20081120;25065,06;25115,58;24701,9;24852,95;0</t>
  </si>
  <si>
    <t>WIG;20081121;25186,36;25473,36;25029,96;25388,84;0</t>
  </si>
  <si>
    <t>WIG;20081124;25808,67;26965,38;25712,15;26964,31;0</t>
  </si>
  <si>
    <t>WIG;20081125;27114,46;27403,39;26873,45;27232,25;0</t>
  </si>
  <si>
    <t>WIG;20081126;27142,1;27736,68;26994,66;27246,38;0</t>
  </si>
  <si>
    <t>WIG;20081127;27609,33;27983,18;27364;27543,48;0</t>
  </si>
  <si>
    <t>WIG;20081128;27539,48;27541,63;26948,25;27130,09;0</t>
  </si>
  <si>
    <t>WIG;20081201;26973,37;27047,97;26468,07;26604,96;0</t>
  </si>
  <si>
    <t>WIG;20081202;25865,11;27008,15;25790,67;27008,15;0</t>
  </si>
  <si>
    <t>WIG;20081203;27153,25;27187,47;26465,35;26635,72;0</t>
  </si>
  <si>
    <t>WIG;20081204;26793,59;27473,29;26674,28;27312,48;0</t>
  </si>
  <si>
    <t>WIG;20081205;27139,41;27438,14;26813,79;26980,54;0</t>
  </si>
  <si>
    <t>WIG;20081208;27853,34;28090,95;27749,6;28043,82;0</t>
  </si>
  <si>
    <t>WIG;20081209;27970,45;28443,3;27874,69;28443,3;0</t>
  </si>
  <si>
    <t>WIG;20081210;28468,81;28609,44;27999,39;28310,68;0</t>
  </si>
  <si>
    <t>WIG;20081211;28320,81;28325,07;27835,82;28160,84;0</t>
  </si>
  <si>
    <t>WIG;20081212;27452,96;27558,23;27254,09;27318,7;0</t>
  </si>
  <si>
    <t>WIG;20081215;27641,32;27749,21;27441,78;27725,24;0</t>
  </si>
  <si>
    <t>WIG;20081216;27915,41;28257,01;27747;28257,01;0</t>
  </si>
  <si>
    <t>WIG;20081217;28467,62;28467,62;27394,24;27394,24;0</t>
  </si>
  <si>
    <t>WIG;20081218;27553,58;27683,71;27130,56;27394,89;0</t>
  </si>
  <si>
    <t>WIG;20081219;27236,87;27533,26;27162,56;27222,22;0</t>
  </si>
  <si>
    <t>WIG;20081222;27336,76;27403,74;26744,42;26824,58;0</t>
  </si>
  <si>
    <t>WIG;20081223;26734,08;26868,08;26701,97;26776,29;0</t>
  </si>
  <si>
    <t>WIG;20081229;26832,47;27178,05;26832,47;27095,91;0</t>
  </si>
  <si>
    <t>WIG;20081230;27246,41;27519,55;27246,41;27391,21;0</t>
  </si>
  <si>
    <t>WIG;20081231;27414,6;27530,48;27183,29;27228,64;0</t>
  </si>
  <si>
    <t>WIG;20090105;27967,77;28331,88;27942,55;28331,88;0</t>
  </si>
  <si>
    <t>WIG;20090106;28434,41;28941,49;28336,48;28933,57;0</t>
  </si>
  <si>
    <t>WIG;20090107;28876,54;28960,54;28416,64;28516,98;0</t>
  </si>
  <si>
    <t>WIG;20090108;28132,6;28463,11;28129,08;28200,15;0</t>
  </si>
  <si>
    <t>WIG;20090109;28307,34;28401,83;27629,91;27680,04;0</t>
  </si>
  <si>
    <t>WIG;20090112;27619,74;27721,96;27266,32;27364,53;0</t>
  </si>
  <si>
    <t>WIG;20090113;27108,02;27138,79;26651,31;27020,31;0</t>
  </si>
  <si>
    <t>WIG;20090114;27247,72;27264,74;26123,75;26228,65;0</t>
  </si>
  <si>
    <t>WIG;20090115;26136,36;26215,53;25588,59;25920,72;0</t>
  </si>
  <si>
    <t>WIG;20090116;26363,71;26382,22;25920,59;26177,06;0</t>
  </si>
  <si>
    <t>WIG;20090119;26358,27;26361,48;25376,73;25475,84;0</t>
  </si>
  <si>
    <t>WIG;20090120;25337,1;25515,17;24986,69;25303,46;0</t>
  </si>
  <si>
    <t>WIG;20090121;24871,92;25628,79;24436,42;25628,79;0</t>
  </si>
  <si>
    <t>WIG;20090122;25953,34;25953,34;24512,83;24932,01;0</t>
  </si>
  <si>
    <t>WIG;20090123;24790,91;24798;24021,69;24798;0</t>
  </si>
  <si>
    <t>WIG;20090126;24523,75;25411,36;24378,45;25411,09;0</t>
  </si>
  <si>
    <t>WIG;20090127;25450,37;25552,91;24801,96;24811,95;0</t>
  </si>
  <si>
    <t>WIG;20090128;25159,42;25382,09;25039,63;25039,63;0</t>
  </si>
  <si>
    <t>WIG;20090129;25200,59;25209,74;24669,98;24865,11;0</t>
  </si>
  <si>
    <t>WIG;20090130;24694,53;24904,35;24407,83;24685,36;0</t>
  </si>
  <si>
    <t>WIG;20090202;24485,4;24537,69;23777,41;23908,36;0</t>
  </si>
  <si>
    <t>WIG;20090203;24006,67;24063,16;22984,96;23009,76;0</t>
  </si>
  <si>
    <t>WIG;20090204;23202,85;23301,1;22842,96;23236,08;0</t>
  </si>
  <si>
    <t>WIG;20090205;23097,73;23597,33;22997,3;23319,22;0</t>
  </si>
  <si>
    <t>WIG;20090206;23686,84;23916,54;23574,77;23914,36;0</t>
  </si>
  <si>
    <t>WIG;20090209;24130,51;24470,22;23712,85;24470,22;0</t>
  </si>
  <si>
    <t>WIG;20090210;24374,48;24693,55;24238,97;24584,9;0</t>
  </si>
  <si>
    <t>WIG;20090211;24011,53;24370,06;24008,6;24124,11;0</t>
  </si>
  <si>
    <t>WIG;20090212;24092,82;24092,82;23348,58;23564,5;0</t>
  </si>
  <si>
    <t>WIG;20090213;23723,17;23839,67;23510,17;23555,47;0</t>
  </si>
  <si>
    <t>WIG;20090216;23483,44;23497,16;22789,77;22789,77;0</t>
  </si>
  <si>
    <t>WIG;20090217;22501,95;22501,95;21274,28;21274,28;0</t>
  </si>
  <si>
    <t>WIG;20090218;21503,23;21624,61;20370,29;21320,83;0</t>
  </si>
  <si>
    <t>WIG;20090219;21632,94;22305,68;21601,54;22199,49;0</t>
  </si>
  <si>
    <t>WIG;20090220;21814,69;22094,8;21364,87;21831,55;0</t>
  </si>
  <si>
    <t>WIG;20090223;22372,04;22495,24;21607,43;21655,99;0</t>
  </si>
  <si>
    <t>WIG;20090224;21220,02;21654,57;21085,72;21484,56;0</t>
  </si>
  <si>
    <t>WIG;20090225;21968,21;22182,72;21370,92;21422,92;0</t>
  </si>
  <si>
    <t>WIG;20090226;21425,61;21923,27;21261,4;21923,27;0</t>
  </si>
  <si>
    <t>WIG;20090227;21758,05;22186,86;21520,33;21690,75;0</t>
  </si>
  <si>
    <t>WIG;20090302;21400,96;21868,8;21310,44;21769,85;0</t>
  </si>
  <si>
    <t>WIG;20090303;21697,22;22113,14;21666,12;21999,05;0</t>
  </si>
  <si>
    <t>WIG;20090304;22293,2;22798,91;22155,81;22719,61;0</t>
  </si>
  <si>
    <t>WIG;20090305;22833,6;22833,9;22414,43;22547,31;0</t>
  </si>
  <si>
    <t>WIG;20090306;22269,76;23036,01;22244,77;22948,51;0</t>
  </si>
  <si>
    <t>WIG;20090309;22949,65;22962,33;22408,01;22716,13;0</t>
  </si>
  <si>
    <t>WIG;20090310;22690,71;23190,64;22690,71;23036,22;0</t>
  </si>
  <si>
    <t>WIG;20090311;23348,01;23530,92;23129,03;23232,4;0</t>
  </si>
  <si>
    <t>WIG;20090312;23014,72;23192,41;22774,6;23163,94;0</t>
  </si>
  <si>
    <t>WIG;20090313;23630,34;23686,62;23176,7;23176,7;0</t>
  </si>
  <si>
    <t>WIG;20090316;23376,4;23586,08;23311,87;23497,59;0</t>
  </si>
  <si>
    <t>WIG;20090317;23495,48;23495,48;23070,51;23190,03;0</t>
  </si>
  <si>
    <t>WIG;20090318;23303,84;23327,13;22765,22;22892,3;0</t>
  </si>
  <si>
    <t>WIG;20090319;23056,13;23376,97;22918,34;23328,95;0</t>
  </si>
  <si>
    <t>WIG;20090320;23305,13;23581,88;23269,87;23581,88;0</t>
  </si>
  <si>
    <t>WIG;20090323;23877,42;24375,79;23855,84;24332,88;0</t>
  </si>
  <si>
    <t>WIG;20090324;24818;24824,58;24308,79;24443,51;0</t>
  </si>
  <si>
    <t>WIG;20090325;24404,53;25477,2;24338,81;25477,2;0</t>
  </si>
  <si>
    <t>WIG;20090326;25534,45;25717,38;25373,02;25386,25;0</t>
  </si>
  <si>
    <t>WIG;20090327;25393,37;25399,68;24707,99;24812,97;0</t>
  </si>
  <si>
    <t>WIG;20090330;24351,5;24471,11;23830,33;23980,08;0</t>
  </si>
  <si>
    <t>WIG;20090331;24191,09;24491,39;24036,12;24036,12;0</t>
  </si>
  <si>
    <t>WIG;20090401;24327,82;24327,82;23691,95;24145,69;0</t>
  </si>
  <si>
    <t>WIG;20090402;24795,2;25587,43;24751,15;25587,32;0</t>
  </si>
  <si>
    <t>WIG;20090403;25501,18;26637,16;25477,38;26152,04;0</t>
  </si>
  <si>
    <t>WIG;20090406;26574,7;27019,06;26052,17;26410,72;0</t>
  </si>
  <si>
    <t>WIG;20090407;26349,01;26409,1;26078,33;26172,07;0</t>
  </si>
  <si>
    <t>WIG;20090408;25908,9;27365,14;25850,03;27365,14;0</t>
  </si>
  <si>
    <t>WIG;20090409;27689,32;28017,84;27071,25;28017,84;0</t>
  </si>
  <si>
    <t>WIG;20090414;27736,59;28646,54;27697,74;28070,38;0</t>
  </si>
  <si>
    <t>WIG;20090415;28046,34;28274,98;27832,88;28274,98;0</t>
  </si>
  <si>
    <t>WIG;20090416;28530,31;28589,5;28018,73;28134,84;0</t>
  </si>
  <si>
    <t>WIG;20090417;28227,54;28269,92;27389,04;27390,47;0</t>
  </si>
  <si>
    <t>WIG;20090420;27468,7;27469,11;26700,15;26700,15;0</t>
  </si>
  <si>
    <t>WIG;20090421;26611,22;27053,29;26420,22;26834;0</t>
  </si>
  <si>
    <t>WIG;20090422;26951,8;27559,38;26858,91;27431,01;0</t>
  </si>
  <si>
    <t>WIG;20090423;27553,6;27987,67;27421,13;27719,7;0</t>
  </si>
  <si>
    <t>WIG;20090424;27785,6;28322,01;27748,17;28319,93;0</t>
  </si>
  <si>
    <t>WIG;20090427;27968,11;28168,34;27788,57;28005,47;0</t>
  </si>
  <si>
    <t>WIG;20090428;27555,63;27604,24;27143,93;27318,54;0</t>
  </si>
  <si>
    <t>WIG;20090429;27560,8;28320,48;27560,8;28273,93;0</t>
  </si>
  <si>
    <t>WIG;20090430;28640,25;29039,4;28640,25;29018,62;0</t>
  </si>
  <si>
    <t>WIG;20090504;29441,56;30063,07;29398,59;30018,26;0</t>
  </si>
  <si>
    <t>WIG;20090505;29954,31;30241,15;29606,7;29777,06;0</t>
  </si>
  <si>
    <t>WIG;20090506;29549,33;30224,91;29472,28;29887,34;0</t>
  </si>
  <si>
    <t>WIG;20090507;30297,69;30495,64;29721,01;29721,01;0</t>
  </si>
  <si>
    <t>WIG;20090508;29928,2;29936,39;29375,44;29698,36;0</t>
  </si>
  <si>
    <t>WIG;20090511;29753,34;29857,82;29229,86;29463,99;0</t>
  </si>
  <si>
    <t>WIG;20090512;29714,2;30247,23;29599,84;30162,14;0</t>
  </si>
  <si>
    <t>WIG;20090513;30381,27;30449,25;29483,96;29495,23;0</t>
  </si>
  <si>
    <t>WIG;20090514;29078,17;29341,95;28971,22;29311,53;0</t>
  </si>
  <si>
    <t>WIG;20090515;29664,87;29697,4;29243,13;29424,4;0</t>
  </si>
  <si>
    <t>WIG;20090518;29364,54;29893,31;29292,76;29893,31;0</t>
  </si>
  <si>
    <t>WIG;20090519;30315,8;30602,4;30062,79;30312,26;0</t>
  </si>
  <si>
    <t>WIG;20090520;30358,63;30758,68;30247,5;30306,1;0</t>
  </si>
  <si>
    <t>WIG;20090521;30015,12;30102,62;29659,4;29681,36;0</t>
  </si>
  <si>
    <t>WIG;20090522;29712,86;29736,67;29242,6;29399,62;0</t>
  </si>
  <si>
    <t>WIG;20090525;29593,57;29615,64;29017,09;29197,11;0</t>
  </si>
  <si>
    <t>WIG;20090526;29221,96;29273,58;28812,16;29212,9;0</t>
  </si>
  <si>
    <t>WIG;20090527;29583,13;29969,17;29583,13;29775,36;0</t>
  </si>
  <si>
    <t>WIG;20090528;29737,59;29807,98;29431,51;29454,42;0</t>
  </si>
  <si>
    <t>WIG;20090529;29690,82;29856,25;29320,77;29322,72;0</t>
  </si>
  <si>
    <t>WIG;20090601;29904,7;30781,55;29872,17;30781,55;0</t>
  </si>
  <si>
    <t>WIG;20090602;30747,64;31513,95;30647,28;31370,8;0</t>
  </si>
  <si>
    <t>WIG;20090603;31555,16;31591;31030,61;31030,61;0</t>
  </si>
  <si>
    <t>WIG;20090604;31192,05;31554,83;31132,37;31459,17;0</t>
  </si>
  <si>
    <t>WIG;20090605;31802,85;31974,52;31399,03;31399,03;0</t>
  </si>
  <si>
    <t>WIG;20090608;31277,02;31277,65;30813,39;30835,06;0</t>
  </si>
  <si>
    <t>WIG;20090609;30965,67;31321,06;30912,36;31321,06;0</t>
  </si>
  <si>
    <t>WIG;20090610;31891,88;32024,64;31734,72;31916,69;0</t>
  </si>
  <si>
    <t>WIG;20090612;31872,64;32362,67;31732,89;32362,67;0</t>
  </si>
  <si>
    <t>WIG;20090615;32237,8;32327,52;31893,63;31917,2;0</t>
  </si>
  <si>
    <t>WIG;20090616;31709,07;31996,19;31532,18;31788,86;0</t>
  </si>
  <si>
    <t>WIG;20090617;31915,78;31975,08;30993,86;31125,88;0</t>
  </si>
  <si>
    <t>WIG;20090618;31145,79;31255,54;30752,54;31081,2;0</t>
  </si>
  <si>
    <t>WIG;20090619;30981,79;31656,04;30969,37;31556,23;0</t>
  </si>
  <si>
    <t>WIG;20090622;31465,82;31465,82;29956,51;29975,36;0</t>
  </si>
  <si>
    <t>WIG;20090623;29684,73;30108,4;29556,14;29896,57;0</t>
  </si>
  <si>
    <t>WIG;20090624;30043,94;30377,49;29954;30286,36;0</t>
  </si>
  <si>
    <t>WIG;20090625;30514,44;30514,44;29863,86;30099,19;0</t>
  </si>
  <si>
    <t>WIG;20090626;30374,41;30471,38;30167,78;30262,52;0</t>
  </si>
  <si>
    <t>WIG;20090629;30095,41;30656,24;30073,21;30525,72;0</t>
  </si>
  <si>
    <t>WIG;20090630;30808,21;30942,11;30419,03;30419,03;0</t>
  </si>
  <si>
    <t>WIG;20090701;30475,24;30790,19;30442,04;30688,73;0</t>
  </si>
  <si>
    <t>WIG;20090702;30765,75;30794,76;30228,23;30252,24;0</t>
  </si>
  <si>
    <t>WIG;20090703;30270,18;30281,25;30001,81;30105,1;0</t>
  </si>
  <si>
    <t>WIG;20090706;29914,2;29931,86;29647,04;29834,98;0</t>
  </si>
  <si>
    <t>WIG;20090707;29976,54;30149,82;29764,14;29838,8;0</t>
  </si>
  <si>
    <t>WIG;20090708;29592,4;29837,93;29523,83;29744,23;0</t>
  </si>
  <si>
    <t>WIG;20090709;29977,32;30079,37;29785,75;29940,65;0</t>
  </si>
  <si>
    <t>WIG;20090710;29903,68;29933,94;29611,48;29611,48;0</t>
  </si>
  <si>
    <t>WIG;20090713;29395,45;29790,38;29209,98;29790,38;0</t>
  </si>
  <si>
    <t>WIG;20090714;30076,15;31044,8;30076,15;31044,8;0</t>
  </si>
  <si>
    <t>WIG;20090715;31327,18;31696,31;31227,04;31696,31;0</t>
  </si>
  <si>
    <t>WIG;20090716;31654,41;31922,74;31522,24;31714,14;0</t>
  </si>
  <si>
    <t>WIG;20090717;31712,8;31825,3;31544,68;31544,68;0</t>
  </si>
  <si>
    <t>WIG;20090720;31936,73;32894,06;31933,27;32821,85;0</t>
  </si>
  <si>
    <t>WIG;20090721;32853,85;33387,55;32679,03;33262,04;0</t>
  </si>
  <si>
    <t>WIG;20090722;33097,6;33172,51;32690,46;32829,48;0</t>
  </si>
  <si>
    <t>WIG;20090723;33121,82;33529,5;33056,81;33529,5;0</t>
  </si>
  <si>
    <t>WIG;20090724;33723,81;34311,53;33663,75;33997,11;0</t>
  </si>
  <si>
    <t>WIG;20090727;34475,45;34652,92;33935,65;34053,02;0</t>
  </si>
  <si>
    <t>WIG;20090728;34166,09;34474,06;33632,25;33632,25;0</t>
  </si>
  <si>
    <t>WIG;20090729;33483,49;33974,98;33399,3;33822,11;0</t>
  </si>
  <si>
    <t>WIG;20090730;34197,08;35175,59;33982,29;35175,59;0</t>
  </si>
  <si>
    <t>WIG;20090731;35335,67;35555,82;34921,76;35261,9;0</t>
  </si>
  <si>
    <t>WIG;20090803;35359,09;35965,2;35334,03;35685,61;0</t>
  </si>
  <si>
    <t>WIG;20090804;35512,55;35512,55;35168,86;35363,92;0</t>
  </si>
  <si>
    <t>WIG;20090805;35265,18;35689,72;34675,32;34676,38;0</t>
  </si>
  <si>
    <t>WIG;20090806;35090,41;35293,31;34552,91;34979,36;0</t>
  </si>
  <si>
    <t>WIG;20090807;34885,5;35483,35;34545,09;35422,92;0</t>
  </si>
  <si>
    <t>WIG;20090810;35674,03;35826,83;35363,29;35821,48;0</t>
  </si>
  <si>
    <t>WIG;20090811;35942,49;36243,5;35288,74;35288,74;0</t>
  </si>
  <si>
    <t>WIG;20090812;35003,97;35386,53;34613,41;35224,78;0</t>
  </si>
  <si>
    <t>WIG;20090813;35828,48;36416,37;35604,36;35998,12;0</t>
  </si>
  <si>
    <t>WIG;20090814;36271,72;36620,55;35714,79;35811,31;0</t>
  </si>
  <si>
    <t>WIG;20090817;35268,23;35303,91;34785,29;34945,56;0</t>
  </si>
  <si>
    <t>WIG;20090818;35194,28;35238,15;34927,68;35238,15;0</t>
  </si>
  <si>
    <t>WIG;20090819;35095,95;35648,36;34943,64;35599,92;0</t>
  </si>
  <si>
    <t>WIG;20090820;36118,13;36628,17;36084,99;36628,17;0</t>
  </si>
  <si>
    <t>WIG;20090821;36607,83;37924,31;36607,83;37915,39;0</t>
  </si>
  <si>
    <t>WIG;20090824;38271,67;38744,27;38179,49;38744,26;0</t>
  </si>
  <si>
    <t>WIG;20090825;38422,81;39185,36;38229,17;39185,36;0</t>
  </si>
  <si>
    <t>WIG;20090826;38855,09;39139,95;38158,98;38215,94;0</t>
  </si>
  <si>
    <t>WIG;20090827;38341,8;38798,02;37837,39;37837,39;0</t>
  </si>
  <si>
    <t>WIG;20090828;38450,66;38952,23;38232,13;38232,13;0</t>
  </si>
  <si>
    <t>WIG;20090831;38068,93;38128,92;37725,82;37954,76;0</t>
  </si>
  <si>
    <t>WIG;20090901;38178,77;38269,77;36795,42;37372,21;0</t>
  </si>
  <si>
    <t>WIG;20090902;36721,75;36744,38;35692,9;35784,36;0</t>
  </si>
  <si>
    <t>WIG;20090903;36010,17;36447,29;35922,5;36009,43;0</t>
  </si>
  <si>
    <t>WIG;20090904;36339,78;36586,19;36064,83;36191,65;0</t>
  </si>
  <si>
    <t>WIG;20090907;36785,86;37332,22;36730,67;37332,22;0</t>
  </si>
  <si>
    <t>WIG;20090908;37704,19;37704,57;37079,87;37261,23;0</t>
  </si>
  <si>
    <t>WIG;20090909;37232,15;37534,52;36977,13;37534,52;0</t>
  </si>
  <si>
    <t>WIG;20090910;37952,08;38057,85;36896,88;37019,72;0</t>
  </si>
  <si>
    <t>WIG;20090911;37259,35;37259,35;36608,37;36649,26;0</t>
  </si>
  <si>
    <t>WIG;20090914;36239,98;36382,2;35748,16;35883,47;0</t>
  </si>
  <si>
    <t>WIG;20090915;36165,08;36191,66;35788,48;35989,98;0</t>
  </si>
  <si>
    <t>WIG;20090916;36363,1;36649,3;36363,1;36634,98;0</t>
  </si>
  <si>
    <t>WIG;20090917;37157,13;37162,61;36658,22;36923,88;0</t>
  </si>
  <si>
    <t>WIG;20090918;36710,99;36935,13;36637,97;36870,37;0</t>
  </si>
  <si>
    <t>WIG;20090921;36966,27;37032,3;36641,14;36680,84;0</t>
  </si>
  <si>
    <t>WIG;20090922;36930,47;38219,16;36839,76;38219,16;0</t>
  </si>
  <si>
    <t>WIG;20090923;38414,53;38838,19;38374,52;38512,64;0</t>
  </si>
  <si>
    <t>WIG;20090924;38274,19;38733,9;38163,12;38353,75;0</t>
  </si>
  <si>
    <t>WIG;20090925;38341,87;38341,87;37959,46;38214,58;0</t>
  </si>
  <si>
    <t>WIG;20090928;38246,64;38462,76;37983,84;38344,91;0</t>
  </si>
  <si>
    <t>WIG;20090929;38390,38;38390,38;37744,12;37744,12;0</t>
  </si>
  <si>
    <t>WIG;20090930;37905,1;38079,8;37539,03;37580,32;0</t>
  </si>
  <si>
    <t>WIG;20091001;37758,82;38190,39;37758,82;38190,39;0</t>
  </si>
  <si>
    <t>WIG;20091002;37451,51;37618,18;37045,62;37045,62;0</t>
  </si>
  <si>
    <t>WIG;20091005;37256,49;37373,85;36934,46;37153,1;0</t>
  </si>
  <si>
    <t>WIG;20091006;37597,28;38108,03;37597,28;38088,97;0</t>
  </si>
  <si>
    <t>WIG;20091007;38320,19;38321,98;37561,77;37644,68;0</t>
  </si>
  <si>
    <t>WIG;20091008;38049,69;38111,87;37731,3;37938,39;0</t>
  </si>
  <si>
    <t>WIG;20091009;37965,51;38302,33;37808,95;38016,98;0</t>
  </si>
  <si>
    <t>WIG;20091012;38212,21;38319,22;38028,31;38260,03;0</t>
  </si>
  <si>
    <t>WIG;20091013;38209,06;38221,35;37771,81;38038,72;0</t>
  </si>
  <si>
    <t>WIG;20091014;38163,87;38974,8;38129,54;38974,8;0</t>
  </si>
  <si>
    <t>WIG;20091015;39223,81;39305,65;38576,13;38626,43;0</t>
  </si>
  <si>
    <t>WIG;20091016;38671,1;38886,08;38380,18;38470,3;0</t>
  </si>
  <si>
    <t>WIG;20091019;38673,7;39027,56;38673,7;39013,58;0</t>
  </si>
  <si>
    <t>WIG;20091020;39398,62;39465,35;39075,42;39370,18;0</t>
  </si>
  <si>
    <t>WIG;20091021;39329,23;39673,57;39087,73;39650,14;0</t>
  </si>
  <si>
    <t>WIG;20091022;39435,54;39724,18;39283,83;39672,49;0</t>
  </si>
  <si>
    <t>WIG;20091023;40059,26;40298,48;40059,26;40262,94;0</t>
  </si>
  <si>
    <t>WIG;20091026;40119,63;40234,3;39694,32;39881,63;0</t>
  </si>
  <si>
    <t>WIG;20091027;39552,12;39552,12;38988,63;39146,97;0</t>
  </si>
  <si>
    <t>WIG;20091028;39047,21;39054,75;38330,01;38330,01;0</t>
  </si>
  <si>
    <t>WIG;20091029;38127,75;38782,22;37875,74;38763,24;0</t>
  </si>
  <si>
    <t>WIG;20091102;38027,82;38367,72;38005,01;38290,12;0</t>
  </si>
  <si>
    <t>WIG;20091103;38170,61;38170,61;37383,88;37391,24;0</t>
  </si>
  <si>
    <t>WIG;20091104;37711,1;38148,5;37679,46;38148,5;0</t>
  </si>
  <si>
    <t>WIG;20091105;37875,73;38863,29;37854,79;38863,29;0</t>
  </si>
  <si>
    <t>WIG;20091106;38785,97;38987,55;38286,09;38524,56;0</t>
  </si>
  <si>
    <t>WIG;20091109;38935,61;39683,1;38900,06;39683,1;0</t>
  </si>
  <si>
    <t>WIG;20091110;39671,84;40088,39;39516,32;39879,92;0</t>
  </si>
  <si>
    <t>WIG;20091112;39627,81;40229,36;39627,81;40229,36;0</t>
  </si>
  <si>
    <t>WIG;20091113;40028,27;40088,42;39729,1;39782,47;0</t>
  </si>
  <si>
    <t>WIG;20091116;40395,05;40801,29;40395,05;40785,58;0</t>
  </si>
  <si>
    <t>WIG;20091117;40787,82;40912,88;40596,27;40723,06;0</t>
  </si>
  <si>
    <t>WIG;20091118;40837,24;40886,14;39975,96;39985,3;0</t>
  </si>
  <si>
    <t>WIG;20091119;39869,02;39875,33;39343,94;39343,94;0</t>
  </si>
  <si>
    <t>WIG;20091120;39456,55;39763,85;39070,46;39574,18;0</t>
  </si>
  <si>
    <t>WIG;20091123;39909,74;40395,35;39909,74;40395,35;0</t>
  </si>
  <si>
    <t>WIG;20091124;40306,75;40398,7;39850,15;39950,3;0</t>
  </si>
  <si>
    <t>WIG;20091125;40186,04;40360,14;39877,52;39877,52;0</t>
  </si>
  <si>
    <t>WIG;20091126;39948,9;39948,9;39275,95;39275,95;0</t>
  </si>
  <si>
    <t>WIG;20091127;38105,5;39149,53;38081,73;39083,15;0</t>
  </si>
  <si>
    <t>WIG;20091130;39444,93;39613,76;39213,7;39581,49;0</t>
  </si>
  <si>
    <t>WIG;20091201;39841,25;40124,53;39832,46;39905,57;0</t>
  </si>
  <si>
    <t>WIG;20091202;40094,12;40212,29;39895,93;40141,79;0</t>
  </si>
  <si>
    <t>WIG;20091203;40350,52;40531,76;40181,25;40201,82;0</t>
  </si>
  <si>
    <t>WIG;20091204;40193,02;40882,15;40052,23;40852,94;0</t>
  </si>
  <si>
    <t>WIG;20091207;40669,29;40730,05;40424,56;40632,53;0</t>
  </si>
  <si>
    <t>WIG;20091208;40522,75;40692,69;39843,76;39906,64;0</t>
  </si>
  <si>
    <t>WIG;20091209;39860,82;39943,44;39251,1;39251,1;0</t>
  </si>
  <si>
    <t>WIG;20091210;39356,56;39501,51;39126,58;39169,19;0</t>
  </si>
  <si>
    <t>WIG;20091211;39479,39;39574,98;39270,38;39463,07;0</t>
  </si>
  <si>
    <t>WIG;20091214;39873,09;39903,3;39575,75;39769,97;0</t>
  </si>
  <si>
    <t>WIG;20091215;39643,22;39808,31;39457,43;39808,31;0</t>
  </si>
  <si>
    <t>WIG;20091216;39800;40009,12;39786,19;39925,72;0</t>
  </si>
  <si>
    <t>WIG;20091217;39757,06;39872,91;39427,62;39553,33;0</t>
  </si>
  <si>
    <t>WIG;20091218;39488,58;39650,76;39265,74;39399,52;0</t>
  </si>
  <si>
    <t>WIG;20091221;39352,3;39679,93;39330,18;39583,42;0</t>
  </si>
  <si>
    <t>WIG;20091222;39774,44;39876,18;39643,56;39796,94;0</t>
  </si>
  <si>
    <t>WIG;20091223;39853,7;39853,7;39548,48;39686,24;0</t>
  </si>
  <si>
    <t>WIG;20091228;40025,14;40094,91;39904,7;40050,16;0</t>
  </si>
  <si>
    <t>WIG;20091229;40087,95;40313,19;39972,97;40281,16;0</t>
  </si>
  <si>
    <t>WIG;20091230;40254,86;40289,76;39966,39;40094,46;0</t>
  </si>
  <si>
    <t>WIG;20091231;40184,22;40184,22;39973,16;39985,99;0</t>
  </si>
  <si>
    <t>WIG;20100104;40156,15;40777,29;40156,15;40775,24;0</t>
  </si>
  <si>
    <t>WIG;20100105;41001,07;41218,2;40856,06;41052;0</t>
  </si>
  <si>
    <t>WIG;20100106;41135,22;41241,97;40909,7;41241,97;0</t>
  </si>
  <si>
    <t>WIG;20100107;40865,21;40951,74;40743,57;40817,54;0</t>
  </si>
  <si>
    <t>WIG;20100108;41181,42;41220,93;40768,62;40921,93;0</t>
  </si>
  <si>
    <t>WIG;20100111;41223,1;41353,06;41147,68;41342,62;0</t>
  </si>
  <si>
    <t>WIG;20100112;41282,69;41284,21;40786,12;40961,16;0</t>
  </si>
  <si>
    <t>WIG;20100113;40766,6;41140,46;40731,31;41140,46;0</t>
  </si>
  <si>
    <t>WIG;20100114;41347,34;41347,69;40992,83;41088,61;0</t>
  </si>
  <si>
    <t>WIG;20100115;41094,72;41313,87;40874,75;40990,49;0</t>
  </si>
  <si>
    <t>WIG;20100118;41029,19;41256,4;41008,84;41256,4;0</t>
  </si>
  <si>
    <t>WIG;20100119;41236,19;41545,36;41055,16;41545,36;0</t>
  </si>
  <si>
    <t>WIG;20100120;41532,97;41725,2;41491,83;41617,21;0</t>
  </si>
  <si>
    <t>WIG;20100121;41526,24;41597,68;41145,98;41347,04;0</t>
  </si>
  <si>
    <t>WIG;20100122;40890,11;40890,11;40323,82;40467,2;0</t>
  </si>
  <si>
    <t>WIG;20100125;40410,42;40592,97;40293,59;40510,33;0</t>
  </si>
  <si>
    <t>WIG;20100126;40175,44;40175,44;39717,72;40054,59;0</t>
  </si>
  <si>
    <t>WIG;20100127;39990,35;40173,02;39816,42;39961,05;0</t>
  </si>
  <si>
    <t>WIG;20100128;40258,13;40393,8;39915,62;39917,92;0</t>
  </si>
  <si>
    <t>WIG;20100129;39854,87;40058,26;39634,29;40058,26;0</t>
  </si>
  <si>
    <t>WIG;20100201;39828,57;39919,19;39697,79;39736,94;0</t>
  </si>
  <si>
    <t>WIG;20100202;39974,94;40029,64;39779,69;39904,02;0</t>
  </si>
  <si>
    <t>WIG;20100203;40175,69;40226,31;39993,75;40118,73;0</t>
  </si>
  <si>
    <t>WIG;20100204;39993,25;40034,07;38779,33;38779,33;0</t>
  </si>
  <si>
    <t>WIG;20100205;38218,08;38218,08;37448,75;37502,9;0</t>
  </si>
  <si>
    <t>WIG;20100208;37746,61;37950,88;37038,86;37337,28;0</t>
  </si>
  <si>
    <t>WIG;20100209;37615,98;37867,48;37540,53;37616,01;0</t>
  </si>
  <si>
    <t>WIG;20100210;37820,86;38174,04;37786,61;37786,61;0</t>
  </si>
  <si>
    <t>WIG;20100211;38057,84;38057,84;37296,36;37322,52;0</t>
  </si>
  <si>
    <t>WIG;20100212;37732,72;37965,15;37608,98;37933,01;0</t>
  </si>
  <si>
    <t>WIG;20100215;38088,35;38538,92;37979,76;38538,92;0</t>
  </si>
  <si>
    <t>WIG;20100216;38767,78;38768,79;38220,19;38363,21;0</t>
  </si>
  <si>
    <t>WIG;20100217;38972,43;38972,46;38720,01;38890,71;0</t>
  </si>
  <si>
    <t>WIG;20100218;38816,89;38838,68;38530,41;38586,52;0</t>
  </si>
  <si>
    <t>WIG;20100219;38327,06;38845,6;38302,86;38650;0</t>
  </si>
  <si>
    <t>WIG;20100222;39065,65;39104,7;38758,95;38862,94;0</t>
  </si>
  <si>
    <t>WIG;20100223;38947,46;38975,47;38526,72;38533,89;0</t>
  </si>
  <si>
    <t>WIG;20100224;38397,96;38518,26;38262,6;38447,15;0</t>
  </si>
  <si>
    <t>WIG;20100225;38464,45;38554,17;37796,34;37949,49;0</t>
  </si>
  <si>
    <t>WIG;20100226;38117,98;38708,61;38025,33;38708,61;0</t>
  </si>
  <si>
    <t>WIG;20100301;38937,62;39004,62;38702,18;38986,09;0</t>
  </si>
  <si>
    <t>WIG;20100302;39008,01;39674,93;38824,4;39635,5;0</t>
  </si>
  <si>
    <t>WIG;20100303;39755,36;39831,26;39500,11;39796,87;0</t>
  </si>
  <si>
    <t>WIG;20100304;39673,65;40026,82;39589,58;39885,37;0</t>
  </si>
  <si>
    <t>WIG;20100305;39967,93;40391,65;39888,17;40354,28;0</t>
  </si>
  <si>
    <t>WIG;20100308;40593,16;40614,58;40328,65;40614,58;0</t>
  </si>
  <si>
    <t>WIG;20100309;40547,37;40585;40213,11;40585;0</t>
  </si>
  <si>
    <t>WIG;20100310;40546,08;41097,11;40505,41;40991;0</t>
  </si>
  <si>
    <t>WIG;20100311;40973,32;41207,01;40922,09;41004,33;0</t>
  </si>
  <si>
    <t>WIG;20100312;41151,21;41547,15;41105,08;41253,6;0</t>
  </si>
  <si>
    <t>WIG;20100315;41247,32;41262,98;40829,55;40979,23;0</t>
  </si>
  <si>
    <t>WIG;20100316;41075,95;41653,11;41075,95;41653,11;0</t>
  </si>
  <si>
    <t>WIG;20100317;41962,85;42305,78;41828,94;41960,86;0</t>
  </si>
  <si>
    <t>WIG;20100318;41938,79;41991,62;41699,27;41741,91;0</t>
  </si>
  <si>
    <t>WIG;20100319;41774,37;42077,58;41367,62;41611,67;0</t>
  </si>
  <si>
    <t>WIG;20100322;41641,25;41657,56;41193,91;41557,04;0</t>
  </si>
  <si>
    <t>WIG;20100323;41759,12;42001;41736,24;41882,58;0</t>
  </si>
  <si>
    <t>WIG;20100324;42100,77;42241,81;41665,39;41790,34;0</t>
  </si>
  <si>
    <t>WIG;20100325;41974,85;42594,01;41951,9;42430,66;0</t>
  </si>
  <si>
    <t>WIG;20100326;42455,25;42620,61;42245,45;42395,54;0</t>
  </si>
  <si>
    <t>WIG;20100329;42471,72;42731,44;42301,77;42346,66;0</t>
  </si>
  <si>
    <t>WIG;20100330;42594,71;42691,63;42418,2;42587,55;0</t>
  </si>
  <si>
    <t>WIG;20100331;42451,62;42703,58;42380,6;42446,51;0</t>
  </si>
  <si>
    <t>WIG;20100401;42644,78;43151,29;42643,06;43151,29;0</t>
  </si>
  <si>
    <t>WIG;20100406;43313,1;43562,01;43189,81;43562,01;0</t>
  </si>
  <si>
    <t>WIG;20100407;43510,67;43543,09;43061,71;43307,98;0</t>
  </si>
  <si>
    <t>WIG;20100408;42988,46;43133,32;42603,3;42717,2;0</t>
  </si>
  <si>
    <t>WIG;20100409;43006,85;43299,65;43006,85;43262,24;0</t>
  </si>
  <si>
    <t>WIG;20100412;43095,63;43554,22;43095,63;43554,22;0</t>
  </si>
  <si>
    <t>WIG;20100413;43480,35;43727,81;43416,66;43727,81;0</t>
  </si>
  <si>
    <t>WIG;20100414;43796,24;44083,44;43671,31;44078,65;0</t>
  </si>
  <si>
    <t>WIG;20100415;44302,53;44302,53;43794,69;44060,26;0</t>
  </si>
  <si>
    <t>WIG;20100416;43859,53;44011,29;43727,77;43912,55;0</t>
  </si>
  <si>
    <t>WIG;20100419;43175,61;43175,61;42580,5;42889,93;0</t>
  </si>
  <si>
    <t>WIG;20100420;43062,81;43480,54;43010,91;43466,9;0</t>
  </si>
  <si>
    <t>WIG;20100421;43839,45;43839,45;43217,79;43217,79;0</t>
  </si>
  <si>
    <t>WIG;20100422;43248,8;43353,59;42359,45;42359,45;0</t>
  </si>
  <si>
    <t>WIG;20100423;42586,53;42809,97;42505,27;42809,97;0</t>
  </si>
  <si>
    <t>WIG;20100426;43249,23;43700,38;43249,23;43664,78;0</t>
  </si>
  <si>
    <t>WIG;20100427;43497,65;43606,22;43159,63;43159,63;0</t>
  </si>
  <si>
    <t>WIG;20100428;42600,21;42707,55;42131,94;42404,4;0</t>
  </si>
  <si>
    <t>WIG;20100429;42579,89;43072,53;42447,12;43033,76;0</t>
  </si>
  <si>
    <t>WIG;20100430;43484,84;43612,68;43278,24;43295,17;0</t>
  </si>
  <si>
    <t>WIG;20100504;43527,91;43533,83;41986,69;42020,68;0</t>
  </si>
  <si>
    <t>WIG;20100505;41840,4;41876,2;41099,15;41287,9;0</t>
  </si>
  <si>
    <t>WIG;20100506;40995,21;41540;40963,29;40970,12;0</t>
  </si>
  <si>
    <t>WIG;20100507;39942,77;40499,67;39896,82;39923,58;0</t>
  </si>
  <si>
    <t>WIG;20100510;40947,68;41794,35;40940,05;41794,35;0</t>
  </si>
  <si>
    <t>WIG;20100511;41610,89;41816,24;41408,34;41453,12;0</t>
  </si>
  <si>
    <t>WIG;20100512;41522,02;41971,26;41440,21;41896,6;0</t>
  </si>
  <si>
    <t>WIG;20100513;42283,09;42390,06;41741,53;41914,79;0</t>
  </si>
  <si>
    <t>WIG;20100514;41781,82;41855,58;41075,45;41075,45;0</t>
  </si>
  <si>
    <t>WIG;20100517;40754,34;41282,57;40735,95;41282,57;0</t>
  </si>
  <si>
    <t>WIG;20100518;41572,03;41740,76;41425,21;41562,65;0</t>
  </si>
  <si>
    <t>WIG;20100519;41161,51;41161,51;40189,58;40441,73;0</t>
  </si>
  <si>
    <t>WIG;20100520;40596,8;40667,38;39302,9;39302,9;0</t>
  </si>
  <si>
    <t>WIG;20100521;39366,49;39683,29;38900,23;39580,6;0</t>
  </si>
  <si>
    <t>WIG;20100524;39939,75;40026,65;39524,1;39920,63;0</t>
  </si>
  <si>
    <t>WIG;20100525;39161,37;39286,76;38924,74;39109,37;0</t>
  </si>
  <si>
    <t>WIG;20100526;39564,72;40550,33;39564,48;40550,33;0</t>
  </si>
  <si>
    <t>WIG;20100527;40583,41;40958,57;40422,07;40956,19;0</t>
  </si>
  <si>
    <t>WIG;20100528;41194,97;41409,17;40995,56;41409,17;0</t>
  </si>
  <si>
    <t>WIG;20100531;41286,03;41530,09;41241,03;41530,09;0</t>
  </si>
  <si>
    <t>WIG;20100601;41335,98;41335,98;40781,39;40931,54;0</t>
  </si>
  <si>
    <t>WIG;20100602;40900,08;41093,42;40698,63;41093,42;0</t>
  </si>
  <si>
    <t>WIG;20100604;41332,03;41376,09;40198,86;40451,21;0</t>
  </si>
  <si>
    <t>WIG;20100607;39988,02;40061,85;39739,26;40026,77;0</t>
  </si>
  <si>
    <t>WIG;20100608;40276,44;40278,36;39704,56;39975,1;0</t>
  </si>
  <si>
    <t>WIG;20100609;40184,42;40344,44;39872,59;40192,45;0</t>
  </si>
  <si>
    <t>WIG;20100610;40151,93;40705,4;39956;40666,63;0</t>
  </si>
  <si>
    <t>WIG;20100611;40831,25;40869,8;40359,86;40635,59;0</t>
  </si>
  <si>
    <t>WIG;20100614;40815,71;41112,29;40746,04;40979,35;0</t>
  </si>
  <si>
    <t>WIG;20100615;40871,58;41160,31;40847,79;41069,67;0</t>
  </si>
  <si>
    <t>WIG;20100616;41421,57;41425,06;40933,11;41093,36;0</t>
  </si>
  <si>
    <t>WIG;20100617;41077,73;41124,08;40738,81;40738,81;0</t>
  </si>
  <si>
    <t>WIG;20100618;40819,54;40947,01;40437,04;40761,71;0</t>
  </si>
  <si>
    <t>WIG;20100621;41155,42;41256,91;41097,24;41212,67;0</t>
  </si>
  <si>
    <t>WIG;20100622;41075,07;41266,74;40839,9;40994,64;0</t>
  </si>
  <si>
    <t>WIG;20100623;40758,87;40871,63;40266,32;40347,88;0</t>
  </si>
  <si>
    <t>WIG;20100624;40472;40506,23;39984,54;40238,25;0</t>
  </si>
  <si>
    <t>WIG;20100625;40315,65;40425,07;40139,11;40376,84;0</t>
  </si>
  <si>
    <t>WIG;20100628;40426,51;40541,03;40260,08;40372,92;0</t>
  </si>
  <si>
    <t>WIG;20100629;40134,24;40138,58;39452,55;39516,22;0</t>
  </si>
  <si>
    <t>WIG;20100630;39561,7;39639,21;39269,59;39392,47;0</t>
  </si>
  <si>
    <t>WIG;20100701;39123,24;39621,41;39003,9;39366,83;0</t>
  </si>
  <si>
    <t>WIG;20100702;39545,73;39805,41;39395,36;39805,41;0</t>
  </si>
  <si>
    <t>WIG;20100705;39860,2;39876,77;39639,98;39685,67;0</t>
  </si>
  <si>
    <t>WIG;20100706;39797,5;40309,28;39794,83;40309,28;0</t>
  </si>
  <si>
    <t>WIG;20100707;40116,45;40274,14;39785,17;40273,99;0</t>
  </si>
  <si>
    <t>WIG;20100708;40513,61;40605,73;40321,16;40373,98;0</t>
  </si>
  <si>
    <t>WIG;20100709;40430,64;40455,58;40160,05;40392,05;0</t>
  </si>
  <si>
    <t>WIG;20100712;40388,63;40877,38;40335,77;40754,77;0</t>
  </si>
  <si>
    <t>WIG;20100713;40845,46;41194,18;40817,37;41036,6;0</t>
  </si>
  <si>
    <t>WIG;20100714;41281,29;41450,09;41164,32;41232,92;0</t>
  </si>
  <si>
    <t>WIG;20100715;41254,47;41408,89;41174,41;41298,45;0</t>
  </si>
  <si>
    <t>WIG;20100716;41244,64;41505,13;41060,75;41060,75;0</t>
  </si>
  <si>
    <t>WIG;20100719;40875,74;41071,51;40765,61;41064,2;0</t>
  </si>
  <si>
    <t>WIG;20100720;41148,84;41186,45;40716,1;40778,74;0</t>
  </si>
  <si>
    <t>WIG;20100721;41103,67;41563,92;41087,86;41563,92;0</t>
  </si>
  <si>
    <t>WIG;20100722;41396,81;42158,92;41376,74;42158,92;0</t>
  </si>
  <si>
    <t>WIG;20100723;42259,81;42385,14;42103,74;42292,07;0</t>
  </si>
  <si>
    <t>WIG;20100726;42534,86;42713,97;42289,83;42713,97;0</t>
  </si>
  <si>
    <t>WIG;20100727;42799,35;42878,67;42584,72;42610,93;0</t>
  </si>
  <si>
    <t>WIG;20100728;42775,81;42830,3;42392,87;42415,78;0</t>
  </si>
  <si>
    <t>WIG;20100729;42685,2;42719,07;42518,38;42616,78;0</t>
  </si>
  <si>
    <t>WIG;20100730;42561,46;42561,56;42145,68;42464,68;0</t>
  </si>
  <si>
    <t>WIG;20100802;42689,26;43398,27;42675,56;43398,27;0</t>
  </si>
  <si>
    <t>WIG;20100803;43391,08;43571,97;43281,23;43412,75;0</t>
  </si>
  <si>
    <t>WIG;20100804;43336,66;43535,07;43218,1;43535,07;0</t>
  </si>
  <si>
    <t>WIG;20100805;43526,58;43645,04;43309,25;43436,84;0</t>
  </si>
  <si>
    <t>WIG;20100806;43522,06;43669,05;43177,35;43421,3;0</t>
  </si>
  <si>
    <t>WIG;20100809;43452,1;43576,5;43185,33;43185,33;0</t>
  </si>
  <si>
    <t>WIG;20100810;43105,82;43110,16;42516,27;42663,65;0</t>
  </si>
  <si>
    <t>WIG;20100811;42479;42479;42143,56;42209,56;0</t>
  </si>
  <si>
    <t>WIG;20100812;42108,18;42332,46;42019,62;42332,46;0</t>
  </si>
  <si>
    <t>WIG;20100813;42608,7;42608,95;42167,93;42167,93;0</t>
  </si>
  <si>
    <t>WIG;20100816;42323,38;42533,87;42105,84;42533,87;0</t>
  </si>
  <si>
    <t>WIG;20100817;42523,36;42724,47;42470,31;42695,83;0</t>
  </si>
  <si>
    <t>WIG;20100818;42756,95;42756,95;42455,06;42592,76;0</t>
  </si>
  <si>
    <t>WIG;20100819;42741,6;42852,39;42081,73;42409,85;0</t>
  </si>
  <si>
    <t>WIG;20100820;42165,26;42233,77;41994,62;42202,91;0</t>
  </si>
  <si>
    <t>WIG;20100823;42275,14;42659,62;42246,47;42614,24;0</t>
  </si>
  <si>
    <t>WIG;20100824;42435,21;42435,21;41728,63;41813,44;0</t>
  </si>
  <si>
    <t>WIG;20100825;41817,25;41877,51;41438,11;41572,8;0</t>
  </si>
  <si>
    <t>WIG;20100826;41706,32;41862,04;41599,21;41717,62;0</t>
  </si>
  <si>
    <t>WIG;20100827;41670,39;42083,62;41670,39;42083,62;0</t>
  </si>
  <si>
    <t>WIG;20100830;42220,44;42258,44;41905,88;41983,21;0</t>
  </si>
  <si>
    <t>WIG;20100831;41541,62;42215,66;41451,23;42215,66;0</t>
  </si>
  <si>
    <t>WIG;20100901;42143,27;42469,64;41954,12;42469,64;0</t>
  </si>
  <si>
    <t>WIG;20100902;42566,17;42761,9;42514,45;42704,39;0</t>
  </si>
  <si>
    <t>WIG;20100903;42790,3;42979,13;42640,75;42944,94;0</t>
  </si>
  <si>
    <t>WIG;20100906;42921,81;43156,78;42903,83;43145,31;0</t>
  </si>
  <si>
    <t>WIG;20100907;43053,64;43101,49;42838,59;42991,99;0</t>
  </si>
  <si>
    <t>WIG;20100908;42957,94;43699,35;42957,92;43699,35;0</t>
  </si>
  <si>
    <t>WIG;20100909;43659,37;43801,42;43626,2;43796,03;0</t>
  </si>
  <si>
    <t>WIG;20100910;43770,08;43875,18;43576;43671,28;0</t>
  </si>
  <si>
    <t>WIG;20100913;44212,66;44286,73;44066,81;44223,72;0</t>
  </si>
  <si>
    <t>WIG;20100914;44209,08;44243,76;44037,13;44147,39;0</t>
  </si>
  <si>
    <t>WIG;20100915;44163,56;44249,33;44020,43;44249,33;0</t>
  </si>
  <si>
    <t>WIG;20100916;44145,52;44247,18;44089,43;44146,83;0</t>
  </si>
  <si>
    <t>WIG;20100917;44336,74;44364,5;44043,18;44145,24;0</t>
  </si>
  <si>
    <t>WIG;20100920;44187,75;44352,94;44154,27;44352,94;0</t>
  </si>
  <si>
    <t>WIG;20100921;44402,97;44885,75;44371,11;44848,46;0</t>
  </si>
  <si>
    <t>WIG;20100922;44819,69;44884,38;44597,48;44810,97;0</t>
  </si>
  <si>
    <t>WIG;20100923;44837,11;44857,03;44225,12;44522,01;0</t>
  </si>
  <si>
    <t>WIG;20100924;44405,23;45133,77;44323,7;45133,77;0</t>
  </si>
  <si>
    <t>WIG;20100927;45227,75;45227,75;44976,67;45017,26;0</t>
  </si>
  <si>
    <t>WIG;20100928;44808,7;44855,12;44572,78;44636,59;0</t>
  </si>
  <si>
    <t>WIG;20100929;44880,83;44997,8;44653,88;44847,3;0</t>
  </si>
  <si>
    <t>WIG;20100930;44775,75;45236,72;44684,36;45236,72;0</t>
  </si>
  <si>
    <t>WIG;20101001;45124,44;45322,5;45085,99;45225,58;0</t>
  </si>
  <si>
    <t>WIG;20101004;45231,04;45542,07;45035,39;45542,07;0</t>
  </si>
  <si>
    <t>WIG;20101005;45365,4;45952,85;45319,9;45897,63;0</t>
  </si>
  <si>
    <t>WIG;20101006;46080,91;46238,49;45908,45;45977,02;0</t>
  </si>
  <si>
    <t>WIG;20101007;45881,51;45916,22;45455,05;45455,05;0</t>
  </si>
  <si>
    <t>WIG;20101008;45565,05;45640,65;45191,65;45227,66;0</t>
  </si>
  <si>
    <t>WIG;20101011;45404,68;45532,45;45316,22;45454,91;0</t>
  </si>
  <si>
    <t>WIG;20101012;45258,17;45528,11;45181,64;45452,98;0</t>
  </si>
  <si>
    <t>WIG;20101013;45713,04;46300,1;45698,18;46286,96;0</t>
  </si>
  <si>
    <t>WIG;20101014;46386,96;46440,96;46020,72;46079,69;0</t>
  </si>
  <si>
    <t>WIG;20101015;46147,33;46147,96;45806,33;45806,33;0</t>
  </si>
  <si>
    <t>WIG;20101018;45741,98;45946,7;45644,71;45858,88;0</t>
  </si>
  <si>
    <t>WIG;20101019;45820,68;45991,67;45133,87;45289,74;0</t>
  </si>
  <si>
    <t>WIG;20101020;45172,51;45404,49;45074,58;45384,47;0</t>
  </si>
  <si>
    <t>WIG;20101021;45552,51;45870,32;45500,56;45870,28;0</t>
  </si>
  <si>
    <t>WIG;20101022;45665,29;45729,01;45479,47;45729,01;0</t>
  </si>
  <si>
    <t>WIG;20101025;45952,23;46016,62;45843,35;45854,85;0</t>
  </si>
  <si>
    <t>WIG;20101026;45780,47;45780,47;45512,27;45756,17;0</t>
  </si>
  <si>
    <t>WIG;20101027;45727,75;46150,96;45662,45;46059,42;0</t>
  </si>
  <si>
    <t>WIG;20101028;46182,42;46263,25;46001,6;46026,3;0</t>
  </si>
  <si>
    <t>WIG;20101029;46065,88;46229,6;45888,5;46229,6;0</t>
  </si>
  <si>
    <t>WIG;20101102;46334,42;46694,75;46315,6;46575,68;0</t>
  </si>
  <si>
    <t>WIG;20101103;46630,3;46668,8;46416,84;46416,84;0</t>
  </si>
  <si>
    <t>WIG;20101104;46686,36;47189,05;46686,36;47066,4;0</t>
  </si>
  <si>
    <t>WIG;20101105;47155,98;47315,28;46899,75;47232,31;0</t>
  </si>
  <si>
    <t>WIG;20101108;47323,22;47374,27;47062,35;47254,29;0</t>
  </si>
  <si>
    <t>WIG;20101109;47299,69;47738,65;47186,28;47738,65;0</t>
  </si>
  <si>
    <t>WIG;20101110;47651,21;47683,85;47279,45;47287,61;0</t>
  </si>
  <si>
    <t>WIG;20101112;46684,82;47493,93;46630,01;47493,93;0</t>
  </si>
  <si>
    <t>WIG;20101115;47455,78;47455,78;47188,93;47189,03;0</t>
  </si>
  <si>
    <t>WIG;20101116;47123,13;47123,13;46326,19;46566,94;0</t>
  </si>
  <si>
    <t>WIG;20101117;46238,91;46497,91;46179,95;46363,5;0</t>
  </si>
  <si>
    <t>WIG;20101118;46671,34;46742,41;46347,08;46493,45;0</t>
  </si>
  <si>
    <t>WIG;20101119;46653,37;46659,97;45740,17;46005,8;0</t>
  </si>
  <si>
    <t>WIG;20101122;46090,89;46164,16;45809,5;45902,25;0</t>
  </si>
  <si>
    <t>WIG;20101123;45785,71;45829,15;45472,74;45730,96;0</t>
  </si>
  <si>
    <t>WIG;20101124;45844,04;45982,37;45572,59;45970,99;0</t>
  </si>
  <si>
    <t>WIG;20101125;46072,91;46162,85;45944,18;46018,64;0</t>
  </si>
  <si>
    <t>WIG;20101126;45815,63;45924,96;45215,55;45641,9;0</t>
  </si>
  <si>
    <t>WIG;20101129;45660,92;45670,72;45167,16;45284,42;0</t>
  </si>
  <si>
    <t>WIG;20101130;45382,43;45743,78;45343,78;45361,07;0</t>
  </si>
  <si>
    <t>WIG;20101201;45717,32;46184,21;45664,91;46145,34;0</t>
  </si>
  <si>
    <t>WIG;20101202;46385,99;46761,02;46384,88;46481,15;0</t>
  </si>
  <si>
    <t>WIG;20101203;46676,64;46868,43;46516,72;46868,43;0</t>
  </si>
  <si>
    <t>WIG;20101206;46969,17;47348,16;46720,16;47348,16;0</t>
  </si>
  <si>
    <t>WIG;20101207;47325,7;47669,49;47296,34;47516,57;0</t>
  </si>
  <si>
    <t>WIG;20101208;47324,59;47554,07;47243;47554,07;0</t>
  </si>
  <si>
    <t>WIG;20101209;47617,08;47770,43;47369,39;47465,15;0</t>
  </si>
  <si>
    <t>WIG;20101210;47517,21;47554,01;47341,15;47510,17;0</t>
  </si>
  <si>
    <t>WIG;20101213;47639,72;47699,17;47471,31;47649,66;0</t>
  </si>
  <si>
    <t>WIG;20101214;47604,59;47637,57;47402,34;47637,57;0</t>
  </si>
  <si>
    <t>WIG;20101215;47507;47892,91;47429,03;47892,91;0</t>
  </si>
  <si>
    <t>WIG;20101216;47730,94;47790,38;47321,1;47516,86;0</t>
  </si>
  <si>
    <t>WIG;20101217;47594,41;47649,48;47421,17;47537,08;0</t>
  </si>
  <si>
    <t>WIG;20101220;47623,66;47635,42;47229,16;47363,9;0</t>
  </si>
  <si>
    <t>WIG;20101221;47525,47;47813,75;47401,45;47732,9;0</t>
  </si>
  <si>
    <t>WIG;20101222;47790,24;47816,9;47693,24;47693,24;0</t>
  </si>
  <si>
    <t>WIG;20101223;47809,63;47809,76;47631,47;47718,8;0</t>
  </si>
  <si>
    <t>WIG;20101227;47765,26;47772,04;47530,07;47596,12;0</t>
  </si>
  <si>
    <t>WIG;20101228;47562,21;47781,05;47422,73;47422,73;0</t>
  </si>
  <si>
    <t>WIG;20101229;47739,17;47911,57;47645,71;47911,46;0</t>
  </si>
  <si>
    <t>WIG;20101230;47893,7;47893,84;47700,6;47700,76;0</t>
  </si>
  <si>
    <t>WIG;20101231;47765,03;47772,17;47420,9;47489,91;0</t>
  </si>
  <si>
    <t>WIG;20110103;47649,12;48004,74;47627,22;48004,74;0</t>
  </si>
  <si>
    <t>WIG;20110104;48036,01;48093,34;47529,33;47616,84;0</t>
  </si>
  <si>
    <t>WIG;20110105;47639,73;47639,73;46587,56;47075,74;0</t>
  </si>
  <si>
    <t>WIG;20110107;47051,54;47083,89;46645,26;46850,41;0</t>
  </si>
  <si>
    <t>WIG;20110110;46768,21;46768,21;46148,55;46416,3;0</t>
  </si>
  <si>
    <t>WIG;20110111;46543,37;46706,61;46400,22;46678,96;0</t>
  </si>
  <si>
    <t>WIG;20110112;46752,96;47345,3;46662,96;47345,3;0</t>
  </si>
  <si>
    <t>WIG;20110113;47479,13;47503,1;47153,03;47447,03;0</t>
  </si>
  <si>
    <t>WIG;20110114;47297,21;47460,25;47183,75;47258,66;0</t>
  </si>
  <si>
    <t>WIG;20110117;47232,83;47458,72;47230,2;47457,37;0</t>
  </si>
  <si>
    <t>WIG;20110118;47698,17;48371,02;47689,32;48371,02;0</t>
  </si>
  <si>
    <t>WIG;20110119;48457,58;48531,41;47878,65;47899,55;0</t>
  </si>
  <si>
    <t>WIG;20110120;47677,95;47909,46;47408,18;47515,37;0</t>
  </si>
  <si>
    <t>WIG;20110121;47497,09;47873,04;47478,11;47641,43;0</t>
  </si>
  <si>
    <t>WIG;20110124;47688,87;47763,25;47117;47363,55;0</t>
  </si>
  <si>
    <t>WIG;20110125;47635,65;47635,84;47033,31;47131,09;0</t>
  </si>
  <si>
    <t>WIG;20110126;47159,5;47582,15;47159,5;47396,02;0</t>
  </si>
  <si>
    <t>WIG;20110127;47316,67;47533,04;47093,48;47533,04;0</t>
  </si>
  <si>
    <t>WIG;20110128;47285,63;47534,76;47106,53;47223,01;0</t>
  </si>
  <si>
    <t>WIG;20110131;46864,89;47156,76;46498,13;47156,76;0</t>
  </si>
  <si>
    <t>WIG;20110201;47439,83;47730,41;47243,05;47609,82;0</t>
  </si>
  <si>
    <t>WIG;20110202;47885,64;47986,46;47451,66;47559,15;0</t>
  </si>
  <si>
    <t>WIG;20110203;47714,27;47906,95;47587,78;47710,61;0</t>
  </si>
  <si>
    <t>WIG;20110204;47905,41;48088,98;47644,31;47796,39;0</t>
  </si>
  <si>
    <t>WIG;20110207;47977,85;48101,25;47878,18;47933,8;0</t>
  </si>
  <si>
    <t>WIG;20110208;48078,42;48177,49;47766,98;47846,36;0</t>
  </si>
  <si>
    <t>WIG;20110209;47837,75;47901,96;47647,04;47793,84;0</t>
  </si>
  <si>
    <t>WIG;20110210;47733,21;47733,21;47190,08;47242,1;0</t>
  </si>
  <si>
    <t>WIG;20110211;47231,66;47547,85;47139,45;47547,85;0</t>
  </si>
  <si>
    <t>WIG;20110214;47782,13;47823,13;47309,83;47449,93;0</t>
  </si>
  <si>
    <t>WIG;20110215;47338,82;47513,49;47317,59;47349,61;0</t>
  </si>
  <si>
    <t>WIG;20110216;47470,06;47486,5;47112,57;47193,06;0</t>
  </si>
  <si>
    <t>WIG;20110217;47347,18;47386,82;46575,14;46575,14;0</t>
  </si>
  <si>
    <t>WIG;20110218;46685,37;46847,74;46300,5;46761,43;0</t>
  </si>
  <si>
    <t>WIG;20110221;46877,9;46914,89;46573,24;46761,71;0</t>
  </si>
  <si>
    <t>WIG;20110222;46466,95;46679,67;46382,2;46548,27;0</t>
  </si>
  <si>
    <t>WIG;20110223;46521,34;46852,35;46474,77;46821,46;0</t>
  </si>
  <si>
    <t>WIG;20110224;46460,86;46701,69;46414,36;46547,75;0</t>
  </si>
  <si>
    <t>WIG;20110225;46802,84;46965,29;46758,19;46874,11;0</t>
  </si>
  <si>
    <t>WIG;20110228;46920,06;47540,91;46836,86;47540,91;0</t>
  </si>
  <si>
    <t>WIG;20110301;47597,55;47620,17;47019,42;47141,05;0</t>
  </si>
  <si>
    <t>WIG;20110302;46938,72;47314,23;46757,71;47314,23;0</t>
  </si>
  <si>
    <t>WIG;20110303;47503,81;48058,48;47452,98;48036,91;0</t>
  </si>
  <si>
    <t>WIG;20110304;48241,81;48532,09;48118,01;48295,28;0</t>
  </si>
  <si>
    <t>WIG;20110307;48338,47;48714,46;48248;48353,94;0</t>
  </si>
  <si>
    <t>WIG;20110308;48611,19;48705,83;48165,59;48421,8;0</t>
  </si>
  <si>
    <t>WIG;20110309;48500,88;48523,08;48252,15;48252,15;0</t>
  </si>
  <si>
    <t>WIG;20110310;48073,86;48119,11;47875,22;47901,54;0</t>
  </si>
  <si>
    <t>WIG;20110311;47568,03;47756,12;47432;47484,94;0</t>
  </si>
  <si>
    <t>WIG;20110314;47566,58;47889,05;47441,37;47737,14;0</t>
  </si>
  <si>
    <t>WIG;20110315;47057,67;47440,32;46712,51;47440,32;0</t>
  </si>
  <si>
    <t>WIG;20110316;47446,57;47492,49;47103,9;47103,9;0</t>
  </si>
  <si>
    <t>WIG;20110317;47313,88;47731,04;47267,7;47731,04;0</t>
  </si>
  <si>
    <t>WIG;20110318;47898,47;48018,78;47702,19;48010,91;0</t>
  </si>
  <si>
    <t>WIG;20110321;48182,85;48317,31;48074,82;48294,5;0</t>
  </si>
  <si>
    <t>WIG;20110322;48229,7;48284,09;47762;47946,35;0</t>
  </si>
  <si>
    <t>WIG;20110323;47850,99;48103,28;47759,62;47950,43;0</t>
  </si>
  <si>
    <t>WIG;20110324;47915,97;48168,95;47858,16;48168,95;0</t>
  </si>
  <si>
    <t>WIG;20110325;48225,69;48626,25;48062,31;48626,25;0</t>
  </si>
  <si>
    <t>WIG;20110328;48547,8;48808,28;48478,24;48787,61;0</t>
  </si>
  <si>
    <t>WIG;20110329;48711,93;48719,62;48471,1;48662,36;0</t>
  </si>
  <si>
    <t>WIG;20110330;48885,54;49073,05;48605,66;48605,66;0</t>
  </si>
  <si>
    <t>WIG;20110331;48731,49;48778,44;48589,19;48729,83;0</t>
  </si>
  <si>
    <t>WIG;20110401;48860,48;49503,34;48858,91;49503,34;0</t>
  </si>
  <si>
    <t>WIG;20110404;49487,67;49753,03;49449,23;49592,98;0</t>
  </si>
  <si>
    <t>WIG;20110405;49631,53;49723,56;49437,84;49693,02;0</t>
  </si>
  <si>
    <t>WIG;20110406;49814,22;50337,58;49777,55;50329,73;0</t>
  </si>
  <si>
    <t>WIG;20110407;50256,57;50371,74;50077,15;50371,74;0</t>
  </si>
  <si>
    <t>WIG;20110408;50494,61;50501,79;49896,27;49986,15;0</t>
  </si>
  <si>
    <t>WIG;20110411;50118,17;50169,6;49756,21;49985,99;0</t>
  </si>
  <si>
    <t>WIG;20110412;49779,5;49916,3;49549,02;49680,67;0</t>
  </si>
  <si>
    <t>WIG;20110413;49843,04;50174,38;49758,82;50174,38;0</t>
  </si>
  <si>
    <t>WIG;20110414;50021,32;50101,6;49646,65;49847,57;0</t>
  </si>
  <si>
    <t>WIG;20110415;49912,39;50016,31;49793,3;50016,31;0</t>
  </si>
  <si>
    <t>WIG;20110418;50017,99;50033,79;49193,91;49335,57;0</t>
  </si>
  <si>
    <t>WIG;20110419;49365,73;49609,18;49304,47;49609,18;0</t>
  </si>
  <si>
    <t>WIG;20110420;49863,05;50271,57;49857,03;50178,54;0</t>
  </si>
  <si>
    <t>WIG;20110421;50216,08;50294,47;49888,17;49966,31;0</t>
  </si>
  <si>
    <t>WIG;20110426;49918,31;50214,11;49806,42;50198;0</t>
  </si>
  <si>
    <t>WIG;20110427;50249,2;50259,66;49868,32;50024,22;0</t>
  </si>
  <si>
    <t>WIG;20110428;50132,49;50226,8;49904,93;50219,7;0</t>
  </si>
  <si>
    <t>WIG;20110429;50121,96;50139,35;49891,55;50008,98;0</t>
  </si>
  <si>
    <t>WIG;20110502;50097,45;50134,02;49769,97;50134,02;0</t>
  </si>
  <si>
    <t>WIG;20110504;49834,28;49839,6;49357,91;49542,01;0</t>
  </si>
  <si>
    <t>WIG;20110505;49470,86;49588,49;49081,67;49266,97;0</t>
  </si>
  <si>
    <t>WIG;20110506;49202,96;49417,55;49040,37;49321,53;0</t>
  </si>
  <si>
    <t>WIG;20110509;49431;49437,37;48904,49;48904,49;0</t>
  </si>
  <si>
    <t>WIG;20110510;49018,31;49333,01;49008,91;49332,75;0</t>
  </si>
  <si>
    <t>WIG;20110511;49318,7;49393,68;48956,66;49166,2;0</t>
  </si>
  <si>
    <t>WIG;20110512;48878,69;48880,22;48459,77;48795,21;0</t>
  </si>
  <si>
    <t>WIG;20110513;48908,24;49000,42;48671,16;48677,61;0</t>
  </si>
  <si>
    <t>WIG;20110516;48540,86;48940,24;48480,34;48940,24;0</t>
  </si>
  <si>
    <t>WIG;20110517;48879,97;48884,09;48286,43;48286,43;0</t>
  </si>
  <si>
    <t>WIG;20110518;48540,11;48682,43;48486,68;48523,79;0</t>
  </si>
  <si>
    <t>WIG;20110519;48720,31;49212,05;48688,5;48747,55;0</t>
  </si>
  <si>
    <t>WIG;20110520;48967,15;49162,55;48830,78;48858,84;0</t>
  </si>
  <si>
    <t>WIG;20110523;48486,49;48575,19;48155,21;48575,19;0</t>
  </si>
  <si>
    <t>WIG;20110524;48512,77;48752,14;48435,01;48752,14;0</t>
  </si>
  <si>
    <t>WIG;20110525;48577,92;49148,52;48526,88;49148,52;0</t>
  </si>
  <si>
    <t>WIG;20110526;49211,99;49393,14;49095,86;49215,53;0</t>
  </si>
  <si>
    <t>WIG;20110527;49337,99;49575,71;49306,51;49425,67;0</t>
  </si>
  <si>
    <t>WIG;20110530;49567,44;49574,89;49396,93;49492,53;0</t>
  </si>
  <si>
    <t>WIG;20110531;49706,7;50064,81;49700,74;50025,61;0</t>
  </si>
  <si>
    <t>WIG;20110601;50164,33;50164,33;49758,75;49929,4;0</t>
  </si>
  <si>
    <t>WIG;20110602;49655,28;49903,14;49598,88;49824,93;0</t>
  </si>
  <si>
    <t>WIG;20110603;49947,67;49947,67;49433;49638,88;0</t>
  </si>
  <si>
    <t>WIG;20110606;49628,4;49659,03;49383,29;49396,61;0</t>
  </si>
  <si>
    <t>WIG;20110607;49570,84;49841,18;49546,18;49747,78;0</t>
  </si>
  <si>
    <t>WIG;20110608;49630,63;49693,72;49411,88;49555,71;0</t>
  </si>
  <si>
    <t>WIG;20110609;49216,54;49476,12;49147,77;49378,82;0</t>
  </si>
  <si>
    <t>WIG;20110610;49386,82;49399,9;49019,74;49077,61;0</t>
  </si>
  <si>
    <t>WIG;20110613;49070,32;49209,87;49023,57;49121,13;0</t>
  </si>
  <si>
    <t>WIG;20110614;49235,67;49481,52;49235,67;49481,52;0</t>
  </si>
  <si>
    <t>WIG;20110615;49426,17;49463,23;49164,85;49258,23;0</t>
  </si>
  <si>
    <t>WIG;20110616;49077,7;49177,3;48993,16;49129,21;0</t>
  </si>
  <si>
    <t>WIG;20110617;49122,72;49301,61;49033,83;49228,14;0</t>
  </si>
  <si>
    <t>WIG;20110620;49130,97;49169,81;48800,36;48800,36;0</t>
  </si>
  <si>
    <t>WIG;20110621;49054,07;49103,06;48639,63;48863,88;0</t>
  </si>
  <si>
    <t>WIG;20110622;48837,12;48837,12;48485,26;48485,26;0</t>
  </si>
  <si>
    <t>WIG;20110624;48496,46;48624,46;48195,88;48394,02;0</t>
  </si>
  <si>
    <t>WIG;20110627;48236,15;48256,47;47575,55;48010,43;0</t>
  </si>
  <si>
    <t>WIG;20110628;47943,15;48035,95;47732,45;47976,14;0</t>
  </si>
  <si>
    <t>WIG;20110629;48193,47;48469,65;48188,91;48469,49;0</t>
  </si>
  <si>
    <t>WIG;20110630;48586,4;48744,76;48244,46;48414,36;0</t>
  </si>
  <si>
    <t>WIG;20110701;48465,55;48551,19;48246,41;48551,19;0</t>
  </si>
  <si>
    <t>WIG;20110704;48755,51;48809,29;48481,82;48481,82;0</t>
  </si>
  <si>
    <t>WIG;20110705;48636,4;48688,85;48499,2;48581,57;0</t>
  </si>
  <si>
    <t>WIG;20110706;48595,41;48604,69;48125,16;48200,74;0</t>
  </si>
  <si>
    <t>WIG;20110707;48414,58;49057,05;48349,25;49057,05;0</t>
  </si>
  <si>
    <t>WIG;20110708;49079,69;49093,63;48509,48;48700,58;0</t>
  </si>
  <si>
    <t>WIG;20110711;48561,93;48577,99;47920,64;47922,1;0</t>
  </si>
  <si>
    <t>WIG;20110712;47501,15;47796,32;47138,45;47695,46;0</t>
  </si>
  <si>
    <t>WIG;20110713;47782,78;48103,73;47769,98;48103,73;0</t>
  </si>
  <si>
    <t>WIG;20110714;47942;47994,22;47680,14;47768,38;0</t>
  </si>
  <si>
    <t>WIG;20110715;47705,03;47785,85;47526,98;47785,85;0</t>
  </si>
  <si>
    <t>WIG;20110718;47488,46;47516,96;46685,51;46740,32;0</t>
  </si>
  <si>
    <t>WIG;20110719;46811,05;47020,74;46651,79;46651,79;0</t>
  </si>
  <si>
    <t>WIG;20110720;47021,33;47086,94;46781,51;46811,06;0</t>
  </si>
  <si>
    <t>WIG;20110721;46946,05;47291,31;46355,11;47291,31;0</t>
  </si>
  <si>
    <t>WIG;20110722;47405;47501,78;47193,48;47501,78;0</t>
  </si>
  <si>
    <t>WIG;20110725;47243,56;47354,74;47137,92;47353,37;0</t>
  </si>
  <si>
    <t>WIG;20110726;47415,33;47430,35;46990,04;47185,61;0</t>
  </si>
  <si>
    <t>WIG;20110727;47151,33;47151,33;46555,02;46722,09;0</t>
  </si>
  <si>
    <t>WIG;20110728;46397,34;47071,4;46345,68;47071,4;0</t>
  </si>
  <si>
    <t>WIG;20110729;46748,15;47152,63;46482,98;47152,63;0</t>
  </si>
  <si>
    <t>WIG;20110801;47389,29;47508,78;46820,93;46820,93;0</t>
  </si>
  <si>
    <t>WIG;20110802;46715,75;46747,82;46119,32;46234,21;0</t>
  </si>
  <si>
    <t>WIG;20110803;45656,81;45789,29;44162;44536,67;0</t>
  </si>
  <si>
    <t>WIG;20110804;44612,45;44701,16;42456,29;42828,22;0</t>
  </si>
  <si>
    <t>WIG;20110805;40758,42;42633,84;40758,42;42011,33;0</t>
  </si>
  <si>
    <t>WIG;20110808;41129,59;42147,3;40113,15;40535,21;0</t>
  </si>
  <si>
    <t>WIG;20110809;40783,49;40874,36;38281,4;39028,04;0</t>
  </si>
  <si>
    <t>WIG;20110811;37743,24;38795,47;36252,38;38673,12;0</t>
  </si>
  <si>
    <t>WIG;20110812;0;0;0;0;0</t>
  </si>
  <si>
    <t>WIG;20110816;40298,41;40883,9;39731,06;40883,9;0</t>
  </si>
  <si>
    <t>WIG;20110817;40502,02;41326,92;40473,48;41125,87;0</t>
  </si>
  <si>
    <t>WIG;20110819;37898,66;39411,21;37309,72;38749,61;0</t>
  </si>
  <si>
    <t>WIG;20110822;38656,29;39581,9;38656,29;39549,67;0</t>
  </si>
  <si>
    <t>WIG;20110823;39490,18;40116,82;39163,84;39556,82;0</t>
  </si>
  <si>
    <t>WIG;20110824;39701,88;39918,72;39101,42;39588,91;0</t>
  </si>
  <si>
    <t>WIG;20110825;40002,54;40060,38;39258,73;39715,27;0</t>
  </si>
  <si>
    <t>WIG;20110826;39574,57;39798,16;39080,04;39774;0</t>
  </si>
  <si>
    <t>WIG;20110829;40040,7;40758,26;39884,17;40715,85;0</t>
  </si>
  <si>
    <t>WIG;20110830;40980,67;41300,1;40885,46;41300,1;0</t>
  </si>
  <si>
    <t>WIG;20110831;41430,21;42222,91;41398,22;42222,38;0</t>
  </si>
  <si>
    <t>WIG;20110901;41971,5;41981,41;41102,35;41553,09;0</t>
  </si>
  <si>
    <t>WIG;20110902;41243,93;41287,07;40173,51;40455,11;0</t>
  </si>
  <si>
    <t>WIG;20110905;39729,4;39862,32;38992,56;38992,56;0</t>
  </si>
  <si>
    <t>WIG;20110906;39135,31;39727,71;38805,35;39189,1;0</t>
  </si>
  <si>
    <t>WIG;20110907;39733,64;40418,3;39695,48;40418,3;0</t>
  </si>
  <si>
    <t>WIG;20110908;40442,9;40732,76;40001,76;40405,17;0</t>
  </si>
  <si>
    <t>WIG;20110909;40190,27;40253,71;38708,57;38708,57;0</t>
  </si>
  <si>
    <t>WIG;20110912;37969,75;37969,75;37051,55;37437,36;0</t>
  </si>
  <si>
    <t>WIG;20110913;37963,5;38081,49;37120,14;37735,42;0</t>
  </si>
  <si>
    <t>WIG;20110914;37438,64;38144,62;37438,64;37881,76;0</t>
  </si>
  <si>
    <t>WIG;20110915;38026,64;39357,2;38015,79;38945;0</t>
  </si>
  <si>
    <t>WIG;20110916;39249,19;39453,25;39134,11;39183,04;0</t>
  </si>
  <si>
    <t>WIG;20110919;38683,97;38814,91;38103,18;38740,68;0</t>
  </si>
  <si>
    <t>WIG;20110920;38419,8;39416,66;38325,16;39177,62;0</t>
  </si>
  <si>
    <t>WIG;20110921;39387,26;39564,47;39061,39;39225,39;0</t>
  </si>
  <si>
    <t>WIG;20110922;38305,23;38372,63;36851,2;36851,2;0</t>
  </si>
  <si>
    <t>WIG;20110923;36801,46;36801,46;35348,98;36549,47;0</t>
  </si>
  <si>
    <t>WIG;20110926;35921,43;37128,28;35761,42;37108,46;0</t>
  </si>
  <si>
    <t>WIG;20110927;37747,72;38076,35;37697,2;37998,03;0</t>
  </si>
  <si>
    <t>WIG;20110928;37826,56;38404,69;37822,94;38026,53;0</t>
  </si>
  <si>
    <t>WIG;20110929;37913,28;38679,64;37864,06;38264,32;0</t>
  </si>
  <si>
    <t>WIG;20110930;38474,72;38498,97;37630,83;38268,75;0</t>
  </si>
  <si>
    <t>WIG;20111003;37377,43;37734,87;37219,02;37620,12;0</t>
  </si>
  <si>
    <t>WIG;20111004;37298,1;37298,1;36224,64;36744,86;0</t>
  </si>
  <si>
    <t>WIG;20111005;37193,19;37496,93;36994,08;37496,93;0</t>
  </si>
  <si>
    <t>WIG;20111006;37733,43;38245,87;37504,69;37915,03;0</t>
  </si>
  <si>
    <t>WIG;20111007;38062,71;38401,34;37851,81;38174,89;0</t>
  </si>
  <si>
    <t>WIG;20111010;38490,02;39291,95;38244,53;39291,95;0</t>
  </si>
  <si>
    <t>WIG;20111011;39422,96;39530,12;39066,34;39316,43;0</t>
  </si>
  <si>
    <t>WIG;20111012;39427,94;40182,11;39122,09;40182,11;0</t>
  </si>
  <si>
    <t>WIG;20111013;40102,29;40407,67;39579,52;39608,13;0</t>
  </si>
  <si>
    <t>WIG;20111014;39794,06;40228,4;39412,06;40026,63;0</t>
  </si>
  <si>
    <t>WIG;20111017;40345,01;40576,77;39534,62;39825,64;0</t>
  </si>
  <si>
    <t>WIG;20111018;39372,77;39837,96;39188,48;39837,96;0</t>
  </si>
  <si>
    <t>WIG;20111019;39999,91;40123,09;39645,32;39969,82;0</t>
  </si>
  <si>
    <t>WIG;20111020;39518,48;39583,98;38835,92;38835,92;0</t>
  </si>
  <si>
    <t>WIG;20111021;39044,55;40055,41;39019,79;40054,41;0</t>
  </si>
  <si>
    <t>WIG;20111024;40412,88;41095,76;40288,44;41050,11;0</t>
  </si>
  <si>
    <t>WIG;20111025;40986,95;41342,41;40329,77;40702,26;0</t>
  </si>
  <si>
    <t>WIG;20111026;40617,38;40966,63;40406,04;40577,52;0</t>
  </si>
  <si>
    <t>WIG;20111027;41466,95;41901,23;41293,63;41708,88;0</t>
  </si>
  <si>
    <t>WIG;20111028;41810,11;41943,65;41417,24;41686,02;0</t>
  </si>
  <si>
    <t>WIG;20111031;41446,23;41446,23;41160,66;41160,66;0</t>
  </si>
  <si>
    <t>WIG;20111102;40141,39;40969,6;40083,42;40747,38;0</t>
  </si>
  <si>
    <t>WIG;20111103;40396,22;41669,89;40396,22;41313,92;0</t>
  </si>
  <si>
    <t>WIG;20111107;40731,06;41433,7;40439,76;41135,19;0</t>
  </si>
  <si>
    <t>WIG;20111108;41178,04;41619,39;41160,72;41350,11;0</t>
  </si>
  <si>
    <t>WIG;20111109;41617,52;41651,6;40079,34;40241,19;0</t>
  </si>
  <si>
    <t>WIG;20111110;39831,87;40265,84;39540,71;39853,18;0</t>
  </si>
  <si>
    <t>WIG;20111114;40776,28;40865,03;40091,4;40235;0</t>
  </si>
  <si>
    <t>WIG;20111115;40249,93;40362,16;39541,29;40042,74;0</t>
  </si>
  <si>
    <t>WIG;20111116;39767,91;40364,29;39699,81;40364,29;0</t>
  </si>
  <si>
    <t>WIG;20111117;40099,04;40232,91;39571,74;39797,19;0</t>
  </si>
  <si>
    <t>WIG;20111118;39616,96;39898,09;39106,23;39106,23;0</t>
  </si>
  <si>
    <t>WIG;20111121;38970,81;38970,81;37958,56;38119,53;0</t>
  </si>
  <si>
    <t>WIG;20111122;38298,57;38623,34;38118,76;38118,76;0</t>
  </si>
  <si>
    <t>WIG;20111123;37843,39;38017,02;37349,76;37466,98;0</t>
  </si>
  <si>
    <t>WIG;20111124;37565,94;37673,15;36971;37607,27;0</t>
  </si>
  <si>
    <t>WIG;20111125;37400,27;37776,82;37107,93;37601,56;0</t>
  </si>
  <si>
    <t>WIG;20111128;37960,11;38430,23;37960,11;38361,03;0</t>
  </si>
  <si>
    <t>WIG;20111129;38281,42;38413,95;37956,82;37956,82;0</t>
  </si>
  <si>
    <t>WIG;20111130;37810,81;39502,02;37708,25;39502,02;0</t>
  </si>
  <si>
    <t>WIG;20111201;39414,26;39491,35;39123,58;39215,21;0</t>
  </si>
  <si>
    <t>WIG;20111202;39582,6;39686,75;39028,98;39144,14;0</t>
  </si>
  <si>
    <t>WIG;20111205;39409,36;39780,13;39275,69;39621,6;0</t>
  </si>
  <si>
    <t>WIG;20111206;39367,02;39547,96;38854,82;38878,79;0</t>
  </si>
  <si>
    <t>WIG;20111207;39113,38;39169,83;38628,28;39051,93;0</t>
  </si>
  <si>
    <t>WIG;20111208;39236,79;39304,24;38327,34;38474,28;0</t>
  </si>
  <si>
    <t>WIG;20111209;38019,9;38694,54;37942,32;38637,17;0</t>
  </si>
  <si>
    <t>WIG;20111212;38518,04;38556,4;37745,08;37908,42;0</t>
  </si>
  <si>
    <t>WIG;20111213;37936,51;38400,12;37692,74;38021,08;0</t>
  </si>
  <si>
    <t>WIG;20111214;38046,57;38308,7;37734,86;37813,82;0</t>
  </si>
  <si>
    <t>WIG;20111215;37992,87;38096,9;37486,94;37637,47;0</t>
  </si>
  <si>
    <t>WIG;20111216;37824,25;37841,45;36964,61;37001,49;0</t>
  </si>
  <si>
    <t>WIG;20111219;36966,63;37394,48;36539,93;36720,77;0</t>
  </si>
  <si>
    <t>WIG;20111220;36627;37333,7;36565,73;37148,86;0</t>
  </si>
  <si>
    <t>WIG;20111221;37407,83;37623,59;37130,67;37574,56;0</t>
  </si>
  <si>
    <t>WIG;20111222;37457,91;37608,96;37345,93;37478,7;0</t>
  </si>
  <si>
    <t>WIG;20111223;37559,33;37788,74;37486,09;37788,65;0</t>
  </si>
  <si>
    <t>WIG;20111227;37798,53;37836,46;37653,56;37836,46;0</t>
  </si>
  <si>
    <t>WIG;20111228;37635,78;37744,2;37635,78;37744,2;0</t>
  </si>
  <si>
    <t>WIG;20111229;37630,42;37814,52;37303,01;37814,52;0</t>
  </si>
  <si>
    <t>WIG;20111230;37834,38;37850,42;37513,47;37595,44;0</t>
  </si>
  <si>
    <t>WIG;20120103;38453,36;38482,91;38214,11;38463,72;0</t>
  </si>
  <si>
    <t>WIG;20120104;38404,34;38428,19;37863,95;38183,09;0</t>
  </si>
  <si>
    <t>WIG;20120105;38144,84;38144,84;37452,95;37739,39;0</t>
  </si>
  <si>
    <t>WIG;20120109;37816,69;37816,69;37329,42;37341,29;0</t>
  </si>
  <si>
    <t>WIG;20120110;37506,87;37909,36;37433,64;37608,68;0</t>
  </si>
  <si>
    <t>WIG;20120111;37787,79;37854,06;37390,19;37516,2;0</t>
  </si>
  <si>
    <t>WIG;20120112;37559,46;38199,66;37522,44;38062,87;0</t>
  </si>
  <si>
    <t>WIG;20120113;38283,28;38413,19;37723,97;37991,91;0</t>
  </si>
  <si>
    <t>WIG;20120116;37804,17;38237,73;37762,47;38225,95;0</t>
  </si>
  <si>
    <t>WIG;20120117;38596,52;39030,72;38587,86;38726,6;0</t>
  </si>
  <si>
    <t>WIG;20120118;38995,15;39088,55;38709,67;39056,43;0</t>
  </si>
  <si>
    <t>WIG;20120119;39252,78;39288,13;38774,59;39288,13;0</t>
  </si>
  <si>
    <t>WIG;20120120;39264,06;39518,87;39145,72;39518,87;0</t>
  </si>
  <si>
    <t>WIG;20120123;39530,33;39740,98;39451,96;39660,19;0</t>
  </si>
  <si>
    <t>WIG;20120124;39674,49;39707,26;39427,19;39606,62;0</t>
  </si>
  <si>
    <t>WIG;20120125;39791,2;39824,77;39377,82;39542,67;0</t>
  </si>
  <si>
    <t>WIG;20120126;39732,28;40679,68;39659,17;40392,48;0</t>
  </si>
  <si>
    <t>WIG;20120127;40447,68;40784;40396,7;40467,92;0</t>
  </si>
  <si>
    <t>WIG;20120130;40388,46;40600,3;40155,74;40600,3;0</t>
  </si>
  <si>
    <t>WIG;20120131;40724,61;41236,15;40712,13;40927,75;0</t>
  </si>
  <si>
    <t>WIG;20120201;41027,36;41516,39;41002,72;41438,43;0</t>
  </si>
  <si>
    <t>WIG;20120202;41661,54;41696,37;41353,09;41602,24;0</t>
  </si>
  <si>
    <t>WIG;20120203;41584,86;41979,59;41476,16;41732,3;0</t>
  </si>
  <si>
    <t>WIG;20120206;41729,48;42083,93;41605,59;42083,93;0</t>
  </si>
  <si>
    <t>WIG;20120207;42148,06;42269,46;41663,82;41912,98;0</t>
  </si>
  <si>
    <t>WIG;20120208;42089,21;42194,02;41913,15;42044,47;0</t>
  </si>
  <si>
    <t>WIG;20120209;42229,01;42309,72;41625,66;41792,46;0</t>
  </si>
  <si>
    <t>WIG;20120210;41666,93;41679,6;41181,13;41219,43;0</t>
  </si>
  <si>
    <t>WIG;20120213;41496,6;41613,68;41412,59;41581,98;0</t>
  </si>
  <si>
    <t>WIG;20120214;41604,47;41818,34;41386,33;41423,51;0</t>
  </si>
  <si>
    <t>WIG;20120215;41743,26;41801,9;41511,6;41616,3;0</t>
  </si>
  <si>
    <t>WIG;20120216;41429,68;41503,84;41307,89;41309,89;0</t>
  </si>
  <si>
    <t>WIG;20120217;41871,2;42161,4;41793,25;42161,4;0</t>
  </si>
  <si>
    <t>WIG;20120220;42318,87;42438,54;42047,36;42047,36;0</t>
  </si>
  <si>
    <t>WIG;20120221;42271,54;42290,07;41894,75;42070,07;0</t>
  </si>
  <si>
    <t>WIG;20120222;42163,74;42163,74;41485,65;41630,63;0</t>
  </si>
  <si>
    <t>WIG;20120223;41460,1;41771,58;41258,14;41258,14;0</t>
  </si>
  <si>
    <t>WIG;20120224;41482,9;41653,4;41412,94;41499,43;0</t>
  </si>
  <si>
    <t>WIG;20120229;41890,23;41919,92;41439,78;41560,55;0</t>
  </si>
  <si>
    <t>WIG;20120301;41285,02;41533,87;41199,39;41533,87;0</t>
  </si>
  <si>
    <t>WIG;20120302;41486,76;41693,54;41418,13;41639,72;0</t>
  </si>
  <si>
    <t>WIG;20120305;41444,68;41496,71;41013,27;41084,32;0</t>
  </si>
  <si>
    <t>WIG;20120306;41019,94;41034,42;40319,75;40479,75;0</t>
  </si>
  <si>
    <t>WIG;20120307;40357,46;40791,3;40273,28;40791,3;0</t>
  </si>
  <si>
    <t>Proszę napisać makro, które stworzy wykresy dla 5 najlepszych lokat dla wskazanego przez użytkownika</t>
  </si>
  <si>
    <t>czasu trwania: 10D, 1M, 3M, 6M oraz 12M. Wszystkie czynności muszą być automatyczne, tzn. po zmianie</t>
  </si>
  <si>
    <t>danych w tabeli (liczby obserwacji, ich typu, itd.), makro powinno poprawnie działać.</t>
  </si>
  <si>
    <t>Schemat działania może być następujący:</t>
  </si>
  <si>
    <t>a) usuń wszystkie puste wiersze (pomyśl jak to zautomatyzować);</t>
  </si>
  <si>
    <t>b) przesortuj dane względem czasu trwania lokaty;</t>
  </si>
  <si>
    <t>c) wykorzystaj narzędzie filtrowania do wybrania odpowiednich lokat;</t>
  </si>
  <si>
    <t>d) stwórz odpowiednie wykresy.</t>
  </si>
  <si>
    <r>
      <rPr>
        <u/>
        <sz val="10"/>
        <rFont val="Arial"/>
        <family val="2"/>
        <charset val="238"/>
      </rPr>
      <t>Uwaga:</t>
    </r>
    <r>
      <rPr>
        <sz val="10"/>
        <rFont val="Arial"/>
        <family val="2"/>
        <charset val="238"/>
      </rPr>
      <t xml:space="preserve"> Jeżeli wykresy nie działają prawidłowo, to warto pomyśleć o przekopiowaniu danych z tabeli</t>
    </r>
  </si>
  <si>
    <t>zbiorczej do tabel pomocniczych, na podstawie których zostaną stworzone wykresy.</t>
  </si>
  <si>
    <t>! ! ! POWODZENIA ! ! !</t>
  </si>
  <si>
    <t>Nr</t>
  </si>
  <si>
    <t>Bank</t>
  </si>
  <si>
    <t>%</t>
  </si>
  <si>
    <t>Nazwa</t>
  </si>
  <si>
    <t>Okres</t>
  </si>
  <si>
    <t>Kwota PLN</t>
  </si>
  <si>
    <t>Kapitalizacja</t>
  </si>
  <si>
    <t>min</t>
  </si>
  <si>
    <t>max</t>
  </si>
  <si>
    <t>neoBANK</t>
  </si>
  <si>
    <t>9.00%</t>
  </si>
  <si>
    <t>Lokata WYSOKI PROCENT</t>
  </si>
  <si>
    <t>2M</t>
  </si>
  <si>
    <t>na koniec umowy</t>
  </si>
  <si>
    <t>Meritum Bank</t>
  </si>
  <si>
    <t>8.50%</t>
  </si>
  <si>
    <t>Pierwsza lokata</t>
  </si>
  <si>
    <t>3M</t>
  </si>
  <si>
    <t>Deutsche Bank</t>
  </si>
  <si>
    <t>8.10%</t>
  </si>
  <si>
    <t>db Konto Oszczędnościowe 24H (promocja)</t>
  </si>
  <si>
    <t>KO</t>
  </si>
  <si>
    <t>dzienna</t>
  </si>
  <si>
    <t>Idea Bank</t>
  </si>
  <si>
    <t>8.00%</t>
  </si>
  <si>
    <t>Lokata z kuponem IV</t>
  </si>
  <si>
    <t>Polbank EFG</t>
  </si>
  <si>
    <t>7.20%</t>
  </si>
  <si>
    <t>Lokata wyjątkowa (nowe środki)</t>
  </si>
  <si>
    <t>5M</t>
  </si>
  <si>
    <t>Getin Online</t>
  </si>
  <si>
    <t>7.00%</t>
  </si>
  <si>
    <t>Lokata na start</t>
  </si>
  <si>
    <t>FM Bank</t>
  </si>
  <si>
    <t>FM Lokata</t>
  </si>
  <si>
    <t>12M</t>
  </si>
  <si>
    <t>BOŚ</t>
  </si>
  <si>
    <t>Konto VIP</t>
  </si>
  <si>
    <t>miesięczna</t>
  </si>
  <si>
    <t>6.80%</t>
  </si>
  <si>
    <t>9M</t>
  </si>
  <si>
    <t>6.60%</t>
  </si>
  <si>
    <t>6M</t>
  </si>
  <si>
    <t>Santander</t>
  </si>
  <si>
    <t>6.50%</t>
  </si>
  <si>
    <t>Lokata Zysk+</t>
  </si>
  <si>
    <t>∞</t>
  </si>
  <si>
    <t>10M</t>
  </si>
  <si>
    <t>11M</t>
  </si>
  <si>
    <t>6.45%</t>
  </si>
  <si>
    <t>Lokata onLINE</t>
  </si>
  <si>
    <t>6.40%</t>
  </si>
  <si>
    <t>24M</t>
  </si>
  <si>
    <t>Noble Bank</t>
  </si>
  <si>
    <t>6.35%</t>
  </si>
  <si>
    <t>Lokata terminowa PLUS</t>
  </si>
  <si>
    <t>BGŻ Optima</t>
  </si>
  <si>
    <t>6.30%</t>
  </si>
  <si>
    <t>Lokata bezkarna (nowi klienci)</t>
  </si>
  <si>
    <t>4M</t>
  </si>
  <si>
    <t>Get Bank</t>
  </si>
  <si>
    <t>6.28%</t>
  </si>
  <si>
    <t>Lokata Optymalna</t>
  </si>
  <si>
    <t>6.20%</t>
  </si>
  <si>
    <t>Lokata Stabilna</t>
  </si>
  <si>
    <t>Toyota Bank</t>
  </si>
  <si>
    <t>6.15%</t>
  </si>
  <si>
    <t>Lokata Kapitalna</t>
  </si>
  <si>
    <t>6.10%</t>
  </si>
  <si>
    <t>Lokata z Gwarancją</t>
  </si>
  <si>
    <t>GETIN Bank</t>
  </si>
  <si>
    <t>6.08%</t>
  </si>
  <si>
    <t>Lokata 7,5%</t>
  </si>
  <si>
    <t>Lokata Zysk+ Doskonała</t>
  </si>
  <si>
    <t>Lokata Direct+ Doskonała</t>
  </si>
  <si>
    <t>Lokata Finałowa</t>
  </si>
  <si>
    <t>6.05%</t>
  </si>
  <si>
    <t>Lokata z codziennymi odsetkami</t>
  </si>
  <si>
    <t>6.00%</t>
  </si>
  <si>
    <t>Lokata 6 na 6</t>
  </si>
  <si>
    <t>BNP Paribas</t>
  </si>
  <si>
    <t>Lokata 6/3</t>
  </si>
  <si>
    <t>Lokata 6/6</t>
  </si>
  <si>
    <t>DnB NORD</t>
  </si>
  <si>
    <t>Konto oszczędnościowe</t>
  </si>
  <si>
    <t>Kredyt Bank</t>
  </si>
  <si>
    <t>Lokata eConstans</t>
  </si>
  <si>
    <t>Lokata "6 na 6"</t>
  </si>
  <si>
    <t>Lokata tradycyjna</t>
  </si>
  <si>
    <t>Mistrzowskie Konto Osobiste</t>
  </si>
  <si>
    <t>Bank Pocztowy</t>
  </si>
  <si>
    <t>Pocztowe Konto Oszczędnościowe</t>
  </si>
  <si>
    <t>5.96%</t>
  </si>
  <si>
    <t>Lokata Meritum Zysku WIBOR 6M+1,1%</t>
  </si>
  <si>
    <t>36M</t>
  </si>
  <si>
    <t>5.90%</t>
  </si>
  <si>
    <t>Lokata El Dorado</t>
  </si>
  <si>
    <t>5.86%</t>
  </si>
  <si>
    <t>Lokata Meritum Zysku WIBOR 6M+1,0%</t>
  </si>
  <si>
    <t>5.85%</t>
  </si>
  <si>
    <t>Lokata</t>
  </si>
  <si>
    <t>5.80%</t>
  </si>
  <si>
    <t>Lokata promocyjna 5M</t>
  </si>
  <si>
    <t>Lokata NOWY KAPITAŁ</t>
  </si>
  <si>
    <t>Millennium</t>
  </si>
  <si>
    <t>5.75%</t>
  </si>
  <si>
    <t>Lokata Morze Zysków</t>
  </si>
  <si>
    <t>Eurobank</t>
  </si>
  <si>
    <t>5.70%</t>
  </si>
  <si>
    <t>lokata z kapitalizacją dzienną (internet)</t>
  </si>
  <si>
    <t>Lokata promocyjna 4M</t>
  </si>
  <si>
    <t>Credit Agricole</t>
  </si>
  <si>
    <t>5.67%</t>
  </si>
  <si>
    <t>Lokata Poranna - promocja</t>
  </si>
  <si>
    <t>Lokata Słoneczna</t>
  </si>
  <si>
    <t>Lokata Optymalizator III</t>
  </si>
  <si>
    <t>Raiffeisen</t>
  </si>
  <si>
    <t>Lokata zyskowna</t>
  </si>
  <si>
    <t>5.60%</t>
  </si>
  <si>
    <t>lokata z kapitalizacją dzienną (placówka)</t>
  </si>
  <si>
    <t>1M</t>
  </si>
  <si>
    <t>Inteligo</t>
  </si>
  <si>
    <t>5.59%</t>
  </si>
  <si>
    <t>Dobolokata</t>
  </si>
  <si>
    <t>5.56%</t>
  </si>
  <si>
    <t>5.55%</t>
  </si>
  <si>
    <t>18M</t>
  </si>
  <si>
    <t>5.53%</t>
  </si>
  <si>
    <t>Konto Codzienny Sukces</t>
  </si>
  <si>
    <t>5.52%</t>
  </si>
  <si>
    <t>Igo lokata</t>
  </si>
  <si>
    <t>Volkswagen Bank</t>
  </si>
  <si>
    <t>5.51%</t>
  </si>
  <si>
    <t>Lokata Owoc Dnia</t>
  </si>
  <si>
    <t>BPH</t>
  </si>
  <si>
    <t>5.50%</t>
  </si>
  <si>
    <t>Lokata Standardowa</t>
  </si>
  <si>
    <t>Invest Bank</t>
  </si>
  <si>
    <t>Lokata Internetowa</t>
  </si>
  <si>
    <t>Lokata standardowa constans</t>
  </si>
  <si>
    <t>20M</t>
  </si>
  <si>
    <t>Lokata terminowa</t>
  </si>
  <si>
    <t>Lokata standardowa</t>
  </si>
  <si>
    <t>15M</t>
  </si>
  <si>
    <t>Lokata Plus</t>
  </si>
  <si>
    <t>Konto WIĘCEJ oszczędnościowe</t>
  </si>
  <si>
    <t>5.45%</t>
  </si>
  <si>
    <t>Lokata Standardowa Internetowa</t>
  </si>
  <si>
    <t>7M</t>
  </si>
  <si>
    <t>8M</t>
  </si>
  <si>
    <t>5.40%</t>
  </si>
  <si>
    <t>5.38%</t>
  </si>
  <si>
    <t>Lokata 24-miesięczna</t>
  </si>
  <si>
    <t>5.35%</t>
  </si>
  <si>
    <t>Net.lokata</t>
  </si>
  <si>
    <t>Lokata Meritum Zysku w Internecie</t>
  </si>
  <si>
    <t>5.30%</t>
  </si>
  <si>
    <t>Lokata 12M</t>
  </si>
  <si>
    <t>Lokata przez SBE</t>
  </si>
  <si>
    <t>Lokata promocyjna 12M</t>
  </si>
  <si>
    <t>5.27%</t>
  </si>
  <si>
    <t>Lokata db Pełen Zysk - promocja</t>
  </si>
  <si>
    <t>5.25%</t>
  </si>
  <si>
    <t>5.24%</t>
  </si>
  <si>
    <t>5.22%</t>
  </si>
  <si>
    <t>5.20%</t>
  </si>
  <si>
    <t>lokata na Dzień Dobry</t>
  </si>
  <si>
    <t>Lokata EMILIA</t>
  </si>
  <si>
    <t>Lokata (Nie) Codzienna</t>
  </si>
  <si>
    <t>5.17%</t>
  </si>
  <si>
    <t>Lokata 36-miesięczna</t>
  </si>
  <si>
    <t>5.15%</t>
  </si>
  <si>
    <t>5.13%</t>
  </si>
  <si>
    <t>5.11%</t>
  </si>
  <si>
    <t>Lokata Poranna</t>
  </si>
  <si>
    <t>5.10%</t>
  </si>
  <si>
    <t>Lokata promocyjna 6M</t>
  </si>
  <si>
    <t>5.08%</t>
  </si>
  <si>
    <t>Lokaty z codziennym zyskiem</t>
  </si>
  <si>
    <t>5.05%</t>
  </si>
  <si>
    <t>ING Bank Śląski</t>
  </si>
  <si>
    <t>eLokata</t>
  </si>
  <si>
    <t>Ekstra Premia 12M</t>
  </si>
  <si>
    <t>5.02%</t>
  </si>
  <si>
    <t>Alior bank</t>
  </si>
  <si>
    <t>5.00%</t>
  </si>
  <si>
    <t>Lokata internetowa</t>
  </si>
  <si>
    <t>SilnaLokata</t>
  </si>
  <si>
    <t>Lokata Pracowita z dzienną kapitalizacją</t>
  </si>
  <si>
    <t>NORDeLOKATA 12M</t>
  </si>
  <si>
    <t>Lokata na Plus</t>
  </si>
  <si>
    <t>Lokata NATALIA</t>
  </si>
  <si>
    <t>Lokata 6M</t>
  </si>
  <si>
    <t>mBank</t>
  </si>
  <si>
    <t>eMAX plus</t>
  </si>
  <si>
    <t>Ekstra Premia 6M</t>
  </si>
  <si>
    <t>Konto Hybrydowe</t>
  </si>
  <si>
    <t>BGŻ</t>
  </si>
  <si>
    <t>Lokata Radosna</t>
  </si>
  <si>
    <t>4.95%</t>
  </si>
  <si>
    <t>4.94%</t>
  </si>
  <si>
    <t>4.90%</t>
  </si>
  <si>
    <t>4.87%</t>
  </si>
  <si>
    <t>4.86%</t>
  </si>
  <si>
    <t>Lokata jednodniowa "Każdego dnia więcej"</t>
  </si>
  <si>
    <t>1D</t>
  </si>
  <si>
    <t>4.85%</t>
  </si>
  <si>
    <t>e-Lok@ta</t>
  </si>
  <si>
    <t>4.83%</t>
  </si>
  <si>
    <t>4.81%</t>
  </si>
  <si>
    <t>4.80%</t>
  </si>
  <si>
    <t>Lokata iNORD</t>
  </si>
  <si>
    <t>4.75%</t>
  </si>
  <si>
    <t>Lokata Millenet</t>
  </si>
  <si>
    <t>Lokata Millennium</t>
  </si>
  <si>
    <t>4.70%</t>
  </si>
  <si>
    <t>Lokata promocyjna 3M</t>
  </si>
  <si>
    <t>PKO BP</t>
  </si>
  <si>
    <t>Lokata 5, 10, 15 (nowe środki)</t>
  </si>
  <si>
    <t>4.65%</t>
  </si>
  <si>
    <t>4.60%</t>
  </si>
  <si>
    <t>Lokata 3M</t>
  </si>
  <si>
    <t>Lokata klasyczna</t>
  </si>
  <si>
    <t>Lokata IZABELA</t>
  </si>
  <si>
    <t>Lokata Oslo</t>
  </si>
  <si>
    <t>4.55%</t>
  </si>
  <si>
    <t>4.50%</t>
  </si>
  <si>
    <t>BZ WBK</t>
  </si>
  <si>
    <t>Lokata Impet</t>
  </si>
  <si>
    <t>NORDeLOKATA 3M</t>
  </si>
  <si>
    <t>Lokata "odsetki płatne z góry"</t>
  </si>
  <si>
    <t>Lokata dla Inwestora</t>
  </si>
  <si>
    <t>Lokata 9+9</t>
  </si>
  <si>
    <t>SBG Bank S.A.</t>
  </si>
  <si>
    <t>Lokata eBGŻ</t>
  </si>
  <si>
    <t>10D</t>
  </si>
  <si>
    <t>4.46%</t>
  </si>
  <si>
    <t>Lokata db Pełen Zysk</t>
  </si>
  <si>
    <t>4.45%</t>
  </si>
  <si>
    <t>Lokata Optymalizator II</t>
  </si>
  <si>
    <t>4.43%</t>
  </si>
  <si>
    <t>Nowa Lokata Codziennie Zarabiająca</t>
  </si>
  <si>
    <t>4.40%</t>
  </si>
  <si>
    <t>4.35%</t>
  </si>
  <si>
    <t>BPS</t>
  </si>
  <si>
    <t>4.34%</t>
  </si>
  <si>
    <t>Lokata progresywna</t>
  </si>
  <si>
    <t>BGK</t>
  </si>
  <si>
    <t>4.30%</t>
  </si>
  <si>
    <t>Standard</t>
  </si>
  <si>
    <t>Lokata 5, 10, 15</t>
  </si>
  <si>
    <t>Lokata 6+6</t>
  </si>
  <si>
    <t>Konto Silnie Zarabiające</t>
  </si>
  <si>
    <t>4.26%</t>
  </si>
  <si>
    <t>4.25%</t>
  </si>
  <si>
    <t>Lokata Swobodnie Zarabiająca</t>
  </si>
  <si>
    <t>Lokata ExtraZysk</t>
  </si>
  <si>
    <t>Lokata SuperProcent</t>
  </si>
  <si>
    <t>Plan depozytowy +19</t>
  </si>
  <si>
    <t>4.20%</t>
  </si>
  <si>
    <t>Lokata 365</t>
  </si>
  <si>
    <t>e-Lokata 365</t>
  </si>
  <si>
    <t>MultiBank</t>
  </si>
  <si>
    <t>Lokata Dzienny Zysk (Aquarius)</t>
  </si>
  <si>
    <t>Lokata promocyjna 1M</t>
  </si>
  <si>
    <t>Nordea</t>
  </si>
  <si>
    <t>Lokata eDepozyt</t>
  </si>
  <si>
    <t>Lokata o stałym oprocentowaniu</t>
  </si>
  <si>
    <t>neoKONTO PROFIT</t>
  </si>
  <si>
    <t>Rachunek oszczędnościowy</t>
  </si>
  <si>
    <t>4.15%</t>
  </si>
  <si>
    <t>4.10%</t>
  </si>
  <si>
    <t>Konto lokacyjne Eskalacja</t>
  </si>
  <si>
    <t>kwartalna</t>
  </si>
  <si>
    <t>4.09%</t>
  </si>
  <si>
    <t>db Konto Oszczędnościowe 24h</t>
  </si>
  <si>
    <t>4.05%</t>
  </si>
  <si>
    <t>Lokata Codzienny Zysk</t>
  </si>
  <si>
    <t>db Konto Oszczędnościowe</t>
  </si>
  <si>
    <t>4.00%</t>
  </si>
  <si>
    <t>mLOKATA</t>
  </si>
  <si>
    <t>Lokata 10-dniowa</t>
  </si>
  <si>
    <t>Lokata jednodniowa „Każdy Dzień Dobry”</t>
  </si>
  <si>
    <t>Lokata Podwójna krótka</t>
  </si>
  <si>
    <t>POL-Efekt</t>
  </si>
  <si>
    <t>Ekstra Premia 3M</t>
  </si>
  <si>
    <t>Lokata 3+3</t>
  </si>
  <si>
    <t>Konto Oszczędnościowe a la Lokata</t>
  </si>
  <si>
    <t>Konto BARDZO Oszczędnościowe</t>
  </si>
  <si>
    <t>3.95%</t>
  </si>
  <si>
    <t>3.90%</t>
  </si>
  <si>
    <t>Lokata terminowa (Aquarius)</t>
  </si>
  <si>
    <t>3.85%</t>
  </si>
  <si>
    <t>mLOKATA PLUS</t>
  </si>
  <si>
    <t>3.80%</t>
  </si>
  <si>
    <t>3.75%</t>
  </si>
  <si>
    <t>Lokata Codziennie Zarabiająca</t>
  </si>
  <si>
    <t>14D</t>
  </si>
  <si>
    <t>3.70%</t>
  </si>
  <si>
    <t>7D</t>
  </si>
  <si>
    <t>Lokata Dzienny Zysk</t>
  </si>
  <si>
    <t>3.65%</t>
  </si>
  <si>
    <t>Konto Oszczędnościowe Codziennie Więcej</t>
  </si>
  <si>
    <t>3.60%</t>
  </si>
  <si>
    <t>3.55%</t>
  </si>
  <si>
    <t>Lokata 14-dniowa</t>
  </si>
  <si>
    <t>3.50%</t>
  </si>
  <si>
    <t>Lokata 7-dniowa</t>
  </si>
  <si>
    <t>Lokata24</t>
  </si>
  <si>
    <t>e-Lokata</t>
  </si>
  <si>
    <t>Pekao</t>
  </si>
  <si>
    <t>E-lok@ta</t>
  </si>
  <si>
    <t>3.45%</t>
  </si>
  <si>
    <t>3.44%</t>
  </si>
  <si>
    <t>3.40%</t>
  </si>
  <si>
    <t>Lokata rentierska</t>
  </si>
  <si>
    <t>3.35%</t>
  </si>
  <si>
    <t>Lokata na 12 miesięcy</t>
  </si>
  <si>
    <t>3.30%</t>
  </si>
  <si>
    <t>21D</t>
  </si>
  <si>
    <t>28D</t>
  </si>
  <si>
    <t>Lokata o zmiennym oprocentowaniu</t>
  </si>
  <si>
    <t>3.25%</t>
  </si>
  <si>
    <t>Konto Oszczędnościowe</t>
  </si>
  <si>
    <t>3.20%</t>
  </si>
  <si>
    <t>3.15%</t>
  </si>
  <si>
    <t>3.10%</t>
  </si>
  <si>
    <t>3.05%</t>
  </si>
  <si>
    <t>3.00%</t>
  </si>
  <si>
    <t>Lokata złotowa</t>
  </si>
  <si>
    <t>Lokata Jednodniowa</t>
  </si>
  <si>
    <t>Nowe Konto Oszczędnościowe</t>
  </si>
  <si>
    <t>2.95%</t>
  </si>
  <si>
    <t>2.90%</t>
  </si>
  <si>
    <t>2.85%</t>
  </si>
  <si>
    <t>2.80%</t>
  </si>
  <si>
    <t>2.75%</t>
  </si>
  <si>
    <t>2.70%</t>
  </si>
  <si>
    <t>Lokata na 6 miesięcy</t>
  </si>
  <si>
    <t>2.65%</t>
  </si>
  <si>
    <t>2.60%</t>
  </si>
  <si>
    <t>Lokata na 3 miesiące</t>
  </si>
  <si>
    <t>2.55%</t>
  </si>
  <si>
    <t>2.50%</t>
  </si>
  <si>
    <t>2.45%</t>
  </si>
  <si>
    <t>2.40%</t>
  </si>
  <si>
    <t>2.35%</t>
  </si>
  <si>
    <t>2.30%</t>
  </si>
  <si>
    <t>2.25%</t>
  </si>
  <si>
    <t>2.20%</t>
  </si>
  <si>
    <t>Lokata terminowa FORTUNA</t>
  </si>
  <si>
    <t>2.15%</t>
  </si>
  <si>
    <t>2.10%</t>
  </si>
  <si>
    <t>2.05%</t>
  </si>
  <si>
    <t>2.00%</t>
  </si>
  <si>
    <t>1.95%</t>
  </si>
  <si>
    <t>1.90%</t>
  </si>
  <si>
    <t>1.85%</t>
  </si>
  <si>
    <t>1.80%</t>
  </si>
  <si>
    <t>1.75%</t>
  </si>
  <si>
    <t>1.65%</t>
  </si>
  <si>
    <t>1.60%</t>
  </si>
  <si>
    <t>1.55%</t>
  </si>
  <si>
    <t>1.50%</t>
  </si>
  <si>
    <t>1.40%</t>
  </si>
  <si>
    <t>1.35%</t>
  </si>
  <si>
    <t>1.00%</t>
  </si>
  <si>
    <t>eMAX</t>
  </si>
  <si>
    <t>0.60%</t>
  </si>
  <si>
    <t>Lokaty walutowe</t>
  </si>
  <si>
    <t>0.15%</t>
  </si>
  <si>
    <t>0.10%</t>
  </si>
  <si>
    <t>a)</t>
  </si>
  <si>
    <t>Proszę napisać makra, które będą działać tak, jak polecenia wklejania specjalnego.</t>
  </si>
  <si>
    <t>Makra powinny by uruchamiane po wciśnięciu następujących skrótów klawiszowych:</t>
  </si>
  <si>
    <t>Wklej specjalnie:</t>
  </si>
  <si>
    <t>Skrót:</t>
  </si>
  <si>
    <t>Formuły</t>
  </si>
  <si>
    <t>Formaty</t>
  </si>
  <si>
    <t>Wartości (z pominięciem wartości pustych)</t>
  </si>
  <si>
    <t>b)</t>
  </si>
  <si>
    <t>Proszę napisać makra, które będą:</t>
  </si>
  <si>
    <t>Czynność</t>
  </si>
  <si>
    <t>Wyświetla linie siatki</t>
  </si>
  <si>
    <t>Ukrywa linie siatki</t>
  </si>
  <si>
    <t>Pokazuje pasek formuł</t>
  </si>
  <si>
    <t>Pokazuje nagłówki kolumn i wierszy</t>
  </si>
  <si>
    <t>Ukrywa nagłówki kolumn i wierszy</t>
  </si>
  <si>
    <t>Przełącza w tryb pełnoekranowy</t>
  </si>
  <si>
    <t>Przełącza do podglądu podziału stron</t>
  </si>
  <si>
    <t>Przełącza do widoku normalnego</t>
  </si>
  <si>
    <r>
      <t>Podpowiedź</t>
    </r>
    <r>
      <rPr>
        <sz val="10"/>
        <rFont val="Arial"/>
        <family val="2"/>
        <charset val="238"/>
      </rPr>
      <t>:</t>
    </r>
  </si>
  <si>
    <t>Nie</t>
  </si>
  <si>
    <t>Range("C25:H30").Cells(10)</t>
  </si>
  <si>
    <t>'odwołanie do 10 komórki w zakresie</t>
  </si>
  <si>
    <t>Twoja liczba</t>
  </si>
  <si>
    <t>Szczęśliwy numerek</t>
  </si>
  <si>
    <t>Zadanie polega na napisaniu makra, które będzie tworzyło raport dotyczący poprawności rozwiązań</t>
  </si>
  <si>
    <t>poszczególnych zadań domowych. W każdym arkuszu z zadaniem domowym, osoba sprawdzająca</t>
  </si>
  <si>
    <t>wstawia w komórce A1 liczbę przyznanych punktów, zaś w komórce B1 - komentarz do rozwiązań.</t>
  </si>
  <si>
    <r>
      <rPr>
        <b/>
        <sz val="10"/>
        <rFont val="Arial"/>
        <family val="2"/>
        <charset val="238"/>
      </rPr>
      <t>Makro powinno działać na aktywnym pliku Excelowym</t>
    </r>
    <r>
      <rPr>
        <sz val="10"/>
        <rFont val="Arial"/>
        <family val="2"/>
        <charset val="238"/>
      </rPr>
      <t>. Dla każdego arkusza w aktywnym</t>
    </r>
  </si>
  <si>
    <t>dokumencie wczytujemy jego nazwę, liczbę punktów (komórka A1) oraz komentarz do rozwiązania</t>
  </si>
  <si>
    <r>
      <t xml:space="preserve">(zamieszczany w komórce B1). </t>
    </r>
    <r>
      <rPr>
        <b/>
        <sz val="10"/>
        <rFont val="Arial"/>
        <family val="2"/>
        <charset val="238"/>
      </rPr>
      <t>Pobrane dane wypisujemy w niniejszym pliku</t>
    </r>
    <r>
      <rPr>
        <sz val="10"/>
        <rFont val="Arial"/>
        <family val="2"/>
        <charset val="238"/>
      </rPr>
      <t>, w kolejnych</t>
    </r>
  </si>
  <si>
    <r>
      <t xml:space="preserve">wierszach tabeli poniżej. </t>
    </r>
    <r>
      <rPr>
        <b/>
        <u/>
        <sz val="10"/>
        <rFont val="Arial"/>
        <family val="2"/>
        <charset val="238"/>
      </rPr>
      <t>Uwaga:</t>
    </r>
    <r>
      <rPr>
        <b/>
        <sz val="10"/>
        <rFont val="Arial"/>
        <family val="2"/>
        <charset val="238"/>
      </rPr>
      <t xml:space="preserve"> aktywny plik (z przesłanymi rozwiązaniami) oraz ten plik</t>
    </r>
  </si>
  <si>
    <t>(z tabelą z wynikami), to dwa różne pliki!</t>
  </si>
  <si>
    <t>Po wypisaniu wyników wszystkich zadań, makro powinno podliczyć zdobytą przez studenta liczbę</t>
  </si>
  <si>
    <t>punktów i wypisać ją do komórki  C25. Po wykonaniu powyższych czynności zaznaczamy</t>
  </si>
  <si>
    <t>poniższą tabelę i kopiujemy wyniki. Dzięki temu sprawdzający nie musi ręcznie zaznaczać tabeli</t>
  </si>
  <si>
    <t>z wynikami, a jedynie wkleja skopiowany zakres na stronę kursu.</t>
  </si>
  <si>
    <r>
      <rPr>
        <u/>
        <sz val="10"/>
        <rFont val="Arial"/>
        <family val="2"/>
        <charset val="238"/>
      </rPr>
      <t>Uwaga:</t>
    </r>
    <r>
      <rPr>
        <sz val="10"/>
        <rFont val="Arial"/>
        <family val="2"/>
        <charset val="238"/>
      </rPr>
      <t xml:space="preserve"> nie zapomnij o czyszczeniu danych w tabeli poniżej, przed ponownym zliczeniem punktów</t>
    </r>
  </si>
  <si>
    <t>dla kolejnego studenta. Ponadto pamiętaj, że studenci lubią czasem dodawać nowe arkusze do</t>
  </si>
  <si>
    <t>pliku z zadaniami domowymi, więc  może być różna ilość arkuszy. Wypisz jedynie te arkusze,</t>
  </si>
  <si>
    <t>w których w komórce A1, została podana liczba punktów (w A1 znajduje się wartość liczbowa).</t>
  </si>
  <si>
    <t>Suma punktów =</t>
  </si>
  <si>
    <t>Zadanie</t>
  </si>
  <si>
    <t>Liczba punktów</t>
  </si>
  <si>
    <t>Komentarz</t>
  </si>
  <si>
    <t>Ogłaszam konkurs na najciekawsze makro !!!</t>
  </si>
  <si>
    <t>Oceniana będzie zarówno kreatywność, jak i praktyczna użyteczność.</t>
  </si>
  <si>
    <t>Rozwiązanie powinno się składać z 3 elementów:</t>
  </si>
  <si>
    <t>(1) opis makra  - co makro wykonuje; kiedy i do czego może się nam przydać;</t>
  </si>
  <si>
    <t>(2) przykład działania makra - przykładowo dane, na których makro się wykonuje;</t>
  </si>
  <si>
    <t>(3) dobrze opisany (z komentarzami) kod makra wraz z opisem, jak je napisaliśmy</t>
  </si>
  <si>
    <t>(czy ściągnęliśmy kod z Internetu, czy nagraliśmy makro, czy też może sami napisaliśmy kod).</t>
  </si>
  <si>
    <r>
      <rPr>
        <u/>
        <sz val="10"/>
        <rFont val="Arial"/>
        <family val="2"/>
        <charset val="238"/>
      </rPr>
      <t>Uwaga</t>
    </r>
    <r>
      <rPr>
        <sz val="10"/>
        <rFont val="Arial"/>
        <family val="2"/>
        <charset val="238"/>
      </rPr>
      <t>: rozwiązanie zadania proszę dołączyć do rozwiązań zadań domowych, jak również</t>
    </r>
  </si>
  <si>
    <t>zamieścić na stronie kursu na forum: "Przydatne makra".</t>
  </si>
  <si>
    <t>Powodzenia !!!</t>
  </si>
  <si>
    <t>Zadania egzaminacyjne</t>
  </si>
  <si>
    <r>
      <t>ã</t>
    </r>
    <r>
      <rPr>
        <i/>
        <sz val="10"/>
        <rFont val="Arial"/>
        <family val="2"/>
        <charset val="238"/>
      </rPr>
      <t xml:space="preserve"> LabMasters.pl</t>
    </r>
  </si>
  <si>
    <t>Email:</t>
  </si>
  <si>
    <t>Numer uczestnika (numer faktury vat):</t>
  </si>
  <si>
    <t>Ctrl+Shift+q</t>
  </si>
  <si>
    <t>Ctrl+Shift+w</t>
  </si>
  <si>
    <t>Ctrl+Shift+e</t>
  </si>
  <si>
    <t>Ctrl+Shift+r</t>
  </si>
  <si>
    <t>Ctrl+Shift+t</t>
  </si>
  <si>
    <t>Ctrl+Shift+y</t>
  </si>
  <si>
    <t>Ctrl+Shift+u</t>
  </si>
  <si>
    <t>Ctrl+Shift+i</t>
  </si>
  <si>
    <t>Ctrl+Shift+o</t>
  </si>
  <si>
    <t>Ctrl+Shift+p</t>
  </si>
  <si>
    <t>Ctrl+Shift+a</t>
  </si>
  <si>
    <t>Ctrl+Shift+s</t>
  </si>
  <si>
    <t>Napisz makro, które będzie losowało szczęśliwą liczbę od 1 do 36. Użytkownik</t>
  </si>
  <si>
    <t>proszony jest o podanie "Szczęśliwego numerka" za pomocą okna dialogowego.</t>
  </si>
  <si>
    <t>Makro powinno wpisywać do komórek G22 oraz G23 odpowiednio wskazaną przez</t>
  </si>
  <si>
    <t>użytkownika liczbę oraz wylosowaną liczbę. Ponadto makro powinno zaznaczać te</t>
  </si>
  <si>
    <t>liczby w tabelce poniżej formatując ich kolor wypełnienia oraz obramowanie.</t>
  </si>
  <si>
    <t>możliwość wyboru, czy ponownie wziąć udział w grze, czy ją zakończyć.</t>
  </si>
  <si>
    <t/>
  </si>
  <si>
    <t>Jeżeli użytkownik wytypuje prawidłowo liczbę , to wyświetlony zostanie</t>
  </si>
  <si>
    <t>komunikat: Brawo, trafnie wytypowałeś liczbę ! ! !</t>
  </si>
  <si>
    <t>W przeciwnym razie wyświetlona zostanie informacja:</t>
  </si>
  <si>
    <t>Niestety nie udało ci się trafnie wytypować liczby. Szczęśliwy numerek, to XXX</t>
  </si>
  <si>
    <t>(wstawić wylosowaną liczbę). Spróbuj jeszcze raz.</t>
  </si>
  <si>
    <t>W przypadku nieprawidłowego wytypowania liczby, użytkownik powinien mieć</t>
  </si>
  <si>
    <t>Ukrywa pasek formuł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</si>
</sst>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#,##0\ &quot;zł&quot;;[Red]\-#,##0\ &quot;zł&quot;"/>
    <numFmt numFmtId="8" formatCode="#,##0.00\ &quot;zł&quot;;[Red]\-#,##0.00\ &quot;zł&quot;"/>
  </numFmts>
  <fonts count="23">
    <font>
      <sz val="10"/>
      <name val="Arial CE"/>
      <charset val="238"/>
    </font>
    <font>
      <sz val="11"/>
      <color theme="0"/>
      <name val="Calibri"/>
      <family val="2"/>
      <charset val="238"/>
      <scheme val="minor"/>
    </font>
    <font>
      <b/>
      <sz val="14"/>
      <name val="Arial CE"/>
      <charset val="238"/>
    </font>
    <font>
      <sz val="12"/>
      <name val="Arial CE"/>
      <charset val="238"/>
    </font>
    <font>
      <sz val="12"/>
      <color rgb="FFFF0000"/>
      <name val="Arial CE"/>
      <charset val="238"/>
    </font>
    <font>
      <sz val="10"/>
      <name val="Arial"/>
      <family val="2"/>
      <charset val="238"/>
    </font>
    <font>
      <i/>
      <sz val="10"/>
      <name val="Arial"/>
      <family val="2"/>
      <charset val="238"/>
    </font>
    <font>
      <sz val="26"/>
      <name val="Arial"/>
      <family val="2"/>
      <charset val="238"/>
    </font>
    <font>
      <b/>
      <sz val="10"/>
      <name val="Arial"/>
      <family val="2"/>
      <charset val="238"/>
    </font>
    <font>
      <sz val="11"/>
      <color theme="1"/>
      <name val="Czcionka tekstu podstawowego"/>
      <family val="2"/>
      <charset val="238"/>
    </font>
    <font>
      <sz val="14"/>
      <name val="Czcionka tekstu podstawowego"/>
      <family val="2"/>
      <charset val="238"/>
    </font>
    <font>
      <sz val="11"/>
      <name val="Czcionka tekstu podstawowego"/>
      <family val="2"/>
      <charset val="238"/>
    </font>
    <font>
      <u/>
      <sz val="10"/>
      <name val="Arial"/>
      <family val="2"/>
      <charset val="238"/>
    </font>
    <font>
      <b/>
      <u/>
      <sz val="10"/>
      <color theme="1"/>
      <name val="Czcionka tekstu podstawowego"/>
      <charset val="238"/>
    </font>
    <font>
      <u/>
      <sz val="10"/>
      <color theme="10"/>
      <name val="Arial CE"/>
      <charset val="238"/>
    </font>
    <font>
      <b/>
      <sz val="11"/>
      <color theme="0"/>
      <name val="Czcionka tekstu podstawowego"/>
      <charset val="238"/>
    </font>
    <font>
      <sz val="12"/>
      <name val="Symbol"/>
      <family val="1"/>
      <charset val="2"/>
    </font>
    <font>
      <sz val="10"/>
      <color rgb="FF00B050"/>
      <name val="Arial"/>
      <family val="2"/>
      <charset val="238"/>
    </font>
    <font>
      <b/>
      <u/>
      <sz val="10"/>
      <name val="Arial"/>
      <family val="2"/>
      <charset val="238"/>
    </font>
    <font>
      <i/>
      <sz val="12"/>
      <name val="Symbol"/>
      <family val="1"/>
      <charset val="2"/>
    </font>
    <font>
      <sz val="11"/>
      <color rgb="FF000000"/>
      <name val="Calibri"/>
      <family val="2"/>
      <charset val="238"/>
    </font>
    <font>
      <sz val="10"/>
      <color rgb="FF000000"/>
      <name val="Arial"/>
      <family val="2"/>
      <charset val="238"/>
    </font>
    <font>
      <b/>
      <sz val="10"/>
      <color rgb="FF000000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9"/>
      </bottom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9" fillId="0" borderId="0"/>
    <xf numFmtId="0" fontId="14" fillId="0" borderId="0" applyNumberFormat="0" applyFill="0" applyBorder="0" applyAlignment="0" applyProtection="0"/>
  </cellStyleXfs>
  <cellXfs count="222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5" fillId="0" borderId="0" xfId="2" applyFont="1"/>
    <xf numFmtId="0" fontId="5" fillId="0" borderId="0" xfId="2" applyFont="1" applyFill="1"/>
    <xf numFmtId="0" fontId="5" fillId="0" borderId="0" xfId="2" quotePrefix="1" applyFont="1" applyFill="1"/>
    <xf numFmtId="0" fontId="6" fillId="0" borderId="0" xfId="2" applyFont="1" applyFill="1"/>
    <xf numFmtId="0" fontId="5" fillId="0" borderId="0" xfId="2"/>
    <xf numFmtId="0" fontId="8" fillId="0" borderId="19" xfId="2" applyFont="1" applyFill="1" applyBorder="1" applyAlignment="1">
      <alignment horizontal="center" vertical="center"/>
    </xf>
    <xf numFmtId="0" fontId="8" fillId="0" borderId="20" xfId="2" applyFont="1" applyFill="1" applyBorder="1" applyAlignment="1">
      <alignment horizontal="center" vertical="center"/>
    </xf>
    <xf numFmtId="0" fontId="8" fillId="0" borderId="26" xfId="2" applyFont="1" applyFill="1" applyBorder="1" applyAlignment="1">
      <alignment horizontal="center" vertical="center"/>
    </xf>
    <xf numFmtId="0" fontId="8" fillId="0" borderId="31" xfId="2" applyFont="1" applyFill="1" applyBorder="1" applyAlignment="1">
      <alignment horizontal="center" vertical="center"/>
    </xf>
    <xf numFmtId="0" fontId="8" fillId="0" borderId="32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27" xfId="2" applyFont="1" applyBorder="1" applyAlignment="1">
      <alignment horizontal="center" vertical="center" wrapText="1"/>
    </xf>
    <xf numFmtId="0" fontId="8" fillId="0" borderId="33" xfId="2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8" fillId="0" borderId="34" xfId="2" applyFont="1" applyBorder="1" applyAlignment="1">
      <alignment horizontal="center" vertical="center"/>
    </xf>
    <xf numFmtId="0" fontId="5" fillId="0" borderId="38" xfId="2" applyFont="1" applyFill="1" applyBorder="1" applyAlignment="1">
      <alignment horizontal="right" vertical="center"/>
    </xf>
    <xf numFmtId="0" fontId="5" fillId="0" borderId="39" xfId="2" applyFont="1" applyBorder="1" applyAlignment="1">
      <alignment horizontal="center" vertical="center"/>
    </xf>
    <xf numFmtId="0" fontId="5" fillId="0" borderId="40" xfId="2" applyFont="1" applyBorder="1" applyAlignment="1">
      <alignment vertical="center"/>
    </xf>
    <xf numFmtId="0" fontId="5" fillId="0" borderId="38" xfId="2" applyFont="1" applyBorder="1" applyAlignment="1">
      <alignment horizontal="center" vertical="center"/>
    </xf>
    <xf numFmtId="0" fontId="5" fillId="0" borderId="39" xfId="2" applyFont="1" applyFill="1" applyBorder="1" applyAlignment="1">
      <alignment horizontal="center" vertical="center"/>
    </xf>
    <xf numFmtId="0" fontId="8" fillId="0" borderId="41" xfId="2" applyFont="1" applyFill="1" applyBorder="1" applyAlignment="1">
      <alignment horizontal="center" vertical="center"/>
    </xf>
    <xf numFmtId="0" fontId="5" fillId="0" borderId="42" xfId="2" applyFont="1" applyFill="1" applyBorder="1" applyAlignment="1">
      <alignment horizontal="center" vertical="center"/>
    </xf>
    <xf numFmtId="0" fontId="8" fillId="0" borderId="41" xfId="2" applyFont="1" applyBorder="1" applyAlignment="1">
      <alignment horizontal="center" vertical="center"/>
    </xf>
    <xf numFmtId="0" fontId="5" fillId="0" borderId="41" xfId="2" applyFont="1" applyBorder="1" applyAlignment="1">
      <alignment horizontal="center" vertical="center"/>
    </xf>
    <xf numFmtId="0" fontId="5" fillId="0" borderId="43" xfId="2" applyFont="1" applyBorder="1" applyAlignment="1">
      <alignment horizontal="center" vertical="center"/>
    </xf>
    <xf numFmtId="0" fontId="5" fillId="0" borderId="44" xfId="2" applyFont="1" applyBorder="1" applyAlignment="1">
      <alignment horizontal="center" vertical="center"/>
    </xf>
    <xf numFmtId="0" fontId="5" fillId="0" borderId="45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5" fillId="0" borderId="47" xfId="2" applyFont="1" applyFill="1" applyBorder="1" applyAlignment="1">
      <alignment horizontal="right" vertical="center"/>
    </xf>
    <xf numFmtId="0" fontId="5" fillId="0" borderId="3" xfId="2" applyFont="1" applyBorder="1" applyAlignment="1">
      <alignment horizontal="center" vertical="center"/>
    </xf>
    <xf numFmtId="0" fontId="5" fillId="0" borderId="48" xfId="2" applyFont="1" applyBorder="1" applyAlignment="1">
      <alignment vertical="center"/>
    </xf>
    <xf numFmtId="0" fontId="5" fillId="0" borderId="47" xfId="2" applyFont="1" applyBorder="1" applyAlignment="1">
      <alignment horizontal="center" vertical="center"/>
    </xf>
    <xf numFmtId="0" fontId="5" fillId="0" borderId="3" xfId="2" applyFont="1" applyFill="1" applyBorder="1" applyAlignment="1">
      <alignment horizontal="center" vertical="center"/>
    </xf>
    <xf numFmtId="0" fontId="8" fillId="0" borderId="49" xfId="2" applyFont="1" applyFill="1" applyBorder="1" applyAlignment="1">
      <alignment horizontal="center" vertical="center"/>
    </xf>
    <xf numFmtId="0" fontId="5" fillId="0" borderId="4" xfId="2" applyFont="1" applyFill="1" applyBorder="1" applyAlignment="1">
      <alignment horizontal="center" vertical="center"/>
    </xf>
    <xf numFmtId="0" fontId="8" fillId="0" borderId="49" xfId="2" applyFont="1" applyBorder="1" applyAlignment="1">
      <alignment horizontal="center" vertical="center"/>
    </xf>
    <xf numFmtId="0" fontId="5" fillId="0" borderId="49" xfId="2" applyFont="1" applyBorder="1" applyAlignment="1">
      <alignment horizontal="center" vertical="center"/>
    </xf>
    <xf numFmtId="0" fontId="8" fillId="0" borderId="50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5" fillId="0" borderId="48" xfId="2" applyFont="1" applyFill="1" applyBorder="1" applyAlignment="1">
      <alignment vertical="center"/>
    </xf>
    <xf numFmtId="0" fontId="5" fillId="0" borderId="47" xfId="2" applyFont="1" applyFill="1" applyBorder="1" applyAlignment="1">
      <alignment horizontal="center" vertical="center"/>
    </xf>
    <xf numFmtId="0" fontId="5" fillId="0" borderId="51" xfId="2" applyFont="1" applyFill="1" applyBorder="1" applyAlignment="1">
      <alignment horizontal="right" vertical="center"/>
    </xf>
    <xf numFmtId="0" fontId="5" fillId="0" borderId="52" xfId="2" applyFont="1" applyBorder="1" applyAlignment="1">
      <alignment horizontal="center" vertical="center"/>
    </xf>
    <xf numFmtId="0" fontId="5" fillId="0" borderId="53" xfId="2" applyFont="1" applyBorder="1" applyAlignment="1">
      <alignment vertical="center"/>
    </xf>
    <xf numFmtId="0" fontId="5" fillId="0" borderId="51" xfId="2" applyFont="1" applyBorder="1" applyAlignment="1">
      <alignment horizontal="center" vertical="center"/>
    </xf>
    <xf numFmtId="0" fontId="5" fillId="0" borderId="52" xfId="2" applyFont="1" applyFill="1" applyBorder="1" applyAlignment="1">
      <alignment horizontal="center" vertical="center"/>
    </xf>
    <xf numFmtId="0" fontId="8" fillId="0" borderId="54" xfId="2" applyFont="1" applyFill="1" applyBorder="1" applyAlignment="1">
      <alignment horizontal="center" vertical="center"/>
    </xf>
    <xf numFmtId="0" fontId="5" fillId="0" borderId="55" xfId="2" applyFont="1" applyFill="1" applyBorder="1" applyAlignment="1">
      <alignment horizontal="center" vertical="center"/>
    </xf>
    <xf numFmtId="0" fontId="8" fillId="0" borderId="54" xfId="2" applyFont="1" applyBorder="1" applyAlignment="1">
      <alignment horizontal="center" vertical="center"/>
    </xf>
    <xf numFmtId="0" fontId="5" fillId="0" borderId="54" xfId="2" applyFont="1" applyBorder="1" applyAlignment="1">
      <alignment horizontal="center" vertical="center"/>
    </xf>
    <xf numFmtId="0" fontId="8" fillId="0" borderId="56" xfId="2" applyFont="1" applyBorder="1" applyAlignment="1">
      <alignment horizontal="center" vertical="center"/>
    </xf>
    <xf numFmtId="0" fontId="9" fillId="0" borderId="0" xfId="3" applyFill="1"/>
    <xf numFmtId="0" fontId="10" fillId="0" borderId="0" xfId="3" applyFont="1" applyFill="1"/>
    <xf numFmtId="0" fontId="11" fillId="0" borderId="0" xfId="3" applyFont="1" applyFill="1"/>
    <xf numFmtId="0" fontId="5" fillId="0" borderId="0" xfId="2" applyFont="1" applyFill="1" applyAlignment="1">
      <alignment horizontal="left"/>
    </xf>
    <xf numFmtId="0" fontId="13" fillId="0" borderId="0" xfId="3" applyFont="1" applyFill="1"/>
    <xf numFmtId="0" fontId="9" fillId="0" borderId="0" xfId="3" quotePrefix="1" applyFill="1"/>
    <xf numFmtId="0" fontId="7" fillId="0" borderId="0" xfId="0" applyFont="1" applyFill="1" applyBorder="1" applyAlignment="1">
      <alignment vertical="center"/>
    </xf>
    <xf numFmtId="0" fontId="9" fillId="0" borderId="0" xfId="3" applyFill="1" applyBorder="1"/>
    <xf numFmtId="0" fontId="8" fillId="0" borderId="35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8" fillId="0" borderId="62" xfId="0" applyFont="1" applyFill="1" applyBorder="1" applyAlignment="1">
      <alignment horizontal="center" vertical="center"/>
    </xf>
    <xf numFmtId="0" fontId="8" fillId="0" borderId="62" xfId="0" applyFont="1" applyFill="1" applyBorder="1" applyAlignment="1">
      <alignment horizontal="center" vertical="center" wrapText="1"/>
    </xf>
    <xf numFmtId="0" fontId="8" fillId="0" borderId="37" xfId="0" applyFont="1" applyFill="1" applyBorder="1" applyAlignment="1">
      <alignment horizontal="center" vertical="center" wrapText="1"/>
    </xf>
    <xf numFmtId="0" fontId="8" fillId="0" borderId="63" xfId="0" applyFont="1" applyFill="1" applyBorder="1" applyAlignment="1">
      <alignment horizontal="center" vertical="center"/>
    </xf>
    <xf numFmtId="0" fontId="8" fillId="0" borderId="64" xfId="0" applyFont="1" applyFill="1" applyBorder="1" applyAlignment="1">
      <alignment horizontal="center" vertical="center" wrapText="1"/>
    </xf>
    <xf numFmtId="0" fontId="8" fillId="0" borderId="65" xfId="0" applyFont="1" applyFill="1" applyBorder="1" applyAlignment="1">
      <alignment horizontal="center" vertical="center" wrapText="1"/>
    </xf>
    <xf numFmtId="0" fontId="5" fillId="0" borderId="38" xfId="0" applyFont="1" applyFill="1" applyBorder="1" applyAlignment="1">
      <alignment horizontal="right" vertical="center"/>
    </xf>
    <xf numFmtId="0" fontId="5" fillId="0" borderId="39" xfId="0" applyFont="1" applyFill="1" applyBorder="1" applyAlignment="1">
      <alignment horizontal="center" vertical="center"/>
    </xf>
    <xf numFmtId="0" fontId="5" fillId="0" borderId="39" xfId="0" applyFont="1" applyFill="1" applyBorder="1" applyAlignment="1">
      <alignment vertical="center"/>
    </xf>
    <xf numFmtId="0" fontId="5" fillId="0" borderId="38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>
      <alignment horizontal="center" vertical="center"/>
    </xf>
    <xf numFmtId="0" fontId="5" fillId="0" borderId="42" xfId="0" applyFont="1" applyFill="1" applyBorder="1" applyAlignment="1">
      <alignment horizontal="center" vertical="center"/>
    </xf>
    <xf numFmtId="0" fontId="8" fillId="0" borderId="38" xfId="0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 vertical="center"/>
    </xf>
    <xf numFmtId="0" fontId="5" fillId="0" borderId="41" xfId="0" applyNumberFormat="1" applyFont="1" applyFill="1" applyBorder="1" applyAlignment="1">
      <alignment horizontal="center" vertical="center"/>
    </xf>
    <xf numFmtId="0" fontId="5" fillId="0" borderId="40" xfId="0" applyNumberFormat="1" applyFont="1" applyFill="1" applyBorder="1" applyAlignment="1">
      <alignment horizontal="center" vertical="center"/>
    </xf>
    <xf numFmtId="2" fontId="5" fillId="0" borderId="41" xfId="0" applyNumberFormat="1" applyFont="1" applyFill="1" applyBorder="1" applyAlignment="1">
      <alignment horizontal="center" vertical="center"/>
    </xf>
    <xf numFmtId="2" fontId="5" fillId="0" borderId="46" xfId="0" applyNumberFormat="1" applyFont="1" applyFill="1" applyBorder="1" applyAlignment="1">
      <alignment horizontal="center" vertical="center"/>
    </xf>
    <xf numFmtId="0" fontId="8" fillId="0" borderId="59" xfId="0" applyFont="1" applyFill="1" applyBorder="1" applyAlignment="1">
      <alignment horizontal="center" vertical="center"/>
    </xf>
    <xf numFmtId="0" fontId="5" fillId="0" borderId="47" xfId="0" applyFont="1" applyFill="1" applyBorder="1" applyAlignment="1">
      <alignment horizontal="right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5" fillId="0" borderId="47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8" fillId="0" borderId="4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8" fillId="0" borderId="47" xfId="0" applyFont="1" applyFill="1" applyBorder="1" applyAlignment="1">
      <alignment horizontal="center" vertical="center"/>
    </xf>
    <xf numFmtId="0" fontId="5" fillId="0" borderId="68" xfId="0" applyFont="1" applyFill="1" applyBorder="1" applyAlignment="1">
      <alignment horizontal="center" vertical="center"/>
    </xf>
    <xf numFmtId="0" fontId="5" fillId="0" borderId="49" xfId="0" applyNumberFormat="1" applyFont="1" applyFill="1" applyBorder="1" applyAlignment="1">
      <alignment horizontal="center" vertical="center"/>
    </xf>
    <xf numFmtId="0" fontId="5" fillId="0" borderId="48" xfId="0" applyNumberFormat="1" applyFont="1" applyFill="1" applyBorder="1" applyAlignment="1">
      <alignment horizontal="center" vertical="center"/>
    </xf>
    <xf numFmtId="2" fontId="5" fillId="0" borderId="49" xfId="0" applyNumberFormat="1" applyFont="1" applyFill="1" applyBorder="1" applyAlignment="1">
      <alignment horizontal="center" vertical="center"/>
    </xf>
    <xf numFmtId="2" fontId="5" fillId="0" borderId="50" xfId="0" applyNumberFormat="1" applyFont="1" applyFill="1" applyBorder="1" applyAlignment="1">
      <alignment horizontal="center" vertical="center"/>
    </xf>
    <xf numFmtId="0" fontId="8" fillId="0" borderId="68" xfId="0" applyFont="1" applyFill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/>
    </xf>
    <xf numFmtId="0" fontId="5" fillId="0" borderId="69" xfId="0" applyFont="1" applyFill="1" applyBorder="1" applyAlignment="1">
      <alignment horizontal="center" vertical="center"/>
    </xf>
    <xf numFmtId="0" fontId="5" fillId="0" borderId="69" xfId="0" applyFont="1" applyFill="1" applyBorder="1" applyAlignment="1">
      <alignment vertical="center"/>
    </xf>
    <xf numFmtId="0" fontId="5" fillId="0" borderId="70" xfId="0" applyFont="1" applyFill="1" applyBorder="1" applyAlignment="1">
      <alignment horizontal="center" vertical="center"/>
    </xf>
    <xf numFmtId="0" fontId="5" fillId="0" borderId="71" xfId="0" applyFont="1" applyFill="1" applyBorder="1" applyAlignment="1">
      <alignment horizontal="center" vertical="center"/>
    </xf>
    <xf numFmtId="0" fontId="5" fillId="0" borderId="72" xfId="0" applyFont="1" applyFill="1" applyBorder="1" applyAlignment="1">
      <alignment horizontal="center" vertical="center"/>
    </xf>
    <xf numFmtId="0" fontId="5" fillId="0" borderId="51" xfId="0" applyFont="1" applyFill="1" applyBorder="1" applyAlignment="1">
      <alignment horizontal="right" vertical="center"/>
    </xf>
    <xf numFmtId="0" fontId="5" fillId="0" borderId="52" xfId="0" applyFont="1" applyFill="1" applyBorder="1" applyAlignment="1">
      <alignment horizontal="center" vertical="center"/>
    </xf>
    <xf numFmtId="0" fontId="5" fillId="0" borderId="52" xfId="0" applyFont="1" applyFill="1" applyBorder="1" applyAlignment="1">
      <alignment vertical="center"/>
    </xf>
    <xf numFmtId="0" fontId="5" fillId="0" borderId="51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center" vertical="center"/>
    </xf>
    <xf numFmtId="0" fontId="8" fillId="0" borderId="54" xfId="0" applyNumberFormat="1" applyFont="1" applyFill="1" applyBorder="1" applyAlignment="1">
      <alignment horizontal="center" vertical="center"/>
    </xf>
    <xf numFmtId="0" fontId="5" fillId="0" borderId="55" xfId="0" applyFont="1" applyFill="1" applyBorder="1" applyAlignment="1">
      <alignment horizontal="center" vertical="center"/>
    </xf>
    <xf numFmtId="0" fontId="8" fillId="0" borderId="51" xfId="0" applyFont="1" applyFill="1" applyBorder="1" applyAlignment="1">
      <alignment horizontal="center" vertical="center"/>
    </xf>
    <xf numFmtId="0" fontId="5" fillId="0" borderId="67" xfId="0" applyFont="1" applyFill="1" applyBorder="1" applyAlignment="1">
      <alignment horizontal="center" vertical="center"/>
    </xf>
    <xf numFmtId="0" fontId="5" fillId="0" borderId="54" xfId="0" applyNumberFormat="1" applyFont="1" applyFill="1" applyBorder="1" applyAlignment="1">
      <alignment horizontal="center" vertical="center"/>
    </xf>
    <xf numFmtId="0" fontId="5" fillId="0" borderId="53" xfId="0" applyNumberFormat="1" applyFont="1" applyFill="1" applyBorder="1" applyAlignment="1">
      <alignment horizontal="center" vertical="center"/>
    </xf>
    <xf numFmtId="2" fontId="5" fillId="0" borderId="54" xfId="0" applyNumberFormat="1" applyFont="1" applyFill="1" applyBorder="1" applyAlignment="1">
      <alignment horizontal="center" vertical="center"/>
    </xf>
    <xf numFmtId="2" fontId="5" fillId="0" borderId="56" xfId="0" applyNumberFormat="1" applyFont="1" applyFill="1" applyBorder="1" applyAlignment="1">
      <alignment horizontal="center" vertical="center"/>
    </xf>
    <xf numFmtId="0" fontId="8" fillId="0" borderId="67" xfId="0" applyFont="1" applyFill="1" applyBorder="1" applyAlignment="1">
      <alignment horizontal="center" vertical="center"/>
    </xf>
    <xf numFmtId="0" fontId="14" fillId="0" borderId="0" xfId="4" applyFill="1"/>
    <xf numFmtId="0" fontId="5" fillId="0" borderId="73" xfId="2" applyFont="1" applyFill="1" applyBorder="1" applyAlignment="1">
      <alignment horizontal="center"/>
    </xf>
    <xf numFmtId="0" fontId="15" fillId="2" borderId="20" xfId="1" applyFont="1" applyBorder="1" applyAlignment="1">
      <alignment horizontal="center"/>
    </xf>
    <xf numFmtId="0" fontId="15" fillId="2" borderId="21" xfId="1" applyFont="1" applyBorder="1" applyAlignment="1">
      <alignment horizontal="center"/>
    </xf>
    <xf numFmtId="0" fontId="15" fillId="2" borderId="31" xfId="1" applyFont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0" xfId="0" applyFill="1" applyBorder="1"/>
    <xf numFmtId="10" fontId="0" fillId="4" borderId="20" xfId="0" applyNumberFormat="1" applyFill="1" applyBorder="1"/>
    <xf numFmtId="8" fontId="0" fillId="4" borderId="20" xfId="0" applyNumberFormat="1" applyFill="1" applyBorder="1"/>
    <xf numFmtId="6" fontId="0" fillId="4" borderId="20" xfId="0" applyNumberFormat="1" applyFill="1" applyBorder="1"/>
    <xf numFmtId="0" fontId="16" fillId="0" borderId="0" xfId="2" applyFont="1" applyFill="1"/>
    <xf numFmtId="0" fontId="5" fillId="0" borderId="0" xfId="2" applyFont="1" applyFill="1" applyAlignment="1">
      <alignment horizontal="right"/>
    </xf>
    <xf numFmtId="0" fontId="6" fillId="5" borderId="73" xfId="2" applyFont="1" applyFill="1" applyBorder="1" applyAlignment="1">
      <alignment horizontal="center"/>
    </xf>
    <xf numFmtId="0" fontId="6" fillId="5" borderId="74" xfId="2" applyFont="1" applyFill="1" applyBorder="1" applyAlignment="1">
      <alignment horizontal="center"/>
    </xf>
    <xf numFmtId="0" fontId="5" fillId="0" borderId="20" xfId="2" applyFont="1" applyFill="1" applyBorder="1"/>
    <xf numFmtId="0" fontId="5" fillId="0" borderId="31" xfId="2" applyFont="1" applyFill="1" applyBorder="1"/>
    <xf numFmtId="0" fontId="5" fillId="0" borderId="5" xfId="2" applyFont="1" applyFill="1" applyBorder="1"/>
    <xf numFmtId="0" fontId="5" fillId="0" borderId="6" xfId="2" applyFont="1" applyFill="1" applyBorder="1"/>
    <xf numFmtId="0" fontId="6" fillId="5" borderId="1" xfId="2" applyFont="1" applyFill="1" applyBorder="1" applyAlignment="1">
      <alignment horizontal="center"/>
    </xf>
    <xf numFmtId="0" fontId="6" fillId="5" borderId="2" xfId="2" applyFont="1" applyFill="1" applyBorder="1" applyAlignment="1">
      <alignment horizontal="center"/>
    </xf>
    <xf numFmtId="0" fontId="5" fillId="0" borderId="1" xfId="2" applyFont="1" applyFill="1" applyBorder="1"/>
    <xf numFmtId="0" fontId="12" fillId="0" borderId="0" xfId="2" applyFont="1" applyFill="1"/>
    <xf numFmtId="0" fontId="5" fillId="0" borderId="0" xfId="2" applyFont="1" applyFill="1" applyAlignment="1">
      <alignment horizontal="center" vertical="center"/>
    </xf>
    <xf numFmtId="0" fontId="17" fillId="0" borderId="0" xfId="2" applyFont="1" applyFill="1"/>
    <xf numFmtId="0" fontId="5" fillId="6" borderId="73" xfId="2" applyFont="1" applyFill="1" applyBorder="1" applyAlignment="1">
      <alignment horizontal="center" vertical="center"/>
    </xf>
    <xf numFmtId="0" fontId="5" fillId="0" borderId="0" xfId="2" applyFont="1" applyFill="1" applyBorder="1"/>
    <xf numFmtId="0" fontId="5" fillId="7" borderId="73" xfId="2" applyFont="1" applyFill="1" applyBorder="1" applyAlignment="1">
      <alignment horizontal="center" vertical="center"/>
    </xf>
    <xf numFmtId="0" fontId="5" fillId="0" borderId="34" xfId="2" applyFont="1" applyFill="1" applyBorder="1" applyAlignment="1">
      <alignment horizontal="center" vertical="center"/>
    </xf>
    <xf numFmtId="0" fontId="5" fillId="0" borderId="77" xfId="2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21" xfId="2" applyFont="1" applyFill="1" applyBorder="1" applyAlignment="1">
      <alignment horizontal="center" vertical="center"/>
    </xf>
    <xf numFmtId="0" fontId="5" fillId="0" borderId="31" xfId="2" applyFont="1" applyFill="1" applyBorder="1" applyAlignment="1">
      <alignment horizontal="center" vertical="center"/>
    </xf>
    <xf numFmtId="0" fontId="5" fillId="0" borderId="78" xfId="2" applyFont="1" applyFill="1" applyBorder="1" applyAlignment="1">
      <alignment horizontal="center" vertical="center"/>
    </xf>
    <xf numFmtId="0" fontId="5" fillId="0" borderId="24" xfId="2" applyFont="1" applyFill="1" applyBorder="1" applyAlignment="1">
      <alignment horizontal="center" vertical="center"/>
    </xf>
    <xf numFmtId="0" fontId="5" fillId="0" borderId="6" xfId="2" applyFont="1" applyFill="1" applyBorder="1" applyAlignment="1">
      <alignment horizontal="center" vertical="center"/>
    </xf>
    <xf numFmtId="0" fontId="8" fillId="0" borderId="0" xfId="2" applyFont="1" applyFill="1"/>
    <xf numFmtId="0" fontId="5" fillId="0" borderId="0" xfId="2" applyFont="1" applyFill="1" applyAlignment="1">
      <alignment horizontal="center"/>
    </xf>
    <xf numFmtId="0" fontId="5" fillId="0" borderId="0" xfId="2" applyFont="1" applyFill="1" applyAlignment="1"/>
    <xf numFmtId="0" fontId="5" fillId="8" borderId="76" xfId="2" applyFont="1" applyFill="1" applyBorder="1" applyAlignment="1">
      <alignment vertical="center"/>
    </xf>
    <xf numFmtId="0" fontId="8" fillId="8" borderId="76" xfId="2" applyFont="1" applyFill="1" applyBorder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8" fillId="0" borderId="18" xfId="2" applyFont="1" applyBorder="1" applyAlignment="1">
      <alignment horizontal="center" vertical="center"/>
    </xf>
    <xf numFmtId="0" fontId="8" fillId="0" borderId="26" xfId="2" applyFont="1" applyBorder="1" applyAlignment="1">
      <alignment horizontal="center" vertical="center"/>
    </xf>
    <xf numFmtId="0" fontId="8" fillId="0" borderId="37" xfId="2" applyFont="1" applyBorder="1" applyAlignment="1">
      <alignment horizontal="center" vertical="center"/>
    </xf>
    <xf numFmtId="0" fontId="8" fillId="0" borderId="15" xfId="2" applyFont="1" applyBorder="1" applyAlignment="1">
      <alignment horizontal="center" vertical="center"/>
    </xf>
    <xf numFmtId="0" fontId="8" fillId="0" borderId="27" xfId="2" applyFont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22" xfId="2" applyFont="1" applyBorder="1" applyAlignment="1">
      <alignment horizontal="center" vertical="center"/>
    </xf>
    <xf numFmtId="0" fontId="7" fillId="0" borderId="7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8" fillId="0" borderId="10" xfId="2" applyFont="1" applyFill="1" applyBorder="1" applyAlignment="1">
      <alignment horizontal="right" vertical="center"/>
    </xf>
    <xf numFmtId="0" fontId="8" fillId="0" borderId="19" xfId="2" applyFont="1" applyFill="1" applyBorder="1" applyAlignment="1">
      <alignment horizontal="right" vertical="center"/>
    </xf>
    <xf numFmtId="0" fontId="8" fillId="0" borderId="28" xfId="2" applyFont="1" applyFill="1" applyBorder="1" applyAlignment="1">
      <alignment horizontal="right" vertical="center"/>
    </xf>
    <xf numFmtId="0" fontId="8" fillId="0" borderId="11" xfId="2" applyFont="1" applyFill="1" applyBorder="1" applyAlignment="1">
      <alignment horizontal="center" vertical="center"/>
    </xf>
    <xf numFmtId="0" fontId="8" fillId="0" borderId="20" xfId="2" applyFont="1" applyFill="1" applyBorder="1" applyAlignment="1">
      <alignment horizontal="center" vertical="center"/>
    </xf>
    <xf numFmtId="0" fontId="8" fillId="0" borderId="29" xfId="2" applyFont="1" applyFill="1" applyBorder="1" applyAlignment="1">
      <alignment horizontal="center" vertical="center"/>
    </xf>
    <xf numFmtId="0" fontId="8" fillId="0" borderId="12" xfId="2" applyFont="1" applyFill="1" applyBorder="1" applyAlignment="1">
      <alignment horizontal="center" vertical="center"/>
    </xf>
    <xf numFmtId="0" fontId="8" fillId="0" borderId="21" xfId="2" applyFont="1" applyFill="1" applyBorder="1" applyAlignment="1">
      <alignment horizontal="center" vertical="center"/>
    </xf>
    <xf numFmtId="0" fontId="8" fillId="0" borderId="30" xfId="2" applyFont="1" applyFill="1" applyBorder="1" applyAlignment="1">
      <alignment horizontal="center" vertical="center"/>
    </xf>
    <xf numFmtId="0" fontId="8" fillId="0" borderId="13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center" vertical="center" wrapText="1"/>
    </xf>
    <xf numFmtId="0" fontId="8" fillId="0" borderId="24" xfId="2" applyFont="1" applyBorder="1" applyAlignment="1">
      <alignment horizontal="center" vertical="center" wrapText="1"/>
    </xf>
    <xf numFmtId="0" fontId="8" fillId="0" borderId="25" xfId="2" applyFont="1" applyBorder="1" applyAlignment="1">
      <alignment horizontal="center" vertical="center" wrapText="1"/>
    </xf>
    <xf numFmtId="0" fontId="8" fillId="0" borderId="16" xfId="2" applyFont="1" applyBorder="1" applyAlignment="1">
      <alignment horizontal="center" vertical="center" wrapText="1"/>
    </xf>
    <xf numFmtId="0" fontId="8" fillId="0" borderId="19" xfId="2" applyFont="1" applyBorder="1" applyAlignment="1">
      <alignment horizontal="center" vertical="center" wrapText="1"/>
    </xf>
    <xf numFmtId="0" fontId="8" fillId="0" borderId="35" xfId="2" applyFont="1" applyBorder="1" applyAlignment="1">
      <alignment horizontal="center" vertical="center" wrapText="1"/>
    </xf>
    <xf numFmtId="0" fontId="8" fillId="0" borderId="17" xfId="2" applyFont="1" applyBorder="1" applyAlignment="1">
      <alignment horizontal="center" vertical="center"/>
    </xf>
    <xf numFmtId="0" fontId="8" fillId="0" borderId="20" xfId="2" applyFont="1" applyBorder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8" fillId="0" borderId="59" xfId="0" applyFont="1" applyFill="1" applyBorder="1" applyAlignment="1">
      <alignment horizontal="center" vertical="center"/>
    </xf>
    <xf numFmtId="0" fontId="8" fillId="0" borderId="67" xfId="0" applyFont="1" applyFill="1" applyBorder="1" applyAlignment="1">
      <alignment horizontal="center" vertical="center"/>
    </xf>
    <xf numFmtId="0" fontId="7" fillId="0" borderId="57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60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8" fillId="0" borderId="61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 wrapText="1"/>
    </xf>
    <xf numFmtId="0" fontId="8" fillId="0" borderId="54" xfId="0" applyFont="1" applyFill="1" applyBorder="1" applyAlignment="1">
      <alignment horizontal="center" vertical="center" wrapText="1"/>
    </xf>
    <xf numFmtId="0" fontId="8" fillId="0" borderId="58" xfId="0" applyFont="1" applyFill="1" applyBorder="1" applyAlignment="1">
      <alignment horizontal="center" vertical="center" wrapText="1"/>
    </xf>
    <xf numFmtId="0" fontId="8" fillId="0" borderId="66" xfId="0" applyFont="1" applyFill="1" applyBorder="1" applyAlignment="1">
      <alignment horizontal="center" vertical="center" wrapText="1"/>
    </xf>
    <xf numFmtId="0" fontId="8" fillId="0" borderId="58" xfId="0" applyFont="1" applyFill="1" applyBorder="1" applyAlignment="1">
      <alignment horizontal="center" vertical="center"/>
    </xf>
    <xf numFmtId="0" fontId="8" fillId="0" borderId="66" xfId="0" applyFont="1" applyFill="1" applyBorder="1" applyAlignment="1">
      <alignment horizontal="center" vertical="center"/>
    </xf>
    <xf numFmtId="0" fontId="5" fillId="6" borderId="75" xfId="2" applyFont="1" applyFill="1" applyBorder="1" applyAlignment="1">
      <alignment horizontal="center" vertical="center"/>
    </xf>
    <xf numFmtId="0" fontId="5" fillId="6" borderId="76" xfId="2" applyFont="1" applyFill="1" applyBorder="1" applyAlignment="1">
      <alignment horizontal="center" vertical="center"/>
    </xf>
    <xf numFmtId="0" fontId="5" fillId="6" borderId="74" xfId="2" applyFont="1" applyFill="1" applyBorder="1" applyAlignment="1">
      <alignment horizontal="center" vertical="center"/>
    </xf>
    <xf numFmtId="0" fontId="5" fillId="7" borderId="75" xfId="2" applyFont="1" applyFill="1" applyBorder="1" applyAlignment="1">
      <alignment horizontal="center" vertical="center"/>
    </xf>
    <xf numFmtId="0" fontId="5" fillId="7" borderId="76" xfId="2" applyFont="1" applyFill="1" applyBorder="1" applyAlignment="1">
      <alignment horizontal="center" vertical="center"/>
    </xf>
    <xf numFmtId="0" fontId="5" fillId="7" borderId="74" xfId="2" applyFont="1" applyFill="1" applyBorder="1" applyAlignment="1">
      <alignment horizontal="center" vertical="center"/>
    </xf>
  </cellXfs>
  <cellStyles count="5">
    <cellStyle name="Akcent 1" xfId="1" builtinId="29"/>
    <cellStyle name="Hiperłącze" xfId="4" builtinId="8"/>
    <cellStyle name="Normalny" xfId="0" builtinId="0"/>
    <cellStyle name="Normalny 2" xfId="2" xr:uid="{00000000-0005-0000-0000-000003000000}"/>
    <cellStyle name="Normalny 3 2" xfId="3" xr:uid="{00000000-0005-0000-0000-000004000000}"/>
  </cellStyles>
  <dxfs count="6">
    <dxf>
      <font>
        <color theme="0"/>
      </font>
    </dxf>
    <dxf>
      <font>
        <color theme="0"/>
      </font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19051</xdr:rowOff>
    </xdr:from>
    <xdr:to>
      <xdr:col>3</xdr:col>
      <xdr:colOff>19050</xdr:colOff>
      <xdr:row>16</xdr:row>
      <xdr:rowOff>131884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9600" y="1647826"/>
          <a:ext cx="6619875" cy="14082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l-PL" sz="1100"/>
            <a:t>Plik składa się z </a:t>
          </a:r>
          <a:r>
            <a:rPr lang="pl-PL" sz="1100">
              <a:solidFill>
                <a:srgbClr val="FF0000"/>
              </a:solidFill>
            </a:rPr>
            <a:t>10</a:t>
          </a:r>
          <a:r>
            <a:rPr lang="pl-PL" sz="1100"/>
            <a:t> zadań, każde po </a:t>
          </a:r>
          <a:r>
            <a:rPr lang="pl-PL" sz="1100">
              <a:solidFill>
                <a:srgbClr val="FF0000"/>
              </a:solidFill>
            </a:rPr>
            <a:t>3</a:t>
          </a:r>
          <a:r>
            <a:rPr lang="pl-PL" sz="1100"/>
            <a:t> pkt.</a:t>
          </a:r>
          <a:r>
            <a:rPr lang="pl-PL" sz="1100" baseline="0"/>
            <a:t> </a:t>
          </a:r>
          <a:r>
            <a:rPr lang="pl-PL" sz="1100" b="1">
              <a:solidFill>
                <a:sysClr val="windowText" lastClr="000000"/>
              </a:solidFill>
            </a:rPr>
            <a:t>Oceniana będzie nie tylko poprawność merytoryczna rozwiązań, ale</a:t>
          </a:r>
          <a:r>
            <a:rPr lang="pl-PL" sz="1100" b="1" baseline="0">
              <a:solidFill>
                <a:sysClr val="windowText" lastClr="000000"/>
              </a:solidFill>
            </a:rPr>
            <a:t> przede wszystkim dopracowanie kodu (wydajność i komentarze). Ponadto będzie zwracana uwaga na </a:t>
          </a:r>
          <a:r>
            <a:rPr lang="pl-PL" sz="1100" b="1">
              <a:solidFill>
                <a:sysClr val="windowText" lastClr="000000"/>
              </a:solidFill>
            </a:rPr>
            <a:t>estetykę</a:t>
          </a:r>
          <a:r>
            <a:rPr lang="pl-PL" sz="1100" b="1" baseline="0">
              <a:solidFill>
                <a:sysClr val="windowText" lastClr="000000"/>
              </a:solidFill>
            </a:rPr>
            <a:t> rozwiązań w arkuszach Excelowych - dopracowanie arkuszy.</a:t>
          </a:r>
          <a:r>
            <a:rPr lang="pl-PL" sz="1100" baseline="0"/>
            <a:t> Wszelkie dodatkowe analizy graficzne i analityczne zadań nie wymagane w poleceniu będą dodatkowo punktowane!.</a:t>
          </a:r>
        </a:p>
        <a:p>
          <a:endParaRPr lang="pl-PL" sz="1100" baseline="0"/>
        </a:p>
        <a:p>
          <a:endParaRPr lang="pl-PL" sz="1100" baseline="0"/>
        </a:p>
        <a:p>
          <a:pPr algn="r"/>
          <a:r>
            <a:rPr lang="pl-PL" sz="1100" baseline="0"/>
            <a:t>Powodzenia!</a:t>
          </a:r>
          <a:endParaRPr lang="pl-PL" sz="1100"/>
        </a:p>
        <a:p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3</xdr:row>
      <xdr:rowOff>123825</xdr:rowOff>
    </xdr:from>
    <xdr:to>
      <xdr:col>17</xdr:col>
      <xdr:colOff>19050</xdr:colOff>
      <xdr:row>7</xdr:row>
      <xdr:rowOff>114300</xdr:rowOff>
    </xdr:to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058275" y="609600"/>
          <a:ext cx="1771650" cy="638175"/>
        </a:xfrm>
        <a:prstGeom prst="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400" b="1">
              <a:solidFill>
                <a:schemeClr val="tx1"/>
              </a:solidFill>
            </a:rPr>
            <a:t>Zapisz do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</xdr:row>
      <xdr:rowOff>28575</xdr:rowOff>
    </xdr:from>
    <xdr:to>
      <xdr:col>16</xdr:col>
      <xdr:colOff>361120</xdr:colOff>
      <xdr:row>33</xdr:row>
      <xdr:rowOff>104223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57350"/>
          <a:ext cx="6647620" cy="441904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rzemask/Moje%20dokumenty/excel/Kopia%20Consum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zemas/doktorat/przedmioty/excel/excel-finansowy/zajecia_1/zajecia_1/zajecia_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uthor_Extras\Craig's_Files\Pracownic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ktorat\przedmioty\uniwersytet%20otwarty\makra\zajecia_1\zajecia_1_20100114_rozw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zemas/doktorat/przedmioty/excel/excel-finansowy/zajecia_2/zajecia_2_1/zajecia_2_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zemas/doktorat/przedmioty/excel/excel-finansowy/zajecia_2/zajecia_2_1/zajecia_2_1_rozw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zemas/doktorat/przedmioty/excel/excel-finansowy/zajecia_1/zajecia_1/zajecia_1_rozw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zemas/doktorat/przedmioty/excel/excel-finansowy/zajecia_1/zajecia_1/zajecia_1_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przemas/WNE/przedmioty/excel/wk/zajecia_4/zajecia_4-roz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ut. 5 Questions"/>
      <sheetName val="Tut. 6 Questions"/>
      <sheetName val="Indifference Curves"/>
      <sheetName val="Budget Line"/>
      <sheetName val="Consumer Choice"/>
      <sheetName val="Data"/>
    </sheetNames>
    <sheetDataSet>
      <sheetData sheetId="0"/>
      <sheetData sheetId="1"/>
      <sheetData sheetId="2"/>
      <sheetData sheetId="3">
        <row r="4">
          <cell r="C4">
            <v>0.5</v>
          </cell>
        </row>
        <row r="7">
          <cell r="C7">
            <v>0.5</v>
          </cell>
        </row>
        <row r="10">
          <cell r="C10">
            <v>250</v>
          </cell>
        </row>
        <row r="18">
          <cell r="C18">
            <v>0</v>
          </cell>
        </row>
        <row r="19">
          <cell r="C19">
            <v>0</v>
          </cell>
        </row>
      </sheetData>
      <sheetData sheetId="4">
        <row r="17">
          <cell r="C17">
            <v>0</v>
          </cell>
        </row>
        <row r="20">
          <cell r="C20">
            <v>0</v>
          </cell>
        </row>
      </sheetData>
      <sheetData sheetId="5">
        <row r="4">
          <cell r="C4">
            <v>5</v>
          </cell>
          <cell r="N4">
            <v>0</v>
          </cell>
        </row>
        <row r="6">
          <cell r="C6">
            <v>2</v>
          </cell>
        </row>
        <row r="7">
          <cell r="N7">
            <v>0</v>
          </cell>
        </row>
        <row r="8">
          <cell r="C8">
            <v>80</v>
          </cell>
        </row>
        <row r="10">
          <cell r="N10">
            <v>0</v>
          </cell>
        </row>
        <row r="11">
          <cell r="C11">
            <v>0.5</v>
          </cell>
        </row>
        <row r="13">
          <cell r="C13">
            <v>0.5</v>
          </cell>
        </row>
        <row r="16">
          <cell r="C16">
            <v>8.0000013490844442</v>
          </cell>
        </row>
        <row r="17">
          <cell r="C17">
            <v>19.999996627288894</v>
          </cell>
        </row>
        <row r="18">
          <cell r="C18">
            <v>252.98221281346676</v>
          </cell>
        </row>
        <row r="20">
          <cell r="C20">
            <v>-8.4317763482388841E-7</v>
          </cell>
        </row>
        <row r="21">
          <cell r="C21">
            <v>80</v>
          </cell>
        </row>
      </sheetData>
      <sheetData sheetId="6">
        <row r="6">
          <cell r="Y6">
            <v>0.1</v>
          </cell>
        </row>
        <row r="7">
          <cell r="Y7">
            <v>1</v>
          </cell>
        </row>
        <row r="8">
          <cell r="Y8">
            <v>2</v>
          </cell>
        </row>
        <row r="9">
          <cell r="Y9">
            <v>3</v>
          </cell>
          <cell r="AD9">
            <v>20</v>
          </cell>
        </row>
        <row r="10">
          <cell r="Y10">
            <v>4</v>
          </cell>
        </row>
        <row r="11">
          <cell r="Y11">
            <v>5</v>
          </cell>
        </row>
        <row r="12">
          <cell r="Y12">
            <v>6</v>
          </cell>
        </row>
        <row r="13">
          <cell r="Y13">
            <v>7</v>
          </cell>
        </row>
        <row r="14">
          <cell r="Y14">
            <v>8</v>
          </cell>
        </row>
        <row r="15">
          <cell r="Y15">
            <v>9</v>
          </cell>
        </row>
        <row r="16">
          <cell r="Y16">
            <v>10</v>
          </cell>
        </row>
        <row r="17">
          <cell r="Y17">
            <v>11</v>
          </cell>
        </row>
        <row r="18">
          <cell r="Y18">
            <v>12</v>
          </cell>
        </row>
        <row r="19">
          <cell r="Y19">
            <v>13</v>
          </cell>
        </row>
        <row r="20">
          <cell r="Y20">
            <v>14</v>
          </cell>
        </row>
        <row r="21">
          <cell r="Y21">
            <v>15</v>
          </cell>
        </row>
        <row r="22">
          <cell r="Y22">
            <v>16</v>
          </cell>
        </row>
        <row r="23">
          <cell r="Y23">
            <v>17</v>
          </cell>
        </row>
        <row r="24">
          <cell r="Y24">
            <v>18</v>
          </cell>
        </row>
        <row r="25">
          <cell r="Y25">
            <v>19</v>
          </cell>
        </row>
        <row r="26">
          <cell r="Y26">
            <v>20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prowadzenie_samouczek"/>
      <sheetName val="Zad.1"/>
      <sheetName val="Zad.2"/>
      <sheetName val="Zad.3"/>
      <sheetName val="Zad.3-rozw"/>
      <sheetName val="Zad.4"/>
      <sheetName val="Zad.5"/>
      <sheetName val="Zad.6"/>
      <sheetName val="Zad.7"/>
      <sheetName val="Zad.8"/>
      <sheetName val="Zad.9"/>
      <sheetName val="Zadanie domowe 1"/>
      <sheetName val="Zadanie domowe 2"/>
      <sheetName val="Zadanie domowe 3"/>
      <sheetName val="Zadanie domowe 4"/>
    </sheetNames>
    <sheetDataSet>
      <sheetData sheetId="0">
        <row r="43">
          <cell r="G43">
            <v>45</v>
          </cell>
        </row>
        <row r="44">
          <cell r="G44">
            <v>23</v>
          </cell>
        </row>
        <row r="45">
          <cell r="G45">
            <v>12</v>
          </cell>
        </row>
        <row r="46">
          <cell r="G46">
            <v>23</v>
          </cell>
        </row>
        <row r="53">
          <cell r="G53">
            <v>45</v>
          </cell>
        </row>
        <row r="54">
          <cell r="G54">
            <v>23</v>
          </cell>
        </row>
        <row r="55">
          <cell r="G55">
            <v>12</v>
          </cell>
        </row>
      </sheetData>
      <sheetData sheetId="1" refreshError="1"/>
      <sheetData sheetId="2">
        <row r="9">
          <cell r="B9" t="str">
            <v>Styczeń</v>
          </cell>
        </row>
        <row r="10">
          <cell r="B10" t="str">
            <v>Luty</v>
          </cell>
        </row>
        <row r="11">
          <cell r="B11" t="str">
            <v>Marzec</v>
          </cell>
        </row>
        <row r="12">
          <cell r="B12" t="str">
            <v>Kwiecień</v>
          </cell>
        </row>
        <row r="13">
          <cell r="B13" t="str">
            <v>Maj</v>
          </cell>
        </row>
        <row r="14">
          <cell r="B14" t="str">
            <v>Czerwiec</v>
          </cell>
        </row>
        <row r="15">
          <cell r="B15" t="str">
            <v>Lipiec</v>
          </cell>
        </row>
        <row r="16">
          <cell r="B16" t="str">
            <v>Sierpień</v>
          </cell>
        </row>
        <row r="17">
          <cell r="B17" t="str">
            <v>Wrzesień</v>
          </cell>
        </row>
        <row r="18">
          <cell r="B18" t="str">
            <v>Październik</v>
          </cell>
        </row>
        <row r="19">
          <cell r="B19" t="str">
            <v>Listopad</v>
          </cell>
        </row>
        <row r="20">
          <cell r="B20" t="str">
            <v>Grudzień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usz1"/>
      <sheetName val="Arkusz2"/>
      <sheetName val="Arkusz3"/>
    </sheetNames>
    <sheetDataSet>
      <sheetData sheetId="0">
        <row r="7">
          <cell r="D7">
            <v>24114</v>
          </cell>
        </row>
        <row r="8">
          <cell r="D8">
            <v>28776</v>
          </cell>
        </row>
        <row r="9">
          <cell r="D9">
            <v>20126</v>
          </cell>
        </row>
        <row r="10">
          <cell r="D10">
            <v>28540</v>
          </cell>
        </row>
        <row r="11">
          <cell r="D11">
            <v>18228</v>
          </cell>
        </row>
        <row r="12">
          <cell r="D12">
            <v>24155</v>
          </cell>
        </row>
        <row r="13">
          <cell r="D13">
            <v>27394</v>
          </cell>
        </row>
        <row r="14">
          <cell r="D14">
            <v>22935</v>
          </cell>
        </row>
        <row r="15">
          <cell r="D15">
            <v>24902</v>
          </cell>
        </row>
        <row r="16">
          <cell r="D16">
            <v>20602</v>
          </cell>
        </row>
        <row r="17">
          <cell r="D17">
            <v>21663</v>
          </cell>
        </row>
        <row r="18">
          <cell r="D18">
            <v>19527</v>
          </cell>
        </row>
        <row r="19">
          <cell r="D19">
            <v>21073</v>
          </cell>
        </row>
        <row r="20">
          <cell r="D20">
            <v>20373</v>
          </cell>
        </row>
        <row r="21">
          <cell r="D21">
            <v>23860</v>
          </cell>
        </row>
        <row r="22">
          <cell r="D22">
            <v>21827</v>
          </cell>
        </row>
        <row r="23">
          <cell r="D23">
            <v>20329</v>
          </cell>
        </row>
        <row r="24">
          <cell r="D24">
            <v>26228</v>
          </cell>
        </row>
        <row r="25">
          <cell r="D25">
            <v>28695</v>
          </cell>
        </row>
        <row r="26">
          <cell r="D26">
            <v>23443</v>
          </cell>
        </row>
        <row r="27">
          <cell r="D27">
            <v>28445</v>
          </cell>
        </row>
        <row r="28">
          <cell r="D28">
            <v>24431</v>
          </cell>
        </row>
        <row r="29">
          <cell r="D29">
            <v>22458</v>
          </cell>
        </row>
        <row r="30">
          <cell r="D30">
            <v>19634</v>
          </cell>
        </row>
        <row r="31">
          <cell r="D31">
            <v>28316</v>
          </cell>
        </row>
        <row r="32">
          <cell r="D32">
            <v>26021</v>
          </cell>
        </row>
        <row r="33">
          <cell r="D33">
            <v>18143</v>
          </cell>
        </row>
        <row r="34">
          <cell r="D34">
            <v>18783</v>
          </cell>
        </row>
        <row r="35">
          <cell r="D35">
            <v>21283</v>
          </cell>
        </row>
        <row r="36">
          <cell r="D36">
            <v>22858</v>
          </cell>
        </row>
        <row r="37">
          <cell r="D37">
            <v>26024</v>
          </cell>
        </row>
        <row r="38">
          <cell r="D38">
            <v>18862</v>
          </cell>
        </row>
        <row r="39">
          <cell r="D39">
            <v>28109</v>
          </cell>
        </row>
        <row r="40">
          <cell r="D40">
            <v>27845</v>
          </cell>
        </row>
        <row r="41">
          <cell r="D41">
            <v>20661</v>
          </cell>
        </row>
        <row r="42">
          <cell r="D42">
            <v>27771</v>
          </cell>
        </row>
        <row r="43">
          <cell r="D43">
            <v>24596</v>
          </cell>
        </row>
        <row r="44">
          <cell r="D44">
            <v>25127</v>
          </cell>
        </row>
        <row r="45">
          <cell r="D45">
            <v>19732</v>
          </cell>
        </row>
        <row r="46">
          <cell r="D46">
            <v>23349</v>
          </cell>
        </row>
        <row r="47">
          <cell r="D47">
            <v>19110</v>
          </cell>
        </row>
        <row r="48">
          <cell r="D48">
            <v>27178</v>
          </cell>
        </row>
        <row r="49">
          <cell r="D49">
            <v>20009</v>
          </cell>
        </row>
        <row r="50">
          <cell r="D50">
            <v>26455</v>
          </cell>
        </row>
        <row r="51">
          <cell r="D51">
            <v>19566</v>
          </cell>
        </row>
        <row r="52">
          <cell r="D52">
            <v>21221</v>
          </cell>
        </row>
        <row r="53">
          <cell r="D53">
            <v>25037</v>
          </cell>
        </row>
        <row r="54">
          <cell r="D54">
            <v>21917</v>
          </cell>
        </row>
        <row r="55">
          <cell r="D55">
            <v>23828</v>
          </cell>
        </row>
        <row r="56">
          <cell r="D56">
            <v>27833</v>
          </cell>
        </row>
        <row r="57">
          <cell r="D57">
            <v>27824</v>
          </cell>
        </row>
        <row r="58">
          <cell r="D58">
            <v>22594</v>
          </cell>
        </row>
        <row r="59">
          <cell r="D59">
            <v>26688</v>
          </cell>
        </row>
        <row r="60">
          <cell r="D60">
            <v>24269</v>
          </cell>
        </row>
        <row r="61">
          <cell r="D61">
            <v>28292</v>
          </cell>
        </row>
        <row r="62">
          <cell r="D62">
            <v>18957</v>
          </cell>
        </row>
        <row r="63">
          <cell r="D63">
            <v>18275</v>
          </cell>
        </row>
        <row r="64">
          <cell r="D64">
            <v>21568</v>
          </cell>
        </row>
        <row r="65">
          <cell r="D65">
            <v>28643</v>
          </cell>
        </row>
        <row r="66">
          <cell r="D66">
            <v>25785</v>
          </cell>
        </row>
        <row r="67">
          <cell r="D67">
            <v>23281</v>
          </cell>
        </row>
        <row r="68">
          <cell r="D68">
            <v>21578</v>
          </cell>
        </row>
        <row r="69">
          <cell r="D69">
            <v>24932</v>
          </cell>
        </row>
        <row r="70">
          <cell r="D70">
            <v>20462</v>
          </cell>
        </row>
        <row r="71">
          <cell r="D71">
            <v>26671</v>
          </cell>
        </row>
        <row r="72">
          <cell r="D72">
            <v>20617</v>
          </cell>
        </row>
        <row r="73">
          <cell r="D73">
            <v>25540</v>
          </cell>
        </row>
        <row r="74">
          <cell r="D74">
            <v>27659</v>
          </cell>
        </row>
        <row r="75">
          <cell r="D75">
            <v>25334</v>
          </cell>
        </row>
        <row r="76">
          <cell r="D76">
            <v>22109</v>
          </cell>
        </row>
        <row r="77">
          <cell r="D77">
            <v>21987</v>
          </cell>
        </row>
        <row r="78">
          <cell r="D78">
            <v>25018</v>
          </cell>
        </row>
        <row r="79">
          <cell r="D79">
            <v>21588</v>
          </cell>
        </row>
        <row r="80">
          <cell r="D80">
            <v>22159</v>
          </cell>
        </row>
        <row r="81">
          <cell r="D81">
            <v>22801</v>
          </cell>
        </row>
        <row r="82">
          <cell r="D82">
            <v>28524</v>
          </cell>
        </row>
        <row r="83">
          <cell r="D83">
            <v>23968</v>
          </cell>
        </row>
        <row r="84">
          <cell r="D84">
            <v>18188</v>
          </cell>
        </row>
        <row r="85">
          <cell r="D85">
            <v>18962</v>
          </cell>
        </row>
        <row r="86">
          <cell r="D86">
            <v>21518</v>
          </cell>
        </row>
        <row r="87">
          <cell r="D87">
            <v>26729</v>
          </cell>
        </row>
        <row r="88">
          <cell r="D88">
            <v>20777</v>
          </cell>
        </row>
        <row r="89">
          <cell r="D89">
            <v>20145</v>
          </cell>
        </row>
        <row r="90">
          <cell r="D90">
            <v>21648</v>
          </cell>
        </row>
        <row r="91">
          <cell r="D91">
            <v>18609</v>
          </cell>
        </row>
        <row r="92">
          <cell r="D92">
            <v>26322</v>
          </cell>
        </row>
        <row r="93">
          <cell r="D93">
            <v>22920</v>
          </cell>
        </row>
        <row r="94">
          <cell r="D94">
            <v>19513</v>
          </cell>
        </row>
        <row r="95">
          <cell r="D95">
            <v>18045</v>
          </cell>
        </row>
        <row r="96">
          <cell r="D96">
            <v>23182</v>
          </cell>
        </row>
        <row r="97">
          <cell r="D97">
            <v>19987</v>
          </cell>
        </row>
        <row r="98">
          <cell r="D98">
            <v>24972</v>
          </cell>
        </row>
        <row r="99">
          <cell r="D99">
            <v>18736</v>
          </cell>
        </row>
        <row r="100">
          <cell r="D100">
            <v>22295</v>
          </cell>
        </row>
        <row r="101">
          <cell r="D101">
            <v>26251</v>
          </cell>
        </row>
        <row r="102">
          <cell r="D102">
            <v>28190</v>
          </cell>
        </row>
        <row r="103">
          <cell r="D103">
            <v>24385</v>
          </cell>
        </row>
        <row r="104">
          <cell r="D104">
            <v>25064</v>
          </cell>
        </row>
        <row r="105">
          <cell r="D105">
            <v>23944</v>
          </cell>
        </row>
        <row r="106">
          <cell r="D106">
            <v>22017</v>
          </cell>
        </row>
        <row r="107">
          <cell r="D107">
            <v>19958</v>
          </cell>
        </row>
        <row r="108">
          <cell r="D108">
            <v>26233</v>
          </cell>
        </row>
        <row r="109">
          <cell r="D109">
            <v>22223</v>
          </cell>
        </row>
        <row r="110">
          <cell r="D110">
            <v>18923</v>
          </cell>
        </row>
        <row r="111">
          <cell r="D111">
            <v>24271</v>
          </cell>
        </row>
        <row r="112">
          <cell r="D112">
            <v>27342</v>
          </cell>
        </row>
        <row r="113">
          <cell r="D113">
            <v>21896</v>
          </cell>
        </row>
        <row r="114">
          <cell r="D114">
            <v>20018</v>
          </cell>
        </row>
        <row r="115">
          <cell r="D115">
            <v>24608</v>
          </cell>
        </row>
        <row r="116">
          <cell r="D116">
            <v>25224</v>
          </cell>
        </row>
        <row r="117">
          <cell r="D117">
            <v>28368</v>
          </cell>
        </row>
        <row r="118">
          <cell r="D118">
            <v>21612</v>
          </cell>
        </row>
        <row r="119">
          <cell r="D119">
            <v>26810</v>
          </cell>
        </row>
        <row r="120">
          <cell r="D120">
            <v>20547</v>
          </cell>
        </row>
        <row r="121">
          <cell r="D121">
            <v>18257</v>
          </cell>
        </row>
        <row r="122">
          <cell r="D122">
            <v>20420</v>
          </cell>
        </row>
        <row r="123">
          <cell r="D123">
            <v>18120</v>
          </cell>
        </row>
        <row r="124">
          <cell r="D124">
            <v>21939</v>
          </cell>
        </row>
        <row r="125">
          <cell r="D125">
            <v>22039</v>
          </cell>
        </row>
        <row r="126">
          <cell r="D126">
            <v>21856</v>
          </cell>
        </row>
        <row r="127">
          <cell r="D127">
            <v>21648</v>
          </cell>
        </row>
        <row r="128">
          <cell r="D128">
            <v>23734</v>
          </cell>
        </row>
        <row r="129">
          <cell r="D129">
            <v>18597</v>
          </cell>
        </row>
        <row r="130">
          <cell r="D130">
            <v>27533</v>
          </cell>
        </row>
        <row r="131">
          <cell r="D131">
            <v>28585</v>
          </cell>
        </row>
        <row r="132">
          <cell r="D132">
            <v>27592</v>
          </cell>
        </row>
        <row r="133">
          <cell r="D133">
            <v>18620</v>
          </cell>
        </row>
        <row r="134">
          <cell r="D134">
            <v>20450</v>
          </cell>
        </row>
        <row r="135">
          <cell r="D135">
            <v>23328</v>
          </cell>
        </row>
        <row r="136">
          <cell r="D136">
            <v>18913</v>
          </cell>
        </row>
        <row r="137">
          <cell r="D137">
            <v>22744</v>
          </cell>
        </row>
        <row r="138">
          <cell r="D138">
            <v>26384</v>
          </cell>
        </row>
        <row r="139">
          <cell r="D139">
            <v>22069</v>
          </cell>
        </row>
        <row r="140">
          <cell r="D140">
            <v>22373</v>
          </cell>
        </row>
        <row r="141">
          <cell r="D141">
            <v>18739</v>
          </cell>
        </row>
        <row r="142">
          <cell r="D142">
            <v>26477</v>
          </cell>
        </row>
        <row r="143">
          <cell r="D143">
            <v>25718</v>
          </cell>
        </row>
        <row r="144">
          <cell r="D144">
            <v>19610</v>
          </cell>
        </row>
        <row r="145">
          <cell r="D145">
            <v>22808</v>
          </cell>
        </row>
        <row r="146">
          <cell r="D146">
            <v>23607</v>
          </cell>
        </row>
        <row r="147">
          <cell r="D147">
            <v>26148</v>
          </cell>
        </row>
        <row r="148">
          <cell r="D148">
            <v>19682</v>
          </cell>
        </row>
        <row r="149">
          <cell r="D149">
            <v>21255</v>
          </cell>
        </row>
        <row r="150">
          <cell r="D150">
            <v>19268</v>
          </cell>
        </row>
        <row r="151">
          <cell r="D151">
            <v>21385</v>
          </cell>
        </row>
        <row r="152">
          <cell r="D152">
            <v>18300</v>
          </cell>
        </row>
        <row r="153">
          <cell r="D153">
            <v>26343</v>
          </cell>
        </row>
        <row r="154">
          <cell r="D154">
            <v>21248</v>
          </cell>
        </row>
        <row r="155">
          <cell r="D155">
            <v>28315</v>
          </cell>
        </row>
        <row r="156">
          <cell r="D156">
            <v>24784</v>
          </cell>
        </row>
        <row r="157">
          <cell r="D157">
            <v>23810</v>
          </cell>
        </row>
        <row r="158">
          <cell r="D158">
            <v>19035</v>
          </cell>
        </row>
        <row r="159">
          <cell r="D159">
            <v>20217</v>
          </cell>
        </row>
        <row r="160">
          <cell r="D160">
            <v>18696</v>
          </cell>
        </row>
        <row r="161">
          <cell r="D161">
            <v>26097</v>
          </cell>
        </row>
        <row r="162">
          <cell r="D162">
            <v>26773</v>
          </cell>
        </row>
        <row r="163">
          <cell r="D163">
            <v>26176</v>
          </cell>
        </row>
        <row r="164">
          <cell r="D164">
            <v>23220</v>
          </cell>
        </row>
        <row r="165">
          <cell r="D165">
            <v>28518</v>
          </cell>
        </row>
        <row r="166">
          <cell r="D166">
            <v>26522</v>
          </cell>
        </row>
        <row r="167">
          <cell r="D167">
            <v>28847</v>
          </cell>
        </row>
        <row r="168">
          <cell r="D168">
            <v>27838</v>
          </cell>
        </row>
        <row r="169">
          <cell r="D169">
            <v>22923</v>
          </cell>
        </row>
        <row r="170">
          <cell r="D170">
            <v>27558</v>
          </cell>
        </row>
        <row r="171">
          <cell r="D171">
            <v>18897</v>
          </cell>
        </row>
        <row r="172">
          <cell r="D172">
            <v>18354</v>
          </cell>
        </row>
        <row r="173">
          <cell r="D173">
            <v>27413</v>
          </cell>
        </row>
        <row r="174">
          <cell r="D174">
            <v>21006</v>
          </cell>
        </row>
        <row r="175">
          <cell r="D175">
            <v>27523</v>
          </cell>
        </row>
        <row r="176">
          <cell r="D176">
            <v>18818</v>
          </cell>
        </row>
        <row r="177">
          <cell r="D177">
            <v>18204</v>
          </cell>
        </row>
        <row r="178">
          <cell r="D178">
            <v>23578</v>
          </cell>
        </row>
        <row r="179">
          <cell r="D179">
            <v>28285</v>
          </cell>
        </row>
        <row r="180">
          <cell r="D180">
            <v>20396</v>
          </cell>
        </row>
        <row r="181">
          <cell r="D181">
            <v>20050</v>
          </cell>
        </row>
        <row r="182">
          <cell r="D182">
            <v>23800</v>
          </cell>
        </row>
        <row r="183">
          <cell r="D183">
            <v>19657</v>
          </cell>
        </row>
        <row r="184">
          <cell r="D184">
            <v>19125</v>
          </cell>
        </row>
        <row r="185">
          <cell r="D185">
            <v>25412</v>
          </cell>
        </row>
        <row r="186">
          <cell r="D186">
            <v>20601</v>
          </cell>
        </row>
        <row r="187">
          <cell r="D187">
            <v>24685</v>
          </cell>
        </row>
        <row r="188">
          <cell r="D188">
            <v>27744</v>
          </cell>
        </row>
        <row r="189">
          <cell r="D189">
            <v>26328</v>
          </cell>
        </row>
        <row r="190">
          <cell r="D190">
            <v>20403</v>
          </cell>
        </row>
        <row r="191">
          <cell r="D191">
            <v>19573</v>
          </cell>
        </row>
        <row r="192">
          <cell r="D192">
            <v>21199</v>
          </cell>
        </row>
        <row r="193">
          <cell r="D193">
            <v>21593</v>
          </cell>
        </row>
        <row r="194">
          <cell r="D194">
            <v>24326</v>
          </cell>
        </row>
        <row r="195">
          <cell r="D195">
            <v>26550</v>
          </cell>
        </row>
        <row r="196">
          <cell r="D196">
            <v>27658</v>
          </cell>
        </row>
        <row r="197">
          <cell r="D197">
            <v>18421</v>
          </cell>
        </row>
        <row r="198">
          <cell r="D198">
            <v>18784</v>
          </cell>
        </row>
        <row r="199">
          <cell r="D199">
            <v>20014</v>
          </cell>
        </row>
        <row r="200">
          <cell r="D200">
            <v>18849</v>
          </cell>
        </row>
        <row r="201">
          <cell r="D201">
            <v>23360</v>
          </cell>
        </row>
        <row r="202">
          <cell r="D202">
            <v>26604</v>
          </cell>
        </row>
        <row r="203">
          <cell r="D203">
            <v>28627</v>
          </cell>
        </row>
        <row r="204">
          <cell r="D204">
            <v>24753</v>
          </cell>
        </row>
        <row r="205">
          <cell r="D205">
            <v>19291</v>
          </cell>
        </row>
        <row r="206">
          <cell r="D206">
            <v>22935</v>
          </cell>
        </row>
        <row r="207">
          <cell r="D207">
            <v>26509</v>
          </cell>
        </row>
        <row r="208">
          <cell r="D208">
            <v>24183</v>
          </cell>
        </row>
        <row r="209">
          <cell r="D209">
            <v>21378</v>
          </cell>
        </row>
        <row r="210">
          <cell r="D210">
            <v>27637</v>
          </cell>
        </row>
        <row r="211">
          <cell r="D211">
            <v>22575</v>
          </cell>
        </row>
        <row r="212">
          <cell r="D212">
            <v>25906</v>
          </cell>
        </row>
        <row r="213">
          <cell r="D213">
            <v>18499</v>
          </cell>
        </row>
        <row r="214">
          <cell r="D214">
            <v>26944</v>
          </cell>
        </row>
        <row r="215">
          <cell r="D215">
            <v>21388</v>
          </cell>
        </row>
        <row r="216">
          <cell r="D216">
            <v>19783</v>
          </cell>
        </row>
        <row r="217">
          <cell r="D217">
            <v>23525</v>
          </cell>
        </row>
        <row r="218">
          <cell r="D218">
            <v>22882</v>
          </cell>
        </row>
        <row r="219">
          <cell r="D219">
            <v>19273</v>
          </cell>
        </row>
        <row r="220">
          <cell r="D220">
            <v>23495</v>
          </cell>
        </row>
        <row r="221">
          <cell r="D221">
            <v>18678</v>
          </cell>
        </row>
        <row r="222">
          <cell r="D222">
            <v>20509</v>
          </cell>
        </row>
        <row r="223">
          <cell r="D223">
            <v>26751</v>
          </cell>
        </row>
        <row r="224">
          <cell r="D224">
            <v>22276</v>
          </cell>
        </row>
        <row r="225">
          <cell r="D225">
            <v>23732</v>
          </cell>
        </row>
        <row r="226">
          <cell r="D226">
            <v>22123</v>
          </cell>
        </row>
        <row r="227">
          <cell r="D227">
            <v>22718</v>
          </cell>
        </row>
        <row r="228">
          <cell r="D228">
            <v>20750</v>
          </cell>
        </row>
        <row r="229">
          <cell r="D229">
            <v>17979</v>
          </cell>
        </row>
        <row r="230">
          <cell r="D230">
            <v>27272</v>
          </cell>
        </row>
        <row r="231">
          <cell r="D231">
            <v>28795</v>
          </cell>
        </row>
        <row r="232">
          <cell r="D232">
            <v>27837</v>
          </cell>
        </row>
        <row r="233">
          <cell r="D233">
            <v>18772</v>
          </cell>
        </row>
        <row r="234">
          <cell r="D234">
            <v>23586</v>
          </cell>
        </row>
        <row r="235">
          <cell r="D235">
            <v>24978</v>
          </cell>
        </row>
        <row r="236">
          <cell r="D236">
            <v>28180</v>
          </cell>
        </row>
        <row r="237">
          <cell r="D237">
            <v>21469</v>
          </cell>
        </row>
        <row r="238">
          <cell r="D238">
            <v>18989</v>
          </cell>
        </row>
        <row r="239">
          <cell r="D239">
            <v>28453</v>
          </cell>
        </row>
        <row r="240">
          <cell r="D240">
            <v>24954</v>
          </cell>
        </row>
        <row r="241">
          <cell r="D241">
            <v>22543</v>
          </cell>
        </row>
        <row r="242">
          <cell r="D242">
            <v>20902</v>
          </cell>
        </row>
        <row r="243">
          <cell r="D243">
            <v>26552</v>
          </cell>
        </row>
        <row r="244">
          <cell r="D244">
            <v>23816</v>
          </cell>
        </row>
        <row r="245">
          <cell r="D245">
            <v>25368</v>
          </cell>
        </row>
        <row r="246">
          <cell r="D246">
            <v>26987</v>
          </cell>
        </row>
        <row r="247">
          <cell r="D247">
            <v>28540</v>
          </cell>
        </row>
        <row r="248">
          <cell r="D248">
            <v>27563</v>
          </cell>
        </row>
        <row r="249">
          <cell r="D249">
            <v>27931</v>
          </cell>
        </row>
        <row r="250">
          <cell r="D250">
            <v>26915</v>
          </cell>
        </row>
        <row r="251">
          <cell r="D251">
            <v>27279</v>
          </cell>
        </row>
        <row r="252">
          <cell r="D252">
            <v>27347</v>
          </cell>
        </row>
        <row r="253">
          <cell r="D253">
            <v>27114</v>
          </cell>
        </row>
        <row r="254">
          <cell r="D254">
            <v>18439</v>
          </cell>
        </row>
        <row r="255">
          <cell r="D255">
            <v>25985</v>
          </cell>
        </row>
        <row r="256">
          <cell r="D256">
            <v>20648</v>
          </cell>
        </row>
        <row r="257">
          <cell r="D257">
            <v>22979</v>
          </cell>
        </row>
        <row r="258">
          <cell r="D258">
            <v>25767</v>
          </cell>
        </row>
        <row r="259">
          <cell r="D259">
            <v>18950</v>
          </cell>
        </row>
        <row r="260">
          <cell r="D260">
            <v>28097</v>
          </cell>
        </row>
        <row r="261">
          <cell r="D261">
            <v>18164</v>
          </cell>
        </row>
        <row r="262">
          <cell r="D262">
            <v>28699</v>
          </cell>
        </row>
        <row r="263">
          <cell r="D263">
            <v>27605</v>
          </cell>
        </row>
        <row r="264">
          <cell r="D264">
            <v>19007</v>
          </cell>
        </row>
        <row r="265">
          <cell r="D265">
            <v>28238</v>
          </cell>
        </row>
        <row r="266">
          <cell r="D266">
            <v>22340</v>
          </cell>
        </row>
        <row r="267">
          <cell r="D267">
            <v>20438</v>
          </cell>
        </row>
        <row r="268">
          <cell r="D268">
            <v>27119</v>
          </cell>
        </row>
        <row r="269">
          <cell r="D269">
            <v>18831</v>
          </cell>
        </row>
        <row r="270">
          <cell r="D270">
            <v>21371</v>
          </cell>
        </row>
        <row r="271">
          <cell r="D271">
            <v>18033</v>
          </cell>
        </row>
        <row r="272">
          <cell r="D272">
            <v>19363</v>
          </cell>
        </row>
        <row r="273">
          <cell r="D273">
            <v>28506</v>
          </cell>
        </row>
        <row r="274">
          <cell r="D274">
            <v>23438</v>
          </cell>
        </row>
        <row r="275">
          <cell r="D275">
            <v>25369</v>
          </cell>
        </row>
        <row r="276">
          <cell r="D276">
            <v>22246</v>
          </cell>
        </row>
        <row r="277">
          <cell r="D277">
            <v>20414</v>
          </cell>
        </row>
        <row r="278">
          <cell r="D278">
            <v>25661</v>
          </cell>
        </row>
        <row r="279">
          <cell r="D279">
            <v>28434</v>
          </cell>
        </row>
        <row r="280">
          <cell r="D280">
            <v>24483</v>
          </cell>
        </row>
        <row r="281">
          <cell r="D281">
            <v>27199</v>
          </cell>
        </row>
        <row r="282">
          <cell r="D282">
            <v>23485</v>
          </cell>
        </row>
        <row r="283">
          <cell r="D283">
            <v>25343</v>
          </cell>
        </row>
        <row r="284">
          <cell r="D284">
            <v>27998</v>
          </cell>
        </row>
        <row r="285">
          <cell r="D285">
            <v>27351</v>
          </cell>
        </row>
        <row r="286">
          <cell r="D286">
            <v>20899</v>
          </cell>
        </row>
        <row r="287">
          <cell r="D287">
            <v>18635</v>
          </cell>
        </row>
        <row r="288">
          <cell r="D288">
            <v>21865</v>
          </cell>
        </row>
        <row r="289">
          <cell r="D289">
            <v>23233</v>
          </cell>
        </row>
        <row r="290">
          <cell r="D290">
            <v>21939</v>
          </cell>
        </row>
        <row r="291">
          <cell r="D291">
            <v>25106</v>
          </cell>
        </row>
        <row r="292">
          <cell r="D292">
            <v>21158</v>
          </cell>
        </row>
        <row r="293">
          <cell r="D293">
            <v>21635</v>
          </cell>
        </row>
        <row r="294">
          <cell r="D294">
            <v>18505</v>
          </cell>
        </row>
        <row r="295">
          <cell r="D295">
            <v>18867</v>
          </cell>
        </row>
        <row r="296">
          <cell r="D296">
            <v>28822</v>
          </cell>
        </row>
        <row r="297">
          <cell r="D297">
            <v>21162</v>
          </cell>
        </row>
        <row r="298">
          <cell r="D298">
            <v>19095</v>
          </cell>
        </row>
        <row r="299">
          <cell r="D299">
            <v>25139</v>
          </cell>
        </row>
        <row r="300">
          <cell r="D300">
            <v>19386</v>
          </cell>
        </row>
        <row r="301">
          <cell r="D301">
            <v>27639</v>
          </cell>
        </row>
        <row r="302">
          <cell r="D302">
            <v>22480</v>
          </cell>
        </row>
        <row r="303">
          <cell r="D303">
            <v>24751</v>
          </cell>
        </row>
        <row r="304">
          <cell r="D304">
            <v>20274</v>
          </cell>
        </row>
        <row r="305">
          <cell r="D305">
            <v>19612</v>
          </cell>
        </row>
        <row r="306">
          <cell r="D306">
            <v>22690</v>
          </cell>
        </row>
        <row r="307">
          <cell r="D307">
            <v>25721</v>
          </cell>
        </row>
        <row r="308">
          <cell r="D308">
            <v>18176</v>
          </cell>
        </row>
        <row r="309">
          <cell r="D309">
            <v>21611</v>
          </cell>
        </row>
        <row r="310">
          <cell r="D310">
            <v>21713</v>
          </cell>
        </row>
        <row r="311">
          <cell r="D311">
            <v>19647</v>
          </cell>
        </row>
        <row r="312">
          <cell r="D312">
            <v>20117</v>
          </cell>
        </row>
        <row r="313">
          <cell r="D313">
            <v>25680</v>
          </cell>
        </row>
        <row r="314">
          <cell r="D314">
            <v>18607</v>
          </cell>
        </row>
        <row r="315">
          <cell r="D315">
            <v>20667</v>
          </cell>
        </row>
        <row r="316">
          <cell r="D316">
            <v>26930</v>
          </cell>
        </row>
        <row r="317">
          <cell r="D317">
            <v>21301</v>
          </cell>
        </row>
        <row r="318">
          <cell r="D318">
            <v>24839</v>
          </cell>
        </row>
        <row r="319">
          <cell r="D319">
            <v>22835</v>
          </cell>
        </row>
        <row r="320">
          <cell r="D320">
            <v>20428</v>
          </cell>
        </row>
        <row r="321">
          <cell r="D321">
            <v>21485</v>
          </cell>
        </row>
        <row r="322">
          <cell r="D322">
            <v>24269</v>
          </cell>
        </row>
        <row r="323">
          <cell r="D323">
            <v>26502</v>
          </cell>
        </row>
        <row r="324">
          <cell r="D324">
            <v>18865</v>
          </cell>
        </row>
        <row r="325">
          <cell r="D325">
            <v>27401</v>
          </cell>
        </row>
        <row r="326">
          <cell r="D326">
            <v>18541</v>
          </cell>
        </row>
        <row r="327">
          <cell r="D327">
            <v>27544</v>
          </cell>
        </row>
        <row r="328">
          <cell r="D328">
            <v>18162</v>
          </cell>
        </row>
        <row r="329">
          <cell r="D329">
            <v>25673</v>
          </cell>
        </row>
        <row r="330">
          <cell r="D330">
            <v>27918</v>
          </cell>
        </row>
        <row r="331">
          <cell r="D331">
            <v>20545</v>
          </cell>
        </row>
        <row r="332">
          <cell r="D332">
            <v>19787</v>
          </cell>
        </row>
        <row r="333">
          <cell r="D333">
            <v>28022</v>
          </cell>
        </row>
        <row r="334">
          <cell r="D334">
            <v>24719</v>
          </cell>
        </row>
        <row r="335">
          <cell r="D335">
            <v>26301</v>
          </cell>
        </row>
        <row r="336">
          <cell r="D336">
            <v>19758</v>
          </cell>
        </row>
        <row r="337">
          <cell r="D337">
            <v>24054</v>
          </cell>
        </row>
        <row r="338">
          <cell r="D338">
            <v>27272</v>
          </cell>
        </row>
        <row r="339">
          <cell r="D339">
            <v>28178</v>
          </cell>
        </row>
        <row r="340">
          <cell r="D340">
            <v>27399</v>
          </cell>
        </row>
        <row r="341">
          <cell r="D341">
            <v>21286</v>
          </cell>
        </row>
        <row r="342">
          <cell r="D342">
            <v>19133</v>
          </cell>
        </row>
        <row r="343">
          <cell r="D343">
            <v>20210</v>
          </cell>
        </row>
        <row r="344">
          <cell r="D344">
            <v>22358</v>
          </cell>
        </row>
        <row r="345">
          <cell r="D345">
            <v>28437</v>
          </cell>
        </row>
        <row r="346">
          <cell r="D346">
            <v>18159</v>
          </cell>
        </row>
        <row r="347">
          <cell r="D347">
            <v>26672</v>
          </cell>
        </row>
        <row r="348">
          <cell r="D348">
            <v>19488</v>
          </cell>
        </row>
        <row r="349">
          <cell r="D349">
            <v>24369</v>
          </cell>
        </row>
        <row r="350">
          <cell r="D350">
            <v>26839</v>
          </cell>
        </row>
        <row r="351">
          <cell r="D351">
            <v>21487</v>
          </cell>
        </row>
        <row r="352">
          <cell r="D352">
            <v>26910</v>
          </cell>
        </row>
        <row r="353">
          <cell r="D353">
            <v>19983</v>
          </cell>
        </row>
        <row r="354">
          <cell r="D354">
            <v>18677</v>
          </cell>
        </row>
        <row r="355">
          <cell r="D355">
            <v>24335</v>
          </cell>
        </row>
        <row r="356">
          <cell r="D356">
            <v>24304</v>
          </cell>
        </row>
        <row r="357">
          <cell r="D357">
            <v>25680</v>
          </cell>
        </row>
        <row r="358">
          <cell r="D358">
            <v>28757</v>
          </cell>
        </row>
        <row r="359">
          <cell r="D359">
            <v>20223</v>
          </cell>
        </row>
        <row r="360">
          <cell r="D360">
            <v>27429</v>
          </cell>
        </row>
        <row r="361">
          <cell r="D361">
            <v>26025</v>
          </cell>
        </row>
        <row r="362">
          <cell r="D362">
            <v>21104</v>
          </cell>
        </row>
        <row r="363">
          <cell r="D363">
            <v>24994</v>
          </cell>
        </row>
        <row r="364">
          <cell r="D364">
            <v>23781</v>
          </cell>
        </row>
        <row r="365">
          <cell r="D365">
            <v>27890</v>
          </cell>
        </row>
        <row r="366">
          <cell r="D366">
            <v>20914</v>
          </cell>
        </row>
        <row r="367">
          <cell r="D367">
            <v>21924</v>
          </cell>
        </row>
        <row r="368">
          <cell r="D368">
            <v>20457</v>
          </cell>
        </row>
        <row r="369">
          <cell r="D369">
            <v>23682</v>
          </cell>
        </row>
        <row r="370">
          <cell r="D370">
            <v>23913</v>
          </cell>
        </row>
        <row r="371">
          <cell r="D371">
            <v>19310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akt"/>
      <sheetName val="Wprowadzenie_samouczek"/>
      <sheetName val="Zad.1"/>
      <sheetName val="Zad.2"/>
      <sheetName val="Zad.3"/>
      <sheetName val="Zad.4"/>
      <sheetName val="Zad.5"/>
      <sheetName val="Zad.6"/>
      <sheetName val="Zad.7"/>
      <sheetName val="Zad.8"/>
      <sheetName val="Zad.9"/>
      <sheetName val="Zad.10"/>
      <sheetName val="Zad.11"/>
      <sheetName val="Zadanie domowe 1"/>
      <sheetName val="Zadanie domowe 2"/>
    </sheetNames>
    <sheetDataSet>
      <sheetData sheetId="0" refreshError="1"/>
      <sheetData sheetId="1">
        <row r="43">
          <cell r="G43">
            <v>45</v>
          </cell>
        </row>
        <row r="44">
          <cell r="G44">
            <v>23</v>
          </cell>
        </row>
        <row r="45">
          <cell r="G45">
            <v>12</v>
          </cell>
        </row>
        <row r="46">
          <cell r="G46">
            <v>23</v>
          </cell>
        </row>
        <row r="53">
          <cell r="G53">
            <v>45</v>
          </cell>
        </row>
        <row r="54">
          <cell r="G54">
            <v>23</v>
          </cell>
        </row>
        <row r="55">
          <cell r="G55">
            <v>12</v>
          </cell>
        </row>
        <row r="56">
          <cell r="G56">
            <v>51</v>
          </cell>
        </row>
        <row r="57">
          <cell r="G57">
            <v>15</v>
          </cell>
        </row>
        <row r="58">
          <cell r="G58">
            <v>1</v>
          </cell>
        </row>
        <row r="59">
          <cell r="G59">
            <v>15</v>
          </cell>
        </row>
        <row r="60">
          <cell r="G60">
            <v>2</v>
          </cell>
        </row>
      </sheetData>
      <sheetData sheetId="2" refreshError="1"/>
      <sheetData sheetId="3">
        <row r="11">
          <cell r="B11" t="str">
            <v>Styczeń</v>
          </cell>
          <cell r="E11">
            <v>374592</v>
          </cell>
        </row>
        <row r="12">
          <cell r="E12">
            <v>412339</v>
          </cell>
        </row>
        <row r="13">
          <cell r="E13">
            <v>192609</v>
          </cell>
        </row>
        <row r="14">
          <cell r="E14">
            <v>217995</v>
          </cell>
        </row>
        <row r="15">
          <cell r="E15">
            <v>477518</v>
          </cell>
        </row>
        <row r="16">
          <cell r="E16">
            <v>92829</v>
          </cell>
        </row>
        <row r="17">
          <cell r="E17">
            <v>282778</v>
          </cell>
        </row>
        <row r="18">
          <cell r="E18">
            <v>362578</v>
          </cell>
        </row>
        <row r="19">
          <cell r="E19">
            <v>224060</v>
          </cell>
        </row>
        <row r="20">
          <cell r="E20">
            <v>821578</v>
          </cell>
        </row>
        <row r="21">
          <cell r="E21">
            <v>359853</v>
          </cell>
        </row>
        <row r="22">
          <cell r="E22">
            <v>662388</v>
          </cell>
        </row>
      </sheetData>
      <sheetData sheetId="4" refreshError="1"/>
      <sheetData sheetId="5">
        <row r="9">
          <cell r="D9">
            <v>546738</v>
          </cell>
        </row>
        <row r="10">
          <cell r="D10">
            <v>876567</v>
          </cell>
        </row>
        <row r="11">
          <cell r="D11">
            <v>234876</v>
          </cell>
        </row>
        <row r="12">
          <cell r="D12">
            <v>873546</v>
          </cell>
        </row>
        <row r="13">
          <cell r="D13">
            <v>1095648</v>
          </cell>
        </row>
        <row r="14">
          <cell r="D14">
            <v>109355</v>
          </cell>
        </row>
        <row r="15">
          <cell r="D15">
            <v>345039</v>
          </cell>
        </row>
        <row r="16">
          <cell r="D16">
            <v>465098</v>
          </cell>
        </row>
        <row r="17">
          <cell r="D17">
            <v>369253</v>
          </cell>
        </row>
        <row r="18">
          <cell r="D18">
            <v>1054058</v>
          </cell>
        </row>
        <row r="19">
          <cell r="D19">
            <v>364943</v>
          </cell>
        </row>
        <row r="20">
          <cell r="D20">
            <v>940532</v>
          </cell>
        </row>
        <row r="21">
          <cell r="D21">
            <v>6556</v>
          </cell>
        </row>
        <row r="22">
          <cell r="D22">
            <v>44</v>
          </cell>
        </row>
        <row r="23">
          <cell r="D23">
            <v>4343</v>
          </cell>
        </row>
        <row r="24">
          <cell r="D24">
            <v>434</v>
          </cell>
        </row>
        <row r="25">
          <cell r="D25">
            <v>3443</v>
          </cell>
        </row>
        <row r="26">
          <cell r="D26">
            <v>4543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prowadzenie"/>
      <sheetName val="Samouczek_cz.1-Excel_2003"/>
      <sheetName val="Samouczek_cz.1-Excel_2007"/>
      <sheetName val="Samouczek_cz.2"/>
      <sheetName val="Zad.1"/>
      <sheetName val="Zad.2"/>
      <sheetName val="Zad.3"/>
      <sheetName val="Zad.4"/>
      <sheetName val="Zad.5"/>
      <sheetName val="Zad.6"/>
      <sheetName val="Zad.7"/>
      <sheetName val="Zad.8"/>
      <sheetName val="Zad.9"/>
      <sheetName val="Zad.9-rozw"/>
      <sheetName val="Zadanie domowe 5"/>
      <sheetName val="Zadanie domowe 6"/>
      <sheetName val="Zad.11. rozw."/>
      <sheetName val="Zadanie domowe 7"/>
      <sheetName val="Zadanie domowe 7-rozw"/>
      <sheetName val="Zadanie domowe 2. rozw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3">
          <cell r="J13" t="str">
            <v>Coca-cola</v>
          </cell>
        </row>
        <row r="14">
          <cell r="J14" t="str">
            <v>Sok pomarańczowy</v>
          </cell>
        </row>
        <row r="15">
          <cell r="J15" t="str">
            <v>Sok jabłkowy</v>
          </cell>
        </row>
        <row r="16">
          <cell r="J16" t="str">
            <v>coś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prowadzenie"/>
      <sheetName val="Samouczek_cz.1"/>
      <sheetName val="Samouczek_cz.2"/>
      <sheetName val="Zad.1"/>
      <sheetName val="Zad.2"/>
      <sheetName val="Zad.3"/>
      <sheetName val="Zad.4"/>
      <sheetName val="Zad.5"/>
      <sheetName val="Zad.6"/>
      <sheetName val="Zad.7"/>
      <sheetName val="Zad.8"/>
      <sheetName val="Zad.9"/>
      <sheetName val="Zad.10"/>
      <sheetName val="Zad.11"/>
      <sheetName val="Zad.11. rozw."/>
      <sheetName val="Zadanie domowe 1.1"/>
      <sheetName val="Zadanie domowe 2."/>
      <sheetName val="Zadanie domowe 2. rozw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1">
          <cell r="B11" t="str">
            <v>Coca-cola</v>
          </cell>
        </row>
        <row r="12">
          <cell r="B12" t="str">
            <v>Sok pomarańczowy</v>
          </cell>
        </row>
        <row r="13">
          <cell r="B13" t="str">
            <v>Sok jabłkowy</v>
          </cell>
        </row>
        <row r="14">
          <cell r="B14" t="str">
            <v>coś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akt"/>
      <sheetName val="Wprowadzenie_samouczek"/>
      <sheetName val="Zad.1"/>
      <sheetName val="Zad.2"/>
      <sheetName val="Zad.3"/>
      <sheetName val="Zad.4"/>
      <sheetName val="Zad.5"/>
      <sheetName val="Zad.6"/>
      <sheetName val="Zad.7"/>
      <sheetName val="Zad.8"/>
      <sheetName val="Zad.9"/>
      <sheetName val="Zad.10"/>
      <sheetName val="Zad.11"/>
      <sheetName val="Zadanie domowe 1"/>
      <sheetName val="Zadanie domowe 2"/>
    </sheetNames>
    <sheetDataSet>
      <sheetData sheetId="0"/>
      <sheetData sheetId="1"/>
      <sheetData sheetId="2"/>
      <sheetData sheetId="3">
        <row r="11">
          <cell r="B11" t="str">
            <v>Styczeń</v>
          </cell>
          <cell r="E11">
            <v>374592</v>
          </cell>
        </row>
        <row r="12">
          <cell r="B12" t="str">
            <v>Luty</v>
          </cell>
          <cell r="E12">
            <v>412339</v>
          </cell>
        </row>
        <row r="13">
          <cell r="B13" t="str">
            <v>Marzec</v>
          </cell>
          <cell r="E13">
            <v>192609</v>
          </cell>
        </row>
        <row r="14">
          <cell r="B14" t="str">
            <v>Kwiecień</v>
          </cell>
          <cell r="E14">
            <v>217995</v>
          </cell>
        </row>
        <row r="15">
          <cell r="B15" t="str">
            <v>Maj</v>
          </cell>
          <cell r="E15">
            <v>477518</v>
          </cell>
        </row>
        <row r="16">
          <cell r="B16" t="str">
            <v>Czerwiec</v>
          </cell>
          <cell r="E16">
            <v>92829</v>
          </cell>
        </row>
        <row r="17">
          <cell r="B17" t="str">
            <v>Lipiec</v>
          </cell>
          <cell r="E17">
            <v>282778</v>
          </cell>
        </row>
        <row r="18">
          <cell r="B18" t="str">
            <v>Sierpień</v>
          </cell>
          <cell r="E18">
            <v>362578</v>
          </cell>
        </row>
        <row r="19">
          <cell r="B19" t="str">
            <v>Wrzesień</v>
          </cell>
          <cell r="E19">
            <v>224060</v>
          </cell>
        </row>
        <row r="20">
          <cell r="B20" t="str">
            <v>Październik</v>
          </cell>
          <cell r="E20">
            <v>821578</v>
          </cell>
        </row>
        <row r="21">
          <cell r="B21" t="str">
            <v>Listopad</v>
          </cell>
          <cell r="E21">
            <v>359853</v>
          </cell>
        </row>
        <row r="22">
          <cell r="B22" t="str">
            <v>Grudzień</v>
          </cell>
          <cell r="E22">
            <v>662388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akt"/>
      <sheetName val="Wprowadzenie_samouczek"/>
      <sheetName val="Zad.1"/>
      <sheetName val="Zad.2"/>
      <sheetName val="Zad.3"/>
      <sheetName val="Zad.4"/>
      <sheetName val="Zad.5"/>
      <sheetName val="Zad.6"/>
      <sheetName val="Zad.7"/>
      <sheetName val="Zad.8"/>
      <sheetName val="Zad.9"/>
      <sheetName val="Zad.10"/>
      <sheetName val="Zad.11"/>
      <sheetName val="Zadanie domowe 1"/>
      <sheetName val="Zadanie domowe 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9">
          <cell r="D9">
            <v>546738</v>
          </cell>
        </row>
        <row r="10">
          <cell r="D10">
            <v>876567</v>
          </cell>
        </row>
        <row r="11">
          <cell r="D11">
            <v>234876</v>
          </cell>
        </row>
        <row r="12">
          <cell r="D12">
            <v>873546</v>
          </cell>
        </row>
        <row r="13">
          <cell r="D13">
            <v>1095648</v>
          </cell>
        </row>
        <row r="14">
          <cell r="D14">
            <v>109355</v>
          </cell>
        </row>
        <row r="15">
          <cell r="D15">
            <v>345039</v>
          </cell>
        </row>
        <row r="16">
          <cell r="D16">
            <v>465098</v>
          </cell>
        </row>
        <row r="17">
          <cell r="D17">
            <v>369253</v>
          </cell>
        </row>
        <row r="18">
          <cell r="D18">
            <v>1054058</v>
          </cell>
        </row>
        <row r="19">
          <cell r="D19">
            <v>364943</v>
          </cell>
        </row>
        <row r="20">
          <cell r="D20">
            <v>940532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WAGA"/>
      <sheetName val="Wprowadzenie"/>
      <sheetName val="Samouczek_cz1-Excel_2003"/>
      <sheetName val="Samouczek_cz1-Excel_2007"/>
      <sheetName val="Zad.1"/>
      <sheetName val="Zad.2"/>
      <sheetName val="Zad.3"/>
      <sheetName val="Zad.4"/>
      <sheetName val="Samouczek_cz2"/>
      <sheetName val="Zad.5"/>
      <sheetName val="Zad.6"/>
      <sheetName val="Zad.7"/>
      <sheetName val="Zad.8"/>
      <sheetName val="Zadanie dodatkowe 2"/>
      <sheetName val="Zadanie dodatkowe 3"/>
      <sheetName val="Samouczek_cz3"/>
      <sheetName val="Samouczek_cz3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8">
          <cell r="B8" t="str">
            <v>Data</v>
          </cell>
        </row>
        <row r="9">
          <cell r="B9">
            <v>38742</v>
          </cell>
        </row>
        <row r="10">
          <cell r="B10">
            <v>38469</v>
          </cell>
        </row>
        <row r="11">
          <cell r="B11">
            <v>38671</v>
          </cell>
        </row>
        <row r="12">
          <cell r="B12">
            <v>39009</v>
          </cell>
        </row>
        <row r="13">
          <cell r="B13">
            <v>38833</v>
          </cell>
        </row>
        <row r="14">
          <cell r="B14">
            <v>38777</v>
          </cell>
        </row>
        <row r="15">
          <cell r="B15">
            <v>38621</v>
          </cell>
        </row>
        <row r="16">
          <cell r="B16">
            <v>38757</v>
          </cell>
        </row>
        <row r="17">
          <cell r="B17">
            <v>38406</v>
          </cell>
        </row>
        <row r="18">
          <cell r="B18">
            <v>38601</v>
          </cell>
        </row>
        <row r="19">
          <cell r="B19">
            <v>38804</v>
          </cell>
        </row>
        <row r="20">
          <cell r="B20">
            <v>38979</v>
          </cell>
        </row>
        <row r="21">
          <cell r="B21">
            <v>39153</v>
          </cell>
        </row>
        <row r="22">
          <cell r="B22">
            <v>38554</v>
          </cell>
        </row>
        <row r="23">
          <cell r="B23">
            <v>38628</v>
          </cell>
        </row>
        <row r="24">
          <cell r="B24">
            <v>38752</v>
          </cell>
        </row>
        <row r="25">
          <cell r="B25">
            <v>39007</v>
          </cell>
        </row>
        <row r="26">
          <cell r="B26">
            <v>38679</v>
          </cell>
        </row>
        <row r="27">
          <cell r="B27">
            <v>39036</v>
          </cell>
        </row>
        <row r="28">
          <cell r="B28">
            <v>38566</v>
          </cell>
        </row>
        <row r="29">
          <cell r="B29">
            <v>38894</v>
          </cell>
        </row>
        <row r="30">
          <cell r="B30">
            <v>38743</v>
          </cell>
        </row>
        <row r="31">
          <cell r="B31">
            <v>38904</v>
          </cell>
        </row>
        <row r="32">
          <cell r="B32">
            <v>38457</v>
          </cell>
        </row>
        <row r="33">
          <cell r="B33">
            <v>38819</v>
          </cell>
        </row>
        <row r="34">
          <cell r="B34">
            <v>39157</v>
          </cell>
        </row>
        <row r="35">
          <cell r="B35">
            <v>38663</v>
          </cell>
        </row>
        <row r="36">
          <cell r="B36">
            <v>38653</v>
          </cell>
        </row>
        <row r="37">
          <cell r="B37">
            <v>38653</v>
          </cell>
        </row>
        <row r="38">
          <cell r="B38">
            <v>38986</v>
          </cell>
        </row>
        <row r="39">
          <cell r="B39">
            <v>38643</v>
          </cell>
        </row>
        <row r="40">
          <cell r="B40">
            <v>38630</v>
          </cell>
        </row>
        <row r="41">
          <cell r="B41">
            <v>38772</v>
          </cell>
        </row>
        <row r="42">
          <cell r="B42">
            <v>38357</v>
          </cell>
        </row>
        <row r="43">
          <cell r="B43">
            <v>38853</v>
          </cell>
        </row>
        <row r="44">
          <cell r="B44">
            <v>38334</v>
          </cell>
        </row>
        <row r="45">
          <cell r="B45">
            <v>38736</v>
          </cell>
        </row>
        <row r="46">
          <cell r="B46">
            <v>38729</v>
          </cell>
        </row>
        <row r="47">
          <cell r="B47">
            <v>38481</v>
          </cell>
        </row>
        <row r="48">
          <cell r="B48">
            <v>38964</v>
          </cell>
        </row>
        <row r="49">
          <cell r="B49">
            <v>38526</v>
          </cell>
        </row>
        <row r="50">
          <cell r="B50">
            <v>38882</v>
          </cell>
        </row>
        <row r="51">
          <cell r="B51">
            <v>38674</v>
          </cell>
        </row>
        <row r="52">
          <cell r="B52">
            <v>38425</v>
          </cell>
        </row>
        <row r="53">
          <cell r="B53">
            <v>38341</v>
          </cell>
        </row>
        <row r="54">
          <cell r="B54">
            <v>38929</v>
          </cell>
        </row>
        <row r="55">
          <cell r="B55">
            <v>38740</v>
          </cell>
        </row>
        <row r="56">
          <cell r="B56">
            <v>38182</v>
          </cell>
        </row>
        <row r="57">
          <cell r="B57">
            <v>38434</v>
          </cell>
        </row>
        <row r="58">
          <cell r="B58">
            <v>38611</v>
          </cell>
        </row>
        <row r="59">
          <cell r="B59">
            <v>38356</v>
          </cell>
        </row>
        <row r="60">
          <cell r="B60">
            <v>38946</v>
          </cell>
        </row>
        <row r="61">
          <cell r="B61">
            <v>38866</v>
          </cell>
        </row>
        <row r="62">
          <cell r="B62">
            <v>38335</v>
          </cell>
        </row>
        <row r="63">
          <cell r="B63">
            <v>38910</v>
          </cell>
        </row>
        <row r="64">
          <cell r="B64">
            <v>38964</v>
          </cell>
        </row>
        <row r="65">
          <cell r="B65">
            <v>37706</v>
          </cell>
        </row>
        <row r="66">
          <cell r="B66">
            <v>37943</v>
          </cell>
        </row>
        <row r="67">
          <cell r="B67">
            <v>38232</v>
          </cell>
        </row>
        <row r="68">
          <cell r="B68">
            <v>38574</v>
          </cell>
        </row>
        <row r="69">
          <cell r="B69">
            <v>38929</v>
          </cell>
        </row>
        <row r="70">
          <cell r="B70">
            <v>37778</v>
          </cell>
        </row>
        <row r="71">
          <cell r="B71">
            <v>38013</v>
          </cell>
        </row>
        <row r="72">
          <cell r="B72">
            <v>38238</v>
          </cell>
        </row>
        <row r="73">
          <cell r="B73">
            <v>38510</v>
          </cell>
        </row>
        <row r="74">
          <cell r="B74">
            <v>38734</v>
          </cell>
        </row>
        <row r="75">
          <cell r="B75">
            <v>38010</v>
          </cell>
        </row>
        <row r="76">
          <cell r="B76">
            <v>38539</v>
          </cell>
        </row>
        <row r="77">
          <cell r="B77">
            <v>37778</v>
          </cell>
        </row>
        <row r="78">
          <cell r="B78">
            <v>37638</v>
          </cell>
        </row>
        <row r="79">
          <cell r="B79">
            <v>37882</v>
          </cell>
        </row>
        <row r="80">
          <cell r="B80">
            <v>38168</v>
          </cell>
        </row>
        <row r="81">
          <cell r="B81">
            <v>38499</v>
          </cell>
        </row>
        <row r="82">
          <cell r="B82">
            <v>38775</v>
          </cell>
        </row>
        <row r="83">
          <cell r="B83">
            <v>38762</v>
          </cell>
        </row>
        <row r="84">
          <cell r="B84">
            <v>38467</v>
          </cell>
        </row>
        <row r="85">
          <cell r="B85">
            <v>38321</v>
          </cell>
        </row>
        <row r="86">
          <cell r="B86">
            <v>38995</v>
          </cell>
        </row>
        <row r="87">
          <cell r="B87">
            <v>37750</v>
          </cell>
        </row>
        <row r="88">
          <cell r="B88">
            <v>37984</v>
          </cell>
        </row>
        <row r="89">
          <cell r="B89">
            <v>38285</v>
          </cell>
        </row>
        <row r="90">
          <cell r="B90">
            <v>38348</v>
          </cell>
        </row>
        <row r="91">
          <cell r="B91">
            <v>38545</v>
          </cell>
        </row>
        <row r="92">
          <cell r="B92">
            <v>38754</v>
          </cell>
        </row>
        <row r="93">
          <cell r="B93">
            <v>38981</v>
          </cell>
        </row>
        <row r="94">
          <cell r="B94">
            <v>38800</v>
          </cell>
        </row>
        <row r="95">
          <cell r="B95">
            <v>38985</v>
          </cell>
        </row>
        <row r="96">
          <cell r="B96">
            <v>37895</v>
          </cell>
        </row>
        <row r="97">
          <cell r="B97">
            <v>38665</v>
          </cell>
        </row>
        <row r="98">
          <cell r="B98">
            <v>37993</v>
          </cell>
        </row>
        <row r="99">
          <cell r="B99">
            <v>38408</v>
          </cell>
        </row>
        <row r="100">
          <cell r="B100">
            <v>38640</v>
          </cell>
        </row>
        <row r="101">
          <cell r="B101">
            <v>38791</v>
          </cell>
        </row>
        <row r="102">
          <cell r="B102">
            <v>38968</v>
          </cell>
        </row>
        <row r="103">
          <cell r="B103">
            <v>37907</v>
          </cell>
        </row>
        <row r="104">
          <cell r="B104">
            <v>38099</v>
          </cell>
        </row>
        <row r="105">
          <cell r="B105">
            <v>38310</v>
          </cell>
        </row>
        <row r="106">
          <cell r="B106">
            <v>38152</v>
          </cell>
        </row>
        <row r="107">
          <cell r="B107">
            <v>38344</v>
          </cell>
        </row>
        <row r="108">
          <cell r="B108">
            <v>38608</v>
          </cell>
        </row>
        <row r="109">
          <cell r="B109">
            <v>39004</v>
          </cell>
        </row>
        <row r="110">
          <cell r="B110">
            <v>39041</v>
          </cell>
        </row>
        <row r="111">
          <cell r="B111">
            <v>38107</v>
          </cell>
        </row>
        <row r="112">
          <cell r="B112">
            <v>38455</v>
          </cell>
        </row>
        <row r="113">
          <cell r="B113">
            <v>37894</v>
          </cell>
        </row>
        <row r="114">
          <cell r="B114">
            <v>38078</v>
          </cell>
        </row>
        <row r="115">
          <cell r="B115">
            <v>38392</v>
          </cell>
        </row>
        <row r="116">
          <cell r="B116">
            <v>38642</v>
          </cell>
        </row>
        <row r="117">
          <cell r="B117">
            <v>39020</v>
          </cell>
        </row>
        <row r="118">
          <cell r="B118">
            <v>38174</v>
          </cell>
        </row>
        <row r="119">
          <cell r="B119">
            <v>38677</v>
          </cell>
        </row>
        <row r="120">
          <cell r="B120">
            <v>38955</v>
          </cell>
        </row>
        <row r="121">
          <cell r="B121">
            <v>38545</v>
          </cell>
        </row>
        <row r="122">
          <cell r="B122">
            <v>38722</v>
          </cell>
        </row>
        <row r="123">
          <cell r="B123">
            <v>38849</v>
          </cell>
        </row>
        <row r="124">
          <cell r="B124">
            <v>38084</v>
          </cell>
        </row>
        <row r="125">
          <cell r="B125">
            <v>38316</v>
          </cell>
        </row>
        <row r="126">
          <cell r="B126">
            <v>38511</v>
          </cell>
        </row>
        <row r="127">
          <cell r="B127">
            <v>38412</v>
          </cell>
        </row>
        <row r="128">
          <cell r="B128">
            <v>38973</v>
          </cell>
        </row>
        <row r="129">
          <cell r="B129">
            <v>38744</v>
          </cell>
        </row>
        <row r="130">
          <cell r="B130">
            <v>38476</v>
          </cell>
        </row>
        <row r="131">
          <cell r="B131">
            <v>38925</v>
          </cell>
        </row>
        <row r="132">
          <cell r="B132">
            <v>38819</v>
          </cell>
        </row>
        <row r="133">
          <cell r="B133">
            <v>38807</v>
          </cell>
        </row>
        <row r="134">
          <cell r="B134">
            <v>38770</v>
          </cell>
        </row>
        <row r="135">
          <cell r="B135">
            <v>38419</v>
          </cell>
        </row>
        <row r="136">
          <cell r="B136">
            <v>38757</v>
          </cell>
        </row>
        <row r="137">
          <cell r="B137">
            <v>38803</v>
          </cell>
        </row>
        <row r="138">
          <cell r="B138">
            <v>38327</v>
          </cell>
        </row>
        <row r="139">
          <cell r="B139">
            <v>38497</v>
          </cell>
        </row>
        <row r="140">
          <cell r="B140">
            <v>38575</v>
          </cell>
        </row>
        <row r="141">
          <cell r="B141">
            <v>38870</v>
          </cell>
        </row>
        <row r="142">
          <cell r="B142">
            <v>38329</v>
          </cell>
        </row>
        <row r="143">
          <cell r="B143">
            <v>38826</v>
          </cell>
        </row>
        <row r="144">
          <cell r="B144">
            <v>38464</v>
          </cell>
        </row>
        <row r="145">
          <cell r="B145">
            <v>38727</v>
          </cell>
        </row>
        <row r="146">
          <cell r="B146">
            <v>38919</v>
          </cell>
        </row>
        <row r="147">
          <cell r="B147">
            <v>38925</v>
          </cell>
        </row>
        <row r="148">
          <cell r="B148">
            <v>38400</v>
          </cell>
        </row>
        <row r="149">
          <cell r="B149">
            <v>38843</v>
          </cell>
        </row>
        <row r="150">
          <cell r="B150">
            <v>39050</v>
          </cell>
        </row>
        <row r="151">
          <cell r="B151">
            <v>39051</v>
          </cell>
        </row>
        <row r="152">
          <cell r="B152">
            <v>38294</v>
          </cell>
        </row>
        <row r="153">
          <cell r="B153">
            <v>38034</v>
          </cell>
        </row>
        <row r="154">
          <cell r="B154">
            <v>38435</v>
          </cell>
        </row>
        <row r="155">
          <cell r="B155">
            <v>38279</v>
          </cell>
        </row>
        <row r="156">
          <cell r="B156">
            <v>38421</v>
          </cell>
        </row>
        <row r="157">
          <cell r="B157">
            <v>38730</v>
          </cell>
        </row>
        <row r="158">
          <cell r="B158">
            <v>38863</v>
          </cell>
        </row>
        <row r="159">
          <cell r="B159">
            <v>39062</v>
          </cell>
        </row>
        <row r="160">
          <cell r="B160">
            <v>38772</v>
          </cell>
        </row>
        <row r="161">
          <cell r="B161">
            <v>39027</v>
          </cell>
        </row>
        <row r="162">
          <cell r="B162">
            <v>38434</v>
          </cell>
        </row>
        <row r="163">
          <cell r="B163">
            <v>39051</v>
          </cell>
        </row>
        <row r="164">
          <cell r="B164">
            <v>38021</v>
          </cell>
        </row>
        <row r="165">
          <cell r="B165">
            <v>38385</v>
          </cell>
        </row>
        <row r="166">
          <cell r="B166">
            <v>38489</v>
          </cell>
        </row>
        <row r="167">
          <cell r="B167">
            <v>38791</v>
          </cell>
        </row>
        <row r="168">
          <cell r="B168">
            <v>39091</v>
          </cell>
        </row>
        <row r="169">
          <cell r="B169">
            <v>37992</v>
          </cell>
        </row>
        <row r="170">
          <cell r="B170">
            <v>38435</v>
          </cell>
        </row>
        <row r="171">
          <cell r="B171">
            <v>38903</v>
          </cell>
        </row>
        <row r="172">
          <cell r="B172">
            <v>38785</v>
          </cell>
        </row>
        <row r="173">
          <cell r="B173">
            <v>38022</v>
          </cell>
        </row>
        <row r="174">
          <cell r="B174">
            <v>38828</v>
          </cell>
        </row>
        <row r="175">
          <cell r="B175">
            <v>38320</v>
          </cell>
        </row>
        <row r="176">
          <cell r="B176">
            <v>38440</v>
          </cell>
        </row>
        <row r="177">
          <cell r="B177">
            <v>38632</v>
          </cell>
        </row>
        <row r="178">
          <cell r="B178">
            <v>39079</v>
          </cell>
        </row>
        <row r="179">
          <cell r="B179">
            <v>39031</v>
          </cell>
        </row>
        <row r="180">
          <cell r="B180">
            <v>38320</v>
          </cell>
        </row>
        <row r="181">
          <cell r="B181">
            <v>38842</v>
          </cell>
        </row>
        <row r="182">
          <cell r="B182">
            <v>39007</v>
          </cell>
        </row>
        <row r="183">
          <cell r="B183">
            <v>38423</v>
          </cell>
        </row>
        <row r="184">
          <cell r="B184">
            <v>38623</v>
          </cell>
        </row>
        <row r="185">
          <cell r="B185">
            <v>38835</v>
          </cell>
        </row>
        <row r="186">
          <cell r="B186">
            <v>38973</v>
          </cell>
        </row>
        <row r="187">
          <cell r="B187">
            <v>38371</v>
          </cell>
        </row>
        <row r="188">
          <cell r="B188">
            <v>38569</v>
          </cell>
        </row>
        <row r="189">
          <cell r="B189">
            <v>38747</v>
          </cell>
        </row>
        <row r="190">
          <cell r="B190">
            <v>38996</v>
          </cell>
        </row>
        <row r="191">
          <cell r="B191">
            <v>38805</v>
          </cell>
        </row>
        <row r="192">
          <cell r="B192">
            <v>38763</v>
          </cell>
        </row>
        <row r="193">
          <cell r="B193">
            <v>38999</v>
          </cell>
        </row>
        <row r="194">
          <cell r="B194">
            <v>38180</v>
          </cell>
        </row>
        <row r="195">
          <cell r="B195">
            <v>38988</v>
          </cell>
        </row>
        <row r="196">
          <cell r="B196">
            <v>38303</v>
          </cell>
        </row>
        <row r="197">
          <cell r="B197">
            <v>38511</v>
          </cell>
        </row>
        <row r="198">
          <cell r="B198">
            <v>38503</v>
          </cell>
        </row>
        <row r="199">
          <cell r="B199">
            <v>38833</v>
          </cell>
        </row>
        <row r="200">
          <cell r="B200">
            <v>38901</v>
          </cell>
        </row>
        <row r="201">
          <cell r="B201">
            <v>38331</v>
          </cell>
        </row>
        <row r="202">
          <cell r="B202">
            <v>38553</v>
          </cell>
        </row>
        <row r="203">
          <cell r="B203">
            <v>38869</v>
          </cell>
        </row>
        <row r="204">
          <cell r="B204">
            <v>38314</v>
          </cell>
        </row>
        <row r="205">
          <cell r="B205">
            <v>38540</v>
          </cell>
        </row>
        <row r="206">
          <cell r="B206">
            <v>38517</v>
          </cell>
        </row>
        <row r="207">
          <cell r="B207">
            <v>38818</v>
          </cell>
        </row>
        <row r="208">
          <cell r="B208">
            <v>38982</v>
          </cell>
        </row>
        <row r="209">
          <cell r="B209">
            <v>39095</v>
          </cell>
        </row>
        <row r="210">
          <cell r="B210">
            <v>39021</v>
          </cell>
        </row>
        <row r="211">
          <cell r="B211">
            <v>38510</v>
          </cell>
        </row>
        <row r="212">
          <cell r="B212">
            <v>38621</v>
          </cell>
        </row>
        <row r="213">
          <cell r="B213">
            <v>38435</v>
          </cell>
        </row>
        <row r="214">
          <cell r="B214">
            <v>38894</v>
          </cell>
        </row>
        <row r="215">
          <cell r="B215">
            <v>38845</v>
          </cell>
        </row>
        <row r="216">
          <cell r="B216">
            <v>39023</v>
          </cell>
        </row>
      </sheetData>
      <sheetData sheetId="13" refreshError="1"/>
      <sheetData sheetId="14" refreshError="1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arkiet.com/temat/83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0"/>
  <dimension ref="A1:C8"/>
  <sheetViews>
    <sheetView showGridLines="0" tabSelected="1" zoomScale="130" zoomScaleNormal="130" workbookViewId="0"/>
  </sheetViews>
  <sheetFormatPr defaultRowHeight="13.2"/>
  <cols>
    <col min="2" max="2" width="39.6640625" style="1" bestFit="1" customWidth="1"/>
    <col min="3" max="3" width="48.6640625" style="1" customWidth="1"/>
  </cols>
  <sheetData>
    <row r="1" spans="1:3" ht="12.75" customHeight="1">
      <c r="A1" s="165" t="s">
        <v>5419</v>
      </c>
    </row>
    <row r="2" spans="1:3" s="163" customFormat="1" ht="18.75" customHeight="1">
      <c r="B2" s="164" t="s">
        <v>5418</v>
      </c>
    </row>
    <row r="3" spans="1:3" s="2" customFormat="1" ht="12.75" customHeight="1"/>
    <row r="4" spans="1:3" ht="22.5" customHeight="1">
      <c r="B4" s="3" t="s">
        <v>0</v>
      </c>
      <c r="C4" s="4"/>
    </row>
    <row r="5" spans="1:3" ht="22.5" customHeight="1">
      <c r="B5" s="5" t="s">
        <v>1</v>
      </c>
      <c r="C5" s="6"/>
    </row>
    <row r="6" spans="1:3" ht="22.5" customHeight="1">
      <c r="B6" s="5" t="s">
        <v>5420</v>
      </c>
      <c r="C6" s="6"/>
    </row>
    <row r="7" spans="1:3" ht="22.5" customHeight="1">
      <c r="B7" s="7" t="s">
        <v>5421</v>
      </c>
      <c r="C7" s="8"/>
    </row>
    <row r="8" spans="1:3" ht="12.75" customHeight="1"/>
  </sheetData>
  <pageMargins left="0.75" right="0.75" top="1" bottom="1" header="0.5" footer="0.5"/>
  <pageSetup paperSize="9" scale="81" orientation="portrait" r:id="rId1"/>
  <headerFooter alignWithMargins="0">
    <oddFooter>&amp;Lã LabMasters.pl</oddFooter>
  </headerFooter>
  <colBreaks count="1" manualBreakCount="1">
    <brk id="3" max="1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01"/>
  <dimension ref="B2:D11"/>
  <sheetViews>
    <sheetView zoomScaleNormal="100" workbookViewId="0"/>
  </sheetViews>
  <sheetFormatPr defaultColWidth="9.109375" defaultRowHeight="12.75" customHeight="1"/>
  <cols>
    <col min="1" max="16384" width="9.109375" style="10"/>
  </cols>
  <sheetData>
    <row r="2" spans="2:4" ht="12.75" customHeight="1">
      <c r="B2" s="9"/>
    </row>
    <row r="4" spans="2:4" ht="12.75" customHeight="1">
      <c r="B4" s="10" t="s">
        <v>2</v>
      </c>
    </row>
    <row r="5" spans="2:4" ht="12.75" customHeight="1">
      <c r="B5" s="10" t="s">
        <v>3</v>
      </c>
    </row>
    <row r="6" spans="2:4" ht="12.75" customHeight="1">
      <c r="B6" s="11" t="s">
        <v>4</v>
      </c>
    </row>
    <row r="7" spans="2:4" ht="12.75" customHeight="1">
      <c r="B7" s="11" t="s">
        <v>5</v>
      </c>
    </row>
    <row r="8" spans="2:4" ht="12.75" customHeight="1">
      <c r="B8" s="10" t="s">
        <v>6</v>
      </c>
      <c r="C8" s="12"/>
      <c r="D8" s="12"/>
    </row>
    <row r="9" spans="2:4" ht="12.75" customHeight="1">
      <c r="B9" s="10" t="s">
        <v>7</v>
      </c>
    </row>
    <row r="10" spans="2:4" ht="12.75" customHeight="1">
      <c r="B10" s="10" t="s">
        <v>8</v>
      </c>
    </row>
    <row r="11" spans="2:4" ht="12.75" customHeight="1">
      <c r="B11" s="11" t="s">
        <v>9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02"/>
  <dimension ref="B2:B5"/>
  <sheetViews>
    <sheetView workbookViewId="0"/>
  </sheetViews>
  <sheetFormatPr defaultColWidth="9.109375" defaultRowHeight="12.75" customHeight="1"/>
  <cols>
    <col min="1" max="16384" width="9.109375" style="10"/>
  </cols>
  <sheetData>
    <row r="2" spans="2:2" ht="12.75" customHeight="1">
      <c r="B2" s="9"/>
    </row>
    <row r="4" spans="2:2" ht="12.75" customHeight="1">
      <c r="B4" s="10" t="s">
        <v>10</v>
      </c>
    </row>
    <row r="5" spans="2:2" ht="12.75" customHeight="1">
      <c r="B5" s="10" t="s">
        <v>11</v>
      </c>
    </row>
  </sheetData>
  <pageMargins left="0.7" right="0.7" top="0.75" bottom="0.75" header="0.3" footer="0.3"/>
  <pageSetup paperSize="9" orientation="portrait" horizontalDpi="4294967293" r:id="rId1"/>
  <headerFooter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03"/>
  <dimension ref="B2:AK56"/>
  <sheetViews>
    <sheetView zoomScaleNormal="100" workbookViewId="0"/>
  </sheetViews>
  <sheetFormatPr defaultRowHeight="13.2"/>
  <cols>
    <col min="1" max="2" width="9.109375" style="13"/>
    <col min="3" max="3" width="11" style="13" bestFit="1" customWidth="1"/>
    <col min="4" max="4" width="10" style="13" bestFit="1" customWidth="1"/>
    <col min="5" max="5" width="12.33203125" style="13" bestFit="1" customWidth="1"/>
    <col min="6" max="6" width="10" style="13" bestFit="1" customWidth="1"/>
    <col min="7" max="28" width="9.109375" style="13"/>
    <col min="29" max="29" width="12.109375" style="13" customWidth="1"/>
    <col min="30" max="30" width="11.6640625" style="13" customWidth="1"/>
    <col min="31" max="33" width="9.109375" style="13"/>
    <col min="34" max="34" width="12.109375" style="13" customWidth="1"/>
    <col min="35" max="35" width="11.5546875" style="13" bestFit="1" customWidth="1"/>
    <col min="36" max="259" width="9.109375" style="13"/>
    <col min="260" max="260" width="10" style="13" bestFit="1" customWidth="1"/>
    <col min="261" max="261" width="12.33203125" style="13" bestFit="1" customWidth="1"/>
    <col min="262" max="262" width="10" style="13" bestFit="1" customWidth="1"/>
    <col min="263" max="284" width="9.109375" style="13"/>
    <col min="285" max="285" width="12.109375" style="13" customWidth="1"/>
    <col min="286" max="286" width="11.6640625" style="13" customWidth="1"/>
    <col min="287" max="289" width="9.109375" style="13"/>
    <col min="290" max="290" width="12.109375" style="13" customWidth="1"/>
    <col min="291" max="291" width="11.5546875" style="13" bestFit="1" customWidth="1"/>
    <col min="292" max="515" width="9.109375" style="13"/>
    <col min="516" max="516" width="10" style="13" bestFit="1" customWidth="1"/>
    <col min="517" max="517" width="12.33203125" style="13" bestFit="1" customWidth="1"/>
    <col min="518" max="518" width="10" style="13" bestFit="1" customWidth="1"/>
    <col min="519" max="540" width="9.109375" style="13"/>
    <col min="541" max="541" width="12.109375" style="13" customWidth="1"/>
    <col min="542" max="542" width="11.6640625" style="13" customWidth="1"/>
    <col min="543" max="545" width="9.109375" style="13"/>
    <col min="546" max="546" width="12.109375" style="13" customWidth="1"/>
    <col min="547" max="547" width="11.5546875" style="13" bestFit="1" customWidth="1"/>
    <col min="548" max="771" width="9.109375" style="13"/>
    <col min="772" max="772" width="10" style="13" bestFit="1" customWidth="1"/>
    <col min="773" max="773" width="12.33203125" style="13" bestFit="1" customWidth="1"/>
    <col min="774" max="774" width="10" style="13" bestFit="1" customWidth="1"/>
    <col min="775" max="796" width="9.109375" style="13"/>
    <col min="797" max="797" width="12.109375" style="13" customWidth="1"/>
    <col min="798" max="798" width="11.6640625" style="13" customWidth="1"/>
    <col min="799" max="801" width="9.109375" style="13"/>
    <col min="802" max="802" width="12.109375" style="13" customWidth="1"/>
    <col min="803" max="803" width="11.5546875" style="13" bestFit="1" customWidth="1"/>
    <col min="804" max="1027" width="9.109375" style="13"/>
    <col min="1028" max="1028" width="10" style="13" bestFit="1" customWidth="1"/>
    <col min="1029" max="1029" width="12.33203125" style="13" bestFit="1" customWidth="1"/>
    <col min="1030" max="1030" width="10" style="13" bestFit="1" customWidth="1"/>
    <col min="1031" max="1052" width="9.109375" style="13"/>
    <col min="1053" max="1053" width="12.109375" style="13" customWidth="1"/>
    <col min="1054" max="1054" width="11.6640625" style="13" customWidth="1"/>
    <col min="1055" max="1057" width="9.109375" style="13"/>
    <col min="1058" max="1058" width="12.109375" style="13" customWidth="1"/>
    <col min="1059" max="1059" width="11.5546875" style="13" bestFit="1" customWidth="1"/>
    <col min="1060" max="1283" width="9.109375" style="13"/>
    <col min="1284" max="1284" width="10" style="13" bestFit="1" customWidth="1"/>
    <col min="1285" max="1285" width="12.33203125" style="13" bestFit="1" customWidth="1"/>
    <col min="1286" max="1286" width="10" style="13" bestFit="1" customWidth="1"/>
    <col min="1287" max="1308" width="9.109375" style="13"/>
    <col min="1309" max="1309" width="12.109375" style="13" customWidth="1"/>
    <col min="1310" max="1310" width="11.6640625" style="13" customWidth="1"/>
    <col min="1311" max="1313" width="9.109375" style="13"/>
    <col min="1314" max="1314" width="12.109375" style="13" customWidth="1"/>
    <col min="1315" max="1315" width="11.5546875" style="13" bestFit="1" customWidth="1"/>
    <col min="1316" max="1539" width="9.109375" style="13"/>
    <col min="1540" max="1540" width="10" style="13" bestFit="1" customWidth="1"/>
    <col min="1541" max="1541" width="12.33203125" style="13" bestFit="1" customWidth="1"/>
    <col min="1542" max="1542" width="10" style="13" bestFit="1" customWidth="1"/>
    <col min="1543" max="1564" width="9.109375" style="13"/>
    <col min="1565" max="1565" width="12.109375" style="13" customWidth="1"/>
    <col min="1566" max="1566" width="11.6640625" style="13" customWidth="1"/>
    <col min="1567" max="1569" width="9.109375" style="13"/>
    <col min="1570" max="1570" width="12.109375" style="13" customWidth="1"/>
    <col min="1571" max="1571" width="11.5546875" style="13" bestFit="1" customWidth="1"/>
    <col min="1572" max="1795" width="9.109375" style="13"/>
    <col min="1796" max="1796" width="10" style="13" bestFit="1" customWidth="1"/>
    <col min="1797" max="1797" width="12.33203125" style="13" bestFit="1" customWidth="1"/>
    <col min="1798" max="1798" width="10" style="13" bestFit="1" customWidth="1"/>
    <col min="1799" max="1820" width="9.109375" style="13"/>
    <col min="1821" max="1821" width="12.109375" style="13" customWidth="1"/>
    <col min="1822" max="1822" width="11.6640625" style="13" customWidth="1"/>
    <col min="1823" max="1825" width="9.109375" style="13"/>
    <col min="1826" max="1826" width="12.109375" style="13" customWidth="1"/>
    <col min="1827" max="1827" width="11.5546875" style="13" bestFit="1" customWidth="1"/>
    <col min="1828" max="2051" width="9.109375" style="13"/>
    <col min="2052" max="2052" width="10" style="13" bestFit="1" customWidth="1"/>
    <col min="2053" max="2053" width="12.33203125" style="13" bestFit="1" customWidth="1"/>
    <col min="2054" max="2054" width="10" style="13" bestFit="1" customWidth="1"/>
    <col min="2055" max="2076" width="9.109375" style="13"/>
    <col min="2077" max="2077" width="12.109375" style="13" customWidth="1"/>
    <col min="2078" max="2078" width="11.6640625" style="13" customWidth="1"/>
    <col min="2079" max="2081" width="9.109375" style="13"/>
    <col min="2082" max="2082" width="12.109375" style="13" customWidth="1"/>
    <col min="2083" max="2083" width="11.5546875" style="13" bestFit="1" customWidth="1"/>
    <col min="2084" max="2307" width="9.109375" style="13"/>
    <col min="2308" max="2308" width="10" style="13" bestFit="1" customWidth="1"/>
    <col min="2309" max="2309" width="12.33203125" style="13" bestFit="1" customWidth="1"/>
    <col min="2310" max="2310" width="10" style="13" bestFit="1" customWidth="1"/>
    <col min="2311" max="2332" width="9.109375" style="13"/>
    <col min="2333" max="2333" width="12.109375" style="13" customWidth="1"/>
    <col min="2334" max="2334" width="11.6640625" style="13" customWidth="1"/>
    <col min="2335" max="2337" width="9.109375" style="13"/>
    <col min="2338" max="2338" width="12.109375" style="13" customWidth="1"/>
    <col min="2339" max="2339" width="11.5546875" style="13" bestFit="1" customWidth="1"/>
    <col min="2340" max="2563" width="9.109375" style="13"/>
    <col min="2564" max="2564" width="10" style="13" bestFit="1" customWidth="1"/>
    <col min="2565" max="2565" width="12.33203125" style="13" bestFit="1" customWidth="1"/>
    <col min="2566" max="2566" width="10" style="13" bestFit="1" customWidth="1"/>
    <col min="2567" max="2588" width="9.109375" style="13"/>
    <col min="2589" max="2589" width="12.109375" style="13" customWidth="1"/>
    <col min="2590" max="2590" width="11.6640625" style="13" customWidth="1"/>
    <col min="2591" max="2593" width="9.109375" style="13"/>
    <col min="2594" max="2594" width="12.109375" style="13" customWidth="1"/>
    <col min="2595" max="2595" width="11.5546875" style="13" bestFit="1" customWidth="1"/>
    <col min="2596" max="2819" width="9.109375" style="13"/>
    <col min="2820" max="2820" width="10" style="13" bestFit="1" customWidth="1"/>
    <col min="2821" max="2821" width="12.33203125" style="13" bestFit="1" customWidth="1"/>
    <col min="2822" max="2822" width="10" style="13" bestFit="1" customWidth="1"/>
    <col min="2823" max="2844" width="9.109375" style="13"/>
    <col min="2845" max="2845" width="12.109375" style="13" customWidth="1"/>
    <col min="2846" max="2846" width="11.6640625" style="13" customWidth="1"/>
    <col min="2847" max="2849" width="9.109375" style="13"/>
    <col min="2850" max="2850" width="12.109375" style="13" customWidth="1"/>
    <col min="2851" max="2851" width="11.5546875" style="13" bestFit="1" customWidth="1"/>
    <col min="2852" max="3075" width="9.109375" style="13"/>
    <col min="3076" max="3076" width="10" style="13" bestFit="1" customWidth="1"/>
    <col min="3077" max="3077" width="12.33203125" style="13" bestFit="1" customWidth="1"/>
    <col min="3078" max="3078" width="10" style="13" bestFit="1" customWidth="1"/>
    <col min="3079" max="3100" width="9.109375" style="13"/>
    <col min="3101" max="3101" width="12.109375" style="13" customWidth="1"/>
    <col min="3102" max="3102" width="11.6640625" style="13" customWidth="1"/>
    <col min="3103" max="3105" width="9.109375" style="13"/>
    <col min="3106" max="3106" width="12.109375" style="13" customWidth="1"/>
    <col min="3107" max="3107" width="11.5546875" style="13" bestFit="1" customWidth="1"/>
    <col min="3108" max="3331" width="9.109375" style="13"/>
    <col min="3332" max="3332" width="10" style="13" bestFit="1" customWidth="1"/>
    <col min="3333" max="3333" width="12.33203125" style="13" bestFit="1" customWidth="1"/>
    <col min="3334" max="3334" width="10" style="13" bestFit="1" customWidth="1"/>
    <col min="3335" max="3356" width="9.109375" style="13"/>
    <col min="3357" max="3357" width="12.109375" style="13" customWidth="1"/>
    <col min="3358" max="3358" width="11.6640625" style="13" customWidth="1"/>
    <col min="3359" max="3361" width="9.109375" style="13"/>
    <col min="3362" max="3362" width="12.109375" style="13" customWidth="1"/>
    <col min="3363" max="3363" width="11.5546875" style="13" bestFit="1" customWidth="1"/>
    <col min="3364" max="3587" width="9.109375" style="13"/>
    <col min="3588" max="3588" width="10" style="13" bestFit="1" customWidth="1"/>
    <col min="3589" max="3589" width="12.33203125" style="13" bestFit="1" customWidth="1"/>
    <col min="3590" max="3590" width="10" style="13" bestFit="1" customWidth="1"/>
    <col min="3591" max="3612" width="9.109375" style="13"/>
    <col min="3613" max="3613" width="12.109375" style="13" customWidth="1"/>
    <col min="3614" max="3614" width="11.6640625" style="13" customWidth="1"/>
    <col min="3615" max="3617" width="9.109375" style="13"/>
    <col min="3618" max="3618" width="12.109375" style="13" customWidth="1"/>
    <col min="3619" max="3619" width="11.5546875" style="13" bestFit="1" customWidth="1"/>
    <col min="3620" max="3843" width="9.109375" style="13"/>
    <col min="3844" max="3844" width="10" style="13" bestFit="1" customWidth="1"/>
    <col min="3845" max="3845" width="12.33203125" style="13" bestFit="1" customWidth="1"/>
    <col min="3846" max="3846" width="10" style="13" bestFit="1" customWidth="1"/>
    <col min="3847" max="3868" width="9.109375" style="13"/>
    <col min="3869" max="3869" width="12.109375" style="13" customWidth="1"/>
    <col min="3870" max="3870" width="11.6640625" style="13" customWidth="1"/>
    <col min="3871" max="3873" width="9.109375" style="13"/>
    <col min="3874" max="3874" width="12.109375" style="13" customWidth="1"/>
    <col min="3875" max="3875" width="11.5546875" style="13" bestFit="1" customWidth="1"/>
    <col min="3876" max="4099" width="9.109375" style="13"/>
    <col min="4100" max="4100" width="10" style="13" bestFit="1" customWidth="1"/>
    <col min="4101" max="4101" width="12.33203125" style="13" bestFit="1" customWidth="1"/>
    <col min="4102" max="4102" width="10" style="13" bestFit="1" customWidth="1"/>
    <col min="4103" max="4124" width="9.109375" style="13"/>
    <col min="4125" max="4125" width="12.109375" style="13" customWidth="1"/>
    <col min="4126" max="4126" width="11.6640625" style="13" customWidth="1"/>
    <col min="4127" max="4129" width="9.109375" style="13"/>
    <col min="4130" max="4130" width="12.109375" style="13" customWidth="1"/>
    <col min="4131" max="4131" width="11.5546875" style="13" bestFit="1" customWidth="1"/>
    <col min="4132" max="4355" width="9.109375" style="13"/>
    <col min="4356" max="4356" width="10" style="13" bestFit="1" customWidth="1"/>
    <col min="4357" max="4357" width="12.33203125" style="13" bestFit="1" customWidth="1"/>
    <col min="4358" max="4358" width="10" style="13" bestFit="1" customWidth="1"/>
    <col min="4359" max="4380" width="9.109375" style="13"/>
    <col min="4381" max="4381" width="12.109375" style="13" customWidth="1"/>
    <col min="4382" max="4382" width="11.6640625" style="13" customWidth="1"/>
    <col min="4383" max="4385" width="9.109375" style="13"/>
    <col min="4386" max="4386" width="12.109375" style="13" customWidth="1"/>
    <col min="4387" max="4387" width="11.5546875" style="13" bestFit="1" customWidth="1"/>
    <col min="4388" max="4611" width="9.109375" style="13"/>
    <col min="4612" max="4612" width="10" style="13" bestFit="1" customWidth="1"/>
    <col min="4613" max="4613" width="12.33203125" style="13" bestFit="1" customWidth="1"/>
    <col min="4614" max="4614" width="10" style="13" bestFit="1" customWidth="1"/>
    <col min="4615" max="4636" width="9.109375" style="13"/>
    <col min="4637" max="4637" width="12.109375" style="13" customWidth="1"/>
    <col min="4638" max="4638" width="11.6640625" style="13" customWidth="1"/>
    <col min="4639" max="4641" width="9.109375" style="13"/>
    <col min="4642" max="4642" width="12.109375" style="13" customWidth="1"/>
    <col min="4643" max="4643" width="11.5546875" style="13" bestFit="1" customWidth="1"/>
    <col min="4644" max="4867" width="9.109375" style="13"/>
    <col min="4868" max="4868" width="10" style="13" bestFit="1" customWidth="1"/>
    <col min="4869" max="4869" width="12.33203125" style="13" bestFit="1" customWidth="1"/>
    <col min="4870" max="4870" width="10" style="13" bestFit="1" customWidth="1"/>
    <col min="4871" max="4892" width="9.109375" style="13"/>
    <col min="4893" max="4893" width="12.109375" style="13" customWidth="1"/>
    <col min="4894" max="4894" width="11.6640625" style="13" customWidth="1"/>
    <col min="4895" max="4897" width="9.109375" style="13"/>
    <col min="4898" max="4898" width="12.109375" style="13" customWidth="1"/>
    <col min="4899" max="4899" width="11.5546875" style="13" bestFit="1" customWidth="1"/>
    <col min="4900" max="5123" width="9.109375" style="13"/>
    <col min="5124" max="5124" width="10" style="13" bestFit="1" customWidth="1"/>
    <col min="5125" max="5125" width="12.33203125" style="13" bestFit="1" customWidth="1"/>
    <col min="5126" max="5126" width="10" style="13" bestFit="1" customWidth="1"/>
    <col min="5127" max="5148" width="9.109375" style="13"/>
    <col min="5149" max="5149" width="12.109375" style="13" customWidth="1"/>
    <col min="5150" max="5150" width="11.6640625" style="13" customWidth="1"/>
    <col min="5151" max="5153" width="9.109375" style="13"/>
    <col min="5154" max="5154" width="12.109375" style="13" customWidth="1"/>
    <col min="5155" max="5155" width="11.5546875" style="13" bestFit="1" customWidth="1"/>
    <col min="5156" max="5379" width="9.109375" style="13"/>
    <col min="5380" max="5380" width="10" style="13" bestFit="1" customWidth="1"/>
    <col min="5381" max="5381" width="12.33203125" style="13" bestFit="1" customWidth="1"/>
    <col min="5382" max="5382" width="10" style="13" bestFit="1" customWidth="1"/>
    <col min="5383" max="5404" width="9.109375" style="13"/>
    <col min="5405" max="5405" width="12.109375" style="13" customWidth="1"/>
    <col min="5406" max="5406" width="11.6640625" style="13" customWidth="1"/>
    <col min="5407" max="5409" width="9.109375" style="13"/>
    <col min="5410" max="5410" width="12.109375" style="13" customWidth="1"/>
    <col min="5411" max="5411" width="11.5546875" style="13" bestFit="1" customWidth="1"/>
    <col min="5412" max="5635" width="9.109375" style="13"/>
    <col min="5636" max="5636" width="10" style="13" bestFit="1" customWidth="1"/>
    <col min="5637" max="5637" width="12.33203125" style="13" bestFit="1" customWidth="1"/>
    <col min="5638" max="5638" width="10" style="13" bestFit="1" customWidth="1"/>
    <col min="5639" max="5660" width="9.109375" style="13"/>
    <col min="5661" max="5661" width="12.109375" style="13" customWidth="1"/>
    <col min="5662" max="5662" width="11.6640625" style="13" customWidth="1"/>
    <col min="5663" max="5665" width="9.109375" style="13"/>
    <col min="5666" max="5666" width="12.109375" style="13" customWidth="1"/>
    <col min="5667" max="5667" width="11.5546875" style="13" bestFit="1" customWidth="1"/>
    <col min="5668" max="5891" width="9.109375" style="13"/>
    <col min="5892" max="5892" width="10" style="13" bestFit="1" customWidth="1"/>
    <col min="5893" max="5893" width="12.33203125" style="13" bestFit="1" customWidth="1"/>
    <col min="5894" max="5894" width="10" style="13" bestFit="1" customWidth="1"/>
    <col min="5895" max="5916" width="9.109375" style="13"/>
    <col min="5917" max="5917" width="12.109375" style="13" customWidth="1"/>
    <col min="5918" max="5918" width="11.6640625" style="13" customWidth="1"/>
    <col min="5919" max="5921" width="9.109375" style="13"/>
    <col min="5922" max="5922" width="12.109375" style="13" customWidth="1"/>
    <col min="5923" max="5923" width="11.5546875" style="13" bestFit="1" customWidth="1"/>
    <col min="5924" max="6147" width="9.109375" style="13"/>
    <col min="6148" max="6148" width="10" style="13" bestFit="1" customWidth="1"/>
    <col min="6149" max="6149" width="12.33203125" style="13" bestFit="1" customWidth="1"/>
    <col min="6150" max="6150" width="10" style="13" bestFit="1" customWidth="1"/>
    <col min="6151" max="6172" width="9.109375" style="13"/>
    <col min="6173" max="6173" width="12.109375" style="13" customWidth="1"/>
    <col min="6174" max="6174" width="11.6640625" style="13" customWidth="1"/>
    <col min="6175" max="6177" width="9.109375" style="13"/>
    <col min="6178" max="6178" width="12.109375" style="13" customWidth="1"/>
    <col min="6179" max="6179" width="11.5546875" style="13" bestFit="1" customWidth="1"/>
    <col min="6180" max="6403" width="9.109375" style="13"/>
    <col min="6404" max="6404" width="10" style="13" bestFit="1" customWidth="1"/>
    <col min="6405" max="6405" width="12.33203125" style="13" bestFit="1" customWidth="1"/>
    <col min="6406" max="6406" width="10" style="13" bestFit="1" customWidth="1"/>
    <col min="6407" max="6428" width="9.109375" style="13"/>
    <col min="6429" max="6429" width="12.109375" style="13" customWidth="1"/>
    <col min="6430" max="6430" width="11.6640625" style="13" customWidth="1"/>
    <col min="6431" max="6433" width="9.109375" style="13"/>
    <col min="6434" max="6434" width="12.109375" style="13" customWidth="1"/>
    <col min="6435" max="6435" width="11.5546875" style="13" bestFit="1" customWidth="1"/>
    <col min="6436" max="6659" width="9.109375" style="13"/>
    <col min="6660" max="6660" width="10" style="13" bestFit="1" customWidth="1"/>
    <col min="6661" max="6661" width="12.33203125" style="13" bestFit="1" customWidth="1"/>
    <col min="6662" max="6662" width="10" style="13" bestFit="1" customWidth="1"/>
    <col min="6663" max="6684" width="9.109375" style="13"/>
    <col min="6685" max="6685" width="12.109375" style="13" customWidth="1"/>
    <col min="6686" max="6686" width="11.6640625" style="13" customWidth="1"/>
    <col min="6687" max="6689" width="9.109375" style="13"/>
    <col min="6690" max="6690" width="12.109375" style="13" customWidth="1"/>
    <col min="6691" max="6691" width="11.5546875" style="13" bestFit="1" customWidth="1"/>
    <col min="6692" max="6915" width="9.109375" style="13"/>
    <col min="6916" max="6916" width="10" style="13" bestFit="1" customWidth="1"/>
    <col min="6917" max="6917" width="12.33203125" style="13" bestFit="1" customWidth="1"/>
    <col min="6918" max="6918" width="10" style="13" bestFit="1" customWidth="1"/>
    <col min="6919" max="6940" width="9.109375" style="13"/>
    <col min="6941" max="6941" width="12.109375" style="13" customWidth="1"/>
    <col min="6942" max="6942" width="11.6640625" style="13" customWidth="1"/>
    <col min="6943" max="6945" width="9.109375" style="13"/>
    <col min="6946" max="6946" width="12.109375" style="13" customWidth="1"/>
    <col min="6947" max="6947" width="11.5546875" style="13" bestFit="1" customWidth="1"/>
    <col min="6948" max="7171" width="9.109375" style="13"/>
    <col min="7172" max="7172" width="10" style="13" bestFit="1" customWidth="1"/>
    <col min="7173" max="7173" width="12.33203125" style="13" bestFit="1" customWidth="1"/>
    <col min="7174" max="7174" width="10" style="13" bestFit="1" customWidth="1"/>
    <col min="7175" max="7196" width="9.109375" style="13"/>
    <col min="7197" max="7197" width="12.109375" style="13" customWidth="1"/>
    <col min="7198" max="7198" width="11.6640625" style="13" customWidth="1"/>
    <col min="7199" max="7201" width="9.109375" style="13"/>
    <col min="7202" max="7202" width="12.109375" style="13" customWidth="1"/>
    <col min="7203" max="7203" width="11.5546875" style="13" bestFit="1" customWidth="1"/>
    <col min="7204" max="7427" width="9.109375" style="13"/>
    <col min="7428" max="7428" width="10" style="13" bestFit="1" customWidth="1"/>
    <col min="7429" max="7429" width="12.33203125" style="13" bestFit="1" customWidth="1"/>
    <col min="7430" max="7430" width="10" style="13" bestFit="1" customWidth="1"/>
    <col min="7431" max="7452" width="9.109375" style="13"/>
    <col min="7453" max="7453" width="12.109375" style="13" customWidth="1"/>
    <col min="7454" max="7454" width="11.6640625" style="13" customWidth="1"/>
    <col min="7455" max="7457" width="9.109375" style="13"/>
    <col min="7458" max="7458" width="12.109375" style="13" customWidth="1"/>
    <col min="7459" max="7459" width="11.5546875" style="13" bestFit="1" customWidth="1"/>
    <col min="7460" max="7683" width="9.109375" style="13"/>
    <col min="7684" max="7684" width="10" style="13" bestFit="1" customWidth="1"/>
    <col min="7685" max="7685" width="12.33203125" style="13" bestFit="1" customWidth="1"/>
    <col min="7686" max="7686" width="10" style="13" bestFit="1" customWidth="1"/>
    <col min="7687" max="7708" width="9.109375" style="13"/>
    <col min="7709" max="7709" width="12.109375" style="13" customWidth="1"/>
    <col min="7710" max="7710" width="11.6640625" style="13" customWidth="1"/>
    <col min="7711" max="7713" width="9.109375" style="13"/>
    <col min="7714" max="7714" width="12.109375" style="13" customWidth="1"/>
    <col min="7715" max="7715" width="11.5546875" style="13" bestFit="1" customWidth="1"/>
    <col min="7716" max="7939" width="9.109375" style="13"/>
    <col min="7940" max="7940" width="10" style="13" bestFit="1" customWidth="1"/>
    <col min="7941" max="7941" width="12.33203125" style="13" bestFit="1" customWidth="1"/>
    <col min="7942" max="7942" width="10" style="13" bestFit="1" customWidth="1"/>
    <col min="7943" max="7964" width="9.109375" style="13"/>
    <col min="7965" max="7965" width="12.109375" style="13" customWidth="1"/>
    <col min="7966" max="7966" width="11.6640625" style="13" customWidth="1"/>
    <col min="7967" max="7969" width="9.109375" style="13"/>
    <col min="7970" max="7970" width="12.109375" style="13" customWidth="1"/>
    <col min="7971" max="7971" width="11.5546875" style="13" bestFit="1" customWidth="1"/>
    <col min="7972" max="8195" width="9.109375" style="13"/>
    <col min="8196" max="8196" width="10" style="13" bestFit="1" customWidth="1"/>
    <col min="8197" max="8197" width="12.33203125" style="13" bestFit="1" customWidth="1"/>
    <col min="8198" max="8198" width="10" style="13" bestFit="1" customWidth="1"/>
    <col min="8199" max="8220" width="9.109375" style="13"/>
    <col min="8221" max="8221" width="12.109375" style="13" customWidth="1"/>
    <col min="8222" max="8222" width="11.6640625" style="13" customWidth="1"/>
    <col min="8223" max="8225" width="9.109375" style="13"/>
    <col min="8226" max="8226" width="12.109375" style="13" customWidth="1"/>
    <col min="8227" max="8227" width="11.5546875" style="13" bestFit="1" customWidth="1"/>
    <col min="8228" max="8451" width="9.109375" style="13"/>
    <col min="8452" max="8452" width="10" style="13" bestFit="1" customWidth="1"/>
    <col min="8453" max="8453" width="12.33203125" style="13" bestFit="1" customWidth="1"/>
    <col min="8454" max="8454" width="10" style="13" bestFit="1" customWidth="1"/>
    <col min="8455" max="8476" width="9.109375" style="13"/>
    <col min="8477" max="8477" width="12.109375" style="13" customWidth="1"/>
    <col min="8478" max="8478" width="11.6640625" style="13" customWidth="1"/>
    <col min="8479" max="8481" width="9.109375" style="13"/>
    <col min="8482" max="8482" width="12.109375" style="13" customWidth="1"/>
    <col min="8483" max="8483" width="11.5546875" style="13" bestFit="1" customWidth="1"/>
    <col min="8484" max="8707" width="9.109375" style="13"/>
    <col min="8708" max="8708" width="10" style="13" bestFit="1" customWidth="1"/>
    <col min="8709" max="8709" width="12.33203125" style="13" bestFit="1" customWidth="1"/>
    <col min="8710" max="8710" width="10" style="13" bestFit="1" customWidth="1"/>
    <col min="8711" max="8732" width="9.109375" style="13"/>
    <col min="8733" max="8733" width="12.109375" style="13" customWidth="1"/>
    <col min="8734" max="8734" width="11.6640625" style="13" customWidth="1"/>
    <col min="8735" max="8737" width="9.109375" style="13"/>
    <col min="8738" max="8738" width="12.109375" style="13" customWidth="1"/>
    <col min="8739" max="8739" width="11.5546875" style="13" bestFit="1" customWidth="1"/>
    <col min="8740" max="8963" width="9.109375" style="13"/>
    <col min="8964" max="8964" width="10" style="13" bestFit="1" customWidth="1"/>
    <col min="8965" max="8965" width="12.33203125" style="13" bestFit="1" customWidth="1"/>
    <col min="8966" max="8966" width="10" style="13" bestFit="1" customWidth="1"/>
    <col min="8967" max="8988" width="9.109375" style="13"/>
    <col min="8989" max="8989" width="12.109375" style="13" customWidth="1"/>
    <col min="8990" max="8990" width="11.6640625" style="13" customWidth="1"/>
    <col min="8991" max="8993" width="9.109375" style="13"/>
    <col min="8994" max="8994" width="12.109375" style="13" customWidth="1"/>
    <col min="8995" max="8995" width="11.5546875" style="13" bestFit="1" customWidth="1"/>
    <col min="8996" max="9219" width="9.109375" style="13"/>
    <col min="9220" max="9220" width="10" style="13" bestFit="1" customWidth="1"/>
    <col min="9221" max="9221" width="12.33203125" style="13" bestFit="1" customWidth="1"/>
    <col min="9222" max="9222" width="10" style="13" bestFit="1" customWidth="1"/>
    <col min="9223" max="9244" width="9.109375" style="13"/>
    <col min="9245" max="9245" width="12.109375" style="13" customWidth="1"/>
    <col min="9246" max="9246" width="11.6640625" style="13" customWidth="1"/>
    <col min="9247" max="9249" width="9.109375" style="13"/>
    <col min="9250" max="9250" width="12.109375" style="13" customWidth="1"/>
    <col min="9251" max="9251" width="11.5546875" style="13" bestFit="1" customWidth="1"/>
    <col min="9252" max="9475" width="9.109375" style="13"/>
    <col min="9476" max="9476" width="10" style="13" bestFit="1" customWidth="1"/>
    <col min="9477" max="9477" width="12.33203125" style="13" bestFit="1" customWidth="1"/>
    <col min="9478" max="9478" width="10" style="13" bestFit="1" customWidth="1"/>
    <col min="9479" max="9500" width="9.109375" style="13"/>
    <col min="9501" max="9501" width="12.109375" style="13" customWidth="1"/>
    <col min="9502" max="9502" width="11.6640625" style="13" customWidth="1"/>
    <col min="9503" max="9505" width="9.109375" style="13"/>
    <col min="9506" max="9506" width="12.109375" style="13" customWidth="1"/>
    <col min="9507" max="9507" width="11.5546875" style="13" bestFit="1" customWidth="1"/>
    <col min="9508" max="9731" width="9.109375" style="13"/>
    <col min="9732" max="9732" width="10" style="13" bestFit="1" customWidth="1"/>
    <col min="9733" max="9733" width="12.33203125" style="13" bestFit="1" customWidth="1"/>
    <col min="9734" max="9734" width="10" style="13" bestFit="1" customWidth="1"/>
    <col min="9735" max="9756" width="9.109375" style="13"/>
    <col min="9757" max="9757" width="12.109375" style="13" customWidth="1"/>
    <col min="9758" max="9758" width="11.6640625" style="13" customWidth="1"/>
    <col min="9759" max="9761" width="9.109375" style="13"/>
    <col min="9762" max="9762" width="12.109375" style="13" customWidth="1"/>
    <col min="9763" max="9763" width="11.5546875" style="13" bestFit="1" customWidth="1"/>
    <col min="9764" max="9987" width="9.109375" style="13"/>
    <col min="9988" max="9988" width="10" style="13" bestFit="1" customWidth="1"/>
    <col min="9989" max="9989" width="12.33203125" style="13" bestFit="1" customWidth="1"/>
    <col min="9990" max="9990" width="10" style="13" bestFit="1" customWidth="1"/>
    <col min="9991" max="10012" width="9.109375" style="13"/>
    <col min="10013" max="10013" width="12.109375" style="13" customWidth="1"/>
    <col min="10014" max="10014" width="11.6640625" style="13" customWidth="1"/>
    <col min="10015" max="10017" width="9.109375" style="13"/>
    <col min="10018" max="10018" width="12.109375" style="13" customWidth="1"/>
    <col min="10019" max="10019" width="11.5546875" style="13" bestFit="1" customWidth="1"/>
    <col min="10020" max="10243" width="9.109375" style="13"/>
    <col min="10244" max="10244" width="10" style="13" bestFit="1" customWidth="1"/>
    <col min="10245" max="10245" width="12.33203125" style="13" bestFit="1" customWidth="1"/>
    <col min="10246" max="10246" width="10" style="13" bestFit="1" customWidth="1"/>
    <col min="10247" max="10268" width="9.109375" style="13"/>
    <col min="10269" max="10269" width="12.109375" style="13" customWidth="1"/>
    <col min="10270" max="10270" width="11.6640625" style="13" customWidth="1"/>
    <col min="10271" max="10273" width="9.109375" style="13"/>
    <col min="10274" max="10274" width="12.109375" style="13" customWidth="1"/>
    <col min="10275" max="10275" width="11.5546875" style="13" bestFit="1" customWidth="1"/>
    <col min="10276" max="10499" width="9.109375" style="13"/>
    <col min="10500" max="10500" width="10" style="13" bestFit="1" customWidth="1"/>
    <col min="10501" max="10501" width="12.33203125" style="13" bestFit="1" customWidth="1"/>
    <col min="10502" max="10502" width="10" style="13" bestFit="1" customWidth="1"/>
    <col min="10503" max="10524" width="9.109375" style="13"/>
    <col min="10525" max="10525" width="12.109375" style="13" customWidth="1"/>
    <col min="10526" max="10526" width="11.6640625" style="13" customWidth="1"/>
    <col min="10527" max="10529" width="9.109375" style="13"/>
    <col min="10530" max="10530" width="12.109375" style="13" customWidth="1"/>
    <col min="10531" max="10531" width="11.5546875" style="13" bestFit="1" customWidth="1"/>
    <col min="10532" max="10755" width="9.109375" style="13"/>
    <col min="10756" max="10756" width="10" style="13" bestFit="1" customWidth="1"/>
    <col min="10757" max="10757" width="12.33203125" style="13" bestFit="1" customWidth="1"/>
    <col min="10758" max="10758" width="10" style="13" bestFit="1" customWidth="1"/>
    <col min="10759" max="10780" width="9.109375" style="13"/>
    <col min="10781" max="10781" width="12.109375" style="13" customWidth="1"/>
    <col min="10782" max="10782" width="11.6640625" style="13" customWidth="1"/>
    <col min="10783" max="10785" width="9.109375" style="13"/>
    <col min="10786" max="10786" width="12.109375" style="13" customWidth="1"/>
    <col min="10787" max="10787" width="11.5546875" style="13" bestFit="1" customWidth="1"/>
    <col min="10788" max="11011" width="9.109375" style="13"/>
    <col min="11012" max="11012" width="10" style="13" bestFit="1" customWidth="1"/>
    <col min="11013" max="11013" width="12.33203125" style="13" bestFit="1" customWidth="1"/>
    <col min="11014" max="11014" width="10" style="13" bestFit="1" customWidth="1"/>
    <col min="11015" max="11036" width="9.109375" style="13"/>
    <col min="11037" max="11037" width="12.109375" style="13" customWidth="1"/>
    <col min="11038" max="11038" width="11.6640625" style="13" customWidth="1"/>
    <col min="11039" max="11041" width="9.109375" style="13"/>
    <col min="11042" max="11042" width="12.109375" style="13" customWidth="1"/>
    <col min="11043" max="11043" width="11.5546875" style="13" bestFit="1" customWidth="1"/>
    <col min="11044" max="11267" width="9.109375" style="13"/>
    <col min="11268" max="11268" width="10" style="13" bestFit="1" customWidth="1"/>
    <col min="11269" max="11269" width="12.33203125" style="13" bestFit="1" customWidth="1"/>
    <col min="11270" max="11270" width="10" style="13" bestFit="1" customWidth="1"/>
    <col min="11271" max="11292" width="9.109375" style="13"/>
    <col min="11293" max="11293" width="12.109375" style="13" customWidth="1"/>
    <col min="11294" max="11294" width="11.6640625" style="13" customWidth="1"/>
    <col min="11295" max="11297" width="9.109375" style="13"/>
    <col min="11298" max="11298" width="12.109375" style="13" customWidth="1"/>
    <col min="11299" max="11299" width="11.5546875" style="13" bestFit="1" customWidth="1"/>
    <col min="11300" max="11523" width="9.109375" style="13"/>
    <col min="11524" max="11524" width="10" style="13" bestFit="1" customWidth="1"/>
    <col min="11525" max="11525" width="12.33203125" style="13" bestFit="1" customWidth="1"/>
    <col min="11526" max="11526" width="10" style="13" bestFit="1" customWidth="1"/>
    <col min="11527" max="11548" width="9.109375" style="13"/>
    <col min="11549" max="11549" width="12.109375" style="13" customWidth="1"/>
    <col min="11550" max="11550" width="11.6640625" style="13" customWidth="1"/>
    <col min="11551" max="11553" width="9.109375" style="13"/>
    <col min="11554" max="11554" width="12.109375" style="13" customWidth="1"/>
    <col min="11555" max="11555" width="11.5546875" style="13" bestFit="1" customWidth="1"/>
    <col min="11556" max="11779" width="9.109375" style="13"/>
    <col min="11780" max="11780" width="10" style="13" bestFit="1" customWidth="1"/>
    <col min="11781" max="11781" width="12.33203125" style="13" bestFit="1" customWidth="1"/>
    <col min="11782" max="11782" width="10" style="13" bestFit="1" customWidth="1"/>
    <col min="11783" max="11804" width="9.109375" style="13"/>
    <col min="11805" max="11805" width="12.109375" style="13" customWidth="1"/>
    <col min="11806" max="11806" width="11.6640625" style="13" customWidth="1"/>
    <col min="11807" max="11809" width="9.109375" style="13"/>
    <col min="11810" max="11810" width="12.109375" style="13" customWidth="1"/>
    <col min="11811" max="11811" width="11.5546875" style="13" bestFit="1" customWidth="1"/>
    <col min="11812" max="12035" width="9.109375" style="13"/>
    <col min="12036" max="12036" width="10" style="13" bestFit="1" customWidth="1"/>
    <col min="12037" max="12037" width="12.33203125" style="13" bestFit="1" customWidth="1"/>
    <col min="12038" max="12038" width="10" style="13" bestFit="1" customWidth="1"/>
    <col min="12039" max="12060" width="9.109375" style="13"/>
    <col min="12061" max="12061" width="12.109375" style="13" customWidth="1"/>
    <col min="12062" max="12062" width="11.6640625" style="13" customWidth="1"/>
    <col min="12063" max="12065" width="9.109375" style="13"/>
    <col min="12066" max="12066" width="12.109375" style="13" customWidth="1"/>
    <col min="12067" max="12067" width="11.5546875" style="13" bestFit="1" customWidth="1"/>
    <col min="12068" max="12291" width="9.109375" style="13"/>
    <col min="12292" max="12292" width="10" style="13" bestFit="1" customWidth="1"/>
    <col min="12293" max="12293" width="12.33203125" style="13" bestFit="1" customWidth="1"/>
    <col min="12294" max="12294" width="10" style="13" bestFit="1" customWidth="1"/>
    <col min="12295" max="12316" width="9.109375" style="13"/>
    <col min="12317" max="12317" width="12.109375" style="13" customWidth="1"/>
    <col min="12318" max="12318" width="11.6640625" style="13" customWidth="1"/>
    <col min="12319" max="12321" width="9.109375" style="13"/>
    <col min="12322" max="12322" width="12.109375" style="13" customWidth="1"/>
    <col min="12323" max="12323" width="11.5546875" style="13" bestFit="1" customWidth="1"/>
    <col min="12324" max="12547" width="9.109375" style="13"/>
    <col min="12548" max="12548" width="10" style="13" bestFit="1" customWidth="1"/>
    <col min="12549" max="12549" width="12.33203125" style="13" bestFit="1" customWidth="1"/>
    <col min="12550" max="12550" width="10" style="13" bestFit="1" customWidth="1"/>
    <col min="12551" max="12572" width="9.109375" style="13"/>
    <col min="12573" max="12573" width="12.109375" style="13" customWidth="1"/>
    <col min="12574" max="12574" width="11.6640625" style="13" customWidth="1"/>
    <col min="12575" max="12577" width="9.109375" style="13"/>
    <col min="12578" max="12578" width="12.109375" style="13" customWidth="1"/>
    <col min="12579" max="12579" width="11.5546875" style="13" bestFit="1" customWidth="1"/>
    <col min="12580" max="12803" width="9.109375" style="13"/>
    <col min="12804" max="12804" width="10" style="13" bestFit="1" customWidth="1"/>
    <col min="12805" max="12805" width="12.33203125" style="13" bestFit="1" customWidth="1"/>
    <col min="12806" max="12806" width="10" style="13" bestFit="1" customWidth="1"/>
    <col min="12807" max="12828" width="9.109375" style="13"/>
    <col min="12829" max="12829" width="12.109375" style="13" customWidth="1"/>
    <col min="12830" max="12830" width="11.6640625" style="13" customWidth="1"/>
    <col min="12831" max="12833" width="9.109375" style="13"/>
    <col min="12834" max="12834" width="12.109375" style="13" customWidth="1"/>
    <col min="12835" max="12835" width="11.5546875" style="13" bestFit="1" customWidth="1"/>
    <col min="12836" max="13059" width="9.109375" style="13"/>
    <col min="13060" max="13060" width="10" style="13" bestFit="1" customWidth="1"/>
    <col min="13061" max="13061" width="12.33203125" style="13" bestFit="1" customWidth="1"/>
    <col min="13062" max="13062" width="10" style="13" bestFit="1" customWidth="1"/>
    <col min="13063" max="13084" width="9.109375" style="13"/>
    <col min="13085" max="13085" width="12.109375" style="13" customWidth="1"/>
    <col min="13086" max="13086" width="11.6640625" style="13" customWidth="1"/>
    <col min="13087" max="13089" width="9.109375" style="13"/>
    <col min="13090" max="13090" width="12.109375" style="13" customWidth="1"/>
    <col min="13091" max="13091" width="11.5546875" style="13" bestFit="1" customWidth="1"/>
    <col min="13092" max="13315" width="9.109375" style="13"/>
    <col min="13316" max="13316" width="10" style="13" bestFit="1" customWidth="1"/>
    <col min="13317" max="13317" width="12.33203125" style="13" bestFit="1" customWidth="1"/>
    <col min="13318" max="13318" width="10" style="13" bestFit="1" customWidth="1"/>
    <col min="13319" max="13340" width="9.109375" style="13"/>
    <col min="13341" max="13341" width="12.109375" style="13" customWidth="1"/>
    <col min="13342" max="13342" width="11.6640625" style="13" customWidth="1"/>
    <col min="13343" max="13345" width="9.109375" style="13"/>
    <col min="13346" max="13346" width="12.109375" style="13" customWidth="1"/>
    <col min="13347" max="13347" width="11.5546875" style="13" bestFit="1" customWidth="1"/>
    <col min="13348" max="13571" width="9.109375" style="13"/>
    <col min="13572" max="13572" width="10" style="13" bestFit="1" customWidth="1"/>
    <col min="13573" max="13573" width="12.33203125" style="13" bestFit="1" customWidth="1"/>
    <col min="13574" max="13574" width="10" style="13" bestFit="1" customWidth="1"/>
    <col min="13575" max="13596" width="9.109375" style="13"/>
    <col min="13597" max="13597" width="12.109375" style="13" customWidth="1"/>
    <col min="13598" max="13598" width="11.6640625" style="13" customWidth="1"/>
    <col min="13599" max="13601" width="9.109375" style="13"/>
    <col min="13602" max="13602" width="12.109375" style="13" customWidth="1"/>
    <col min="13603" max="13603" width="11.5546875" style="13" bestFit="1" customWidth="1"/>
    <col min="13604" max="13827" width="9.109375" style="13"/>
    <col min="13828" max="13828" width="10" style="13" bestFit="1" customWidth="1"/>
    <col min="13829" max="13829" width="12.33203125" style="13" bestFit="1" customWidth="1"/>
    <col min="13830" max="13830" width="10" style="13" bestFit="1" customWidth="1"/>
    <col min="13831" max="13852" width="9.109375" style="13"/>
    <col min="13853" max="13853" width="12.109375" style="13" customWidth="1"/>
    <col min="13854" max="13854" width="11.6640625" style="13" customWidth="1"/>
    <col min="13855" max="13857" width="9.109375" style="13"/>
    <col min="13858" max="13858" width="12.109375" style="13" customWidth="1"/>
    <col min="13859" max="13859" width="11.5546875" style="13" bestFit="1" customWidth="1"/>
    <col min="13860" max="14083" width="9.109375" style="13"/>
    <col min="14084" max="14084" width="10" style="13" bestFit="1" customWidth="1"/>
    <col min="14085" max="14085" width="12.33203125" style="13" bestFit="1" customWidth="1"/>
    <col min="14086" max="14086" width="10" style="13" bestFit="1" customWidth="1"/>
    <col min="14087" max="14108" width="9.109375" style="13"/>
    <col min="14109" max="14109" width="12.109375" style="13" customWidth="1"/>
    <col min="14110" max="14110" width="11.6640625" style="13" customWidth="1"/>
    <col min="14111" max="14113" width="9.109375" style="13"/>
    <col min="14114" max="14114" width="12.109375" style="13" customWidth="1"/>
    <col min="14115" max="14115" width="11.5546875" style="13" bestFit="1" customWidth="1"/>
    <col min="14116" max="14339" width="9.109375" style="13"/>
    <col min="14340" max="14340" width="10" style="13" bestFit="1" customWidth="1"/>
    <col min="14341" max="14341" width="12.33203125" style="13" bestFit="1" customWidth="1"/>
    <col min="14342" max="14342" width="10" style="13" bestFit="1" customWidth="1"/>
    <col min="14343" max="14364" width="9.109375" style="13"/>
    <col min="14365" max="14365" width="12.109375" style="13" customWidth="1"/>
    <col min="14366" max="14366" width="11.6640625" style="13" customWidth="1"/>
    <col min="14367" max="14369" width="9.109375" style="13"/>
    <col min="14370" max="14370" width="12.109375" style="13" customWidth="1"/>
    <col min="14371" max="14371" width="11.5546875" style="13" bestFit="1" customWidth="1"/>
    <col min="14372" max="14595" width="9.109375" style="13"/>
    <col min="14596" max="14596" width="10" style="13" bestFit="1" customWidth="1"/>
    <col min="14597" max="14597" width="12.33203125" style="13" bestFit="1" customWidth="1"/>
    <col min="14598" max="14598" width="10" style="13" bestFit="1" customWidth="1"/>
    <col min="14599" max="14620" width="9.109375" style="13"/>
    <col min="14621" max="14621" width="12.109375" style="13" customWidth="1"/>
    <col min="14622" max="14622" width="11.6640625" style="13" customWidth="1"/>
    <col min="14623" max="14625" width="9.109375" style="13"/>
    <col min="14626" max="14626" width="12.109375" style="13" customWidth="1"/>
    <col min="14627" max="14627" width="11.5546875" style="13" bestFit="1" customWidth="1"/>
    <col min="14628" max="14851" width="9.109375" style="13"/>
    <col min="14852" max="14852" width="10" style="13" bestFit="1" customWidth="1"/>
    <col min="14853" max="14853" width="12.33203125" style="13" bestFit="1" customWidth="1"/>
    <col min="14854" max="14854" width="10" style="13" bestFit="1" customWidth="1"/>
    <col min="14855" max="14876" width="9.109375" style="13"/>
    <col min="14877" max="14877" width="12.109375" style="13" customWidth="1"/>
    <col min="14878" max="14878" width="11.6640625" style="13" customWidth="1"/>
    <col min="14879" max="14881" width="9.109375" style="13"/>
    <col min="14882" max="14882" width="12.109375" style="13" customWidth="1"/>
    <col min="14883" max="14883" width="11.5546875" style="13" bestFit="1" customWidth="1"/>
    <col min="14884" max="15107" width="9.109375" style="13"/>
    <col min="15108" max="15108" width="10" style="13" bestFit="1" customWidth="1"/>
    <col min="15109" max="15109" width="12.33203125" style="13" bestFit="1" customWidth="1"/>
    <col min="15110" max="15110" width="10" style="13" bestFit="1" customWidth="1"/>
    <col min="15111" max="15132" width="9.109375" style="13"/>
    <col min="15133" max="15133" width="12.109375" style="13" customWidth="1"/>
    <col min="15134" max="15134" width="11.6640625" style="13" customWidth="1"/>
    <col min="15135" max="15137" width="9.109375" style="13"/>
    <col min="15138" max="15138" width="12.109375" style="13" customWidth="1"/>
    <col min="15139" max="15139" width="11.5546875" style="13" bestFit="1" customWidth="1"/>
    <col min="15140" max="15363" width="9.109375" style="13"/>
    <col min="15364" max="15364" width="10" style="13" bestFit="1" customWidth="1"/>
    <col min="15365" max="15365" width="12.33203125" style="13" bestFit="1" customWidth="1"/>
    <col min="15366" max="15366" width="10" style="13" bestFit="1" customWidth="1"/>
    <col min="15367" max="15388" width="9.109375" style="13"/>
    <col min="15389" max="15389" width="12.109375" style="13" customWidth="1"/>
    <col min="15390" max="15390" width="11.6640625" style="13" customWidth="1"/>
    <col min="15391" max="15393" width="9.109375" style="13"/>
    <col min="15394" max="15394" width="12.109375" style="13" customWidth="1"/>
    <col min="15395" max="15395" width="11.5546875" style="13" bestFit="1" customWidth="1"/>
    <col min="15396" max="15619" width="9.109375" style="13"/>
    <col min="15620" max="15620" width="10" style="13" bestFit="1" customWidth="1"/>
    <col min="15621" max="15621" width="12.33203125" style="13" bestFit="1" customWidth="1"/>
    <col min="15622" max="15622" width="10" style="13" bestFit="1" customWidth="1"/>
    <col min="15623" max="15644" width="9.109375" style="13"/>
    <col min="15645" max="15645" width="12.109375" style="13" customWidth="1"/>
    <col min="15646" max="15646" width="11.6640625" style="13" customWidth="1"/>
    <col min="15647" max="15649" width="9.109375" style="13"/>
    <col min="15650" max="15650" width="12.109375" style="13" customWidth="1"/>
    <col min="15651" max="15651" width="11.5546875" style="13" bestFit="1" customWidth="1"/>
    <col min="15652" max="15875" width="9.109375" style="13"/>
    <col min="15876" max="15876" width="10" style="13" bestFit="1" customWidth="1"/>
    <col min="15877" max="15877" width="12.33203125" style="13" bestFit="1" customWidth="1"/>
    <col min="15878" max="15878" width="10" style="13" bestFit="1" customWidth="1"/>
    <col min="15879" max="15900" width="9.109375" style="13"/>
    <col min="15901" max="15901" width="12.109375" style="13" customWidth="1"/>
    <col min="15902" max="15902" width="11.6640625" style="13" customWidth="1"/>
    <col min="15903" max="15905" width="9.109375" style="13"/>
    <col min="15906" max="15906" width="12.109375" style="13" customWidth="1"/>
    <col min="15907" max="15907" width="11.5546875" style="13" bestFit="1" customWidth="1"/>
    <col min="15908" max="16131" width="9.109375" style="13"/>
    <col min="16132" max="16132" width="10" style="13" bestFit="1" customWidth="1"/>
    <col min="16133" max="16133" width="12.33203125" style="13" bestFit="1" customWidth="1"/>
    <col min="16134" max="16134" width="10" style="13" bestFit="1" customWidth="1"/>
    <col min="16135" max="16156" width="9.109375" style="13"/>
    <col min="16157" max="16157" width="12.109375" style="13" customWidth="1"/>
    <col min="16158" max="16158" width="11.6640625" style="13" customWidth="1"/>
    <col min="16159" max="16161" width="9.109375" style="13"/>
    <col min="16162" max="16162" width="12.109375" style="13" customWidth="1"/>
    <col min="16163" max="16163" width="11.5546875" style="13" bestFit="1" customWidth="1"/>
    <col min="16164" max="16384" width="9.109375" style="13"/>
  </cols>
  <sheetData>
    <row r="2" spans="2:37" s="9" customFormat="1"/>
    <row r="4" spans="2:37">
      <c r="B4" s="9" t="s">
        <v>12</v>
      </c>
    </row>
    <row r="5" spans="2:37">
      <c r="B5" s="9" t="s">
        <v>13</v>
      </c>
    </row>
    <row r="6" spans="2:37">
      <c r="B6" s="9" t="s">
        <v>14</v>
      </c>
    </row>
    <row r="7" spans="2:37">
      <c r="B7" s="13" t="s">
        <v>15</v>
      </c>
    </row>
    <row r="8" spans="2:37">
      <c r="B8" s="9" t="s">
        <v>16</v>
      </c>
    </row>
    <row r="9" spans="2:37">
      <c r="B9" s="9" t="s">
        <v>17</v>
      </c>
    </row>
    <row r="10" spans="2:37">
      <c r="B10" s="9" t="s">
        <v>18</v>
      </c>
    </row>
    <row r="11" spans="2:37">
      <c r="B11" s="9" t="s">
        <v>19</v>
      </c>
    </row>
    <row r="12" spans="2:37" ht="13.8" thickBot="1"/>
    <row r="13" spans="2:37" ht="33" thickBot="1">
      <c r="B13" s="178" t="s">
        <v>20</v>
      </c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79"/>
      <c r="AH13" s="179"/>
      <c r="AI13" s="179"/>
      <c r="AJ13" s="179"/>
      <c r="AK13" s="180"/>
    </row>
    <row r="14" spans="2:37" ht="13.8" thickBot="1">
      <c r="B14" s="181" t="s">
        <v>21</v>
      </c>
      <c r="C14" s="184" t="s">
        <v>22</v>
      </c>
      <c r="D14" s="187" t="s">
        <v>23</v>
      </c>
      <c r="E14" s="187" t="s">
        <v>24</v>
      </c>
      <c r="F14" s="187" t="s">
        <v>24</v>
      </c>
      <c r="G14" s="174" t="s">
        <v>25</v>
      </c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6"/>
      <c r="AE14" s="190" t="s">
        <v>26</v>
      </c>
      <c r="AF14" s="191"/>
      <c r="AG14" s="192"/>
      <c r="AH14" s="196" t="s">
        <v>27</v>
      </c>
      <c r="AI14" s="199" t="s">
        <v>28</v>
      </c>
      <c r="AJ14" s="169" t="s">
        <v>29</v>
      </c>
      <c r="AK14" s="172" t="s">
        <v>30</v>
      </c>
    </row>
    <row r="15" spans="2:37" ht="13.8" thickBot="1">
      <c r="B15" s="182"/>
      <c r="C15" s="185"/>
      <c r="D15" s="188"/>
      <c r="E15" s="188"/>
      <c r="F15" s="188"/>
      <c r="G15" s="174" t="s">
        <v>31</v>
      </c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6"/>
      <c r="V15" s="176" t="s">
        <v>32</v>
      </c>
      <c r="W15" s="177"/>
      <c r="X15" s="177"/>
      <c r="Y15" s="177"/>
      <c r="Z15" s="177"/>
      <c r="AA15" s="177"/>
      <c r="AB15" s="177"/>
      <c r="AC15" s="177"/>
      <c r="AD15" s="177"/>
      <c r="AE15" s="193"/>
      <c r="AF15" s="194"/>
      <c r="AG15" s="195"/>
      <c r="AH15" s="197"/>
      <c r="AI15" s="200"/>
      <c r="AJ15" s="170"/>
      <c r="AK15" s="173"/>
    </row>
    <row r="16" spans="2:37" ht="27" thickBot="1">
      <c r="B16" s="183"/>
      <c r="C16" s="186"/>
      <c r="D16" s="189"/>
      <c r="E16" s="189"/>
      <c r="F16" s="189"/>
      <c r="G16" s="14" t="s">
        <v>33</v>
      </c>
      <c r="H16" s="15" t="s">
        <v>34</v>
      </c>
      <c r="I16" s="15" t="s">
        <v>35</v>
      </c>
      <c r="J16" s="15" t="s">
        <v>36</v>
      </c>
      <c r="K16" s="15" t="s">
        <v>37</v>
      </c>
      <c r="L16" s="15" t="s">
        <v>38</v>
      </c>
      <c r="M16" s="15" t="s">
        <v>39</v>
      </c>
      <c r="N16" s="15" t="s">
        <v>40</v>
      </c>
      <c r="O16" s="15" t="s">
        <v>41</v>
      </c>
      <c r="P16" s="15" t="s">
        <v>42</v>
      </c>
      <c r="Q16" s="15" t="s">
        <v>43</v>
      </c>
      <c r="R16" s="15" t="s">
        <v>44</v>
      </c>
      <c r="S16" s="15" t="s">
        <v>45</v>
      </c>
      <c r="T16" s="15" t="s">
        <v>46</v>
      </c>
      <c r="U16" s="16" t="s">
        <v>29</v>
      </c>
      <c r="V16" s="17" t="s">
        <v>47</v>
      </c>
      <c r="W16" s="15" t="s">
        <v>48</v>
      </c>
      <c r="X16" s="17" t="s">
        <v>49</v>
      </c>
      <c r="Y16" s="15" t="s">
        <v>50</v>
      </c>
      <c r="Z16" s="17" t="s">
        <v>51</v>
      </c>
      <c r="AA16" s="15" t="s">
        <v>52</v>
      </c>
      <c r="AB16" s="18" t="s">
        <v>53</v>
      </c>
      <c r="AC16" s="19" t="s">
        <v>54</v>
      </c>
      <c r="AD16" s="20" t="s">
        <v>55</v>
      </c>
      <c r="AE16" s="21" t="s">
        <v>56</v>
      </c>
      <c r="AF16" s="22" t="s">
        <v>57</v>
      </c>
      <c r="AG16" s="23" t="s">
        <v>58</v>
      </c>
      <c r="AH16" s="198"/>
      <c r="AI16" s="201"/>
      <c r="AJ16" s="171"/>
      <c r="AK16" s="173"/>
    </row>
    <row r="17" spans="2:37">
      <c r="B17" s="24">
        <v>1</v>
      </c>
      <c r="C17" s="25">
        <v>261793</v>
      </c>
      <c r="D17" s="26" t="s">
        <v>59</v>
      </c>
      <c r="E17" s="26" t="s">
        <v>60</v>
      </c>
      <c r="F17" s="26" t="str">
        <f>LEFT(E17,3)&amp;"…"</f>
        <v>Bob…</v>
      </c>
      <c r="G17" s="27"/>
      <c r="H17" s="25"/>
      <c r="I17" s="25">
        <v>0.2</v>
      </c>
      <c r="J17" s="25"/>
      <c r="K17" s="25"/>
      <c r="L17" s="25"/>
      <c r="M17" s="25">
        <v>0.5</v>
      </c>
      <c r="N17" s="25">
        <v>1</v>
      </c>
      <c r="O17" s="25">
        <v>0.5</v>
      </c>
      <c r="P17" s="25"/>
      <c r="Q17" s="28"/>
      <c r="R17" s="28"/>
      <c r="S17" s="28"/>
      <c r="T17" s="28"/>
      <c r="U17" s="29"/>
      <c r="V17" s="30">
        <v>1</v>
      </c>
      <c r="W17" s="28">
        <v>1</v>
      </c>
      <c r="X17" s="28">
        <v>1</v>
      </c>
      <c r="Y17" s="28"/>
      <c r="Z17" s="28">
        <v>1.5</v>
      </c>
      <c r="AA17" s="28">
        <v>1</v>
      </c>
      <c r="AB17" s="28"/>
      <c r="AC17" s="28"/>
      <c r="AD17" s="31"/>
      <c r="AE17" s="27">
        <v>12</v>
      </c>
      <c r="AF17" s="25">
        <v>5</v>
      </c>
      <c r="AG17" s="32">
        <v>12.5</v>
      </c>
      <c r="AH17" s="33" t="str">
        <f t="shared" ref="AH17:AH56" si="0">IF(AC17="TAK",U17+AD17,"")</f>
        <v/>
      </c>
      <c r="AI17" s="34"/>
      <c r="AJ17" s="35"/>
      <c r="AK17" s="36"/>
    </row>
    <row r="18" spans="2:37">
      <c r="B18" s="37">
        <v>2</v>
      </c>
      <c r="C18" s="38">
        <v>263551</v>
      </c>
      <c r="D18" s="39" t="s">
        <v>61</v>
      </c>
      <c r="E18" s="39" t="s">
        <v>62</v>
      </c>
      <c r="F18" s="39" t="str">
        <f t="shared" ref="F18:F56" si="1">LEFT(E18,3)&amp;"…"</f>
        <v>Cha…</v>
      </c>
      <c r="G18" s="40"/>
      <c r="H18" s="38"/>
      <c r="I18" s="38"/>
      <c r="J18" s="38"/>
      <c r="K18" s="38"/>
      <c r="L18" s="38"/>
      <c r="M18" s="38"/>
      <c r="N18" s="38">
        <v>1.3</v>
      </c>
      <c r="O18" s="38"/>
      <c r="P18" s="38"/>
      <c r="Q18" s="41"/>
      <c r="R18" s="41"/>
      <c r="S18" s="41"/>
      <c r="T18" s="41"/>
      <c r="U18" s="42"/>
      <c r="V18" s="43">
        <v>1</v>
      </c>
      <c r="W18" s="41">
        <v>1</v>
      </c>
      <c r="X18" s="41"/>
      <c r="Y18" s="41"/>
      <c r="Z18" s="41">
        <v>1.25</v>
      </c>
      <c r="AA18" s="41">
        <v>1.5</v>
      </c>
      <c r="AB18" s="41"/>
      <c r="AC18" s="41"/>
      <c r="AD18" s="44"/>
      <c r="AE18" s="40">
        <v>9</v>
      </c>
      <c r="AF18" s="38">
        <v>0</v>
      </c>
      <c r="AG18" s="45">
        <v>9.5</v>
      </c>
      <c r="AH18" s="40" t="str">
        <f t="shared" si="0"/>
        <v/>
      </c>
      <c r="AI18" s="38"/>
      <c r="AJ18" s="45"/>
      <c r="AK18" s="46"/>
    </row>
    <row r="19" spans="2:37">
      <c r="B19" s="37">
        <v>3</v>
      </c>
      <c r="C19" s="38">
        <v>263554</v>
      </c>
      <c r="D19" s="39" t="s">
        <v>59</v>
      </c>
      <c r="E19" s="39" t="s">
        <v>63</v>
      </c>
      <c r="F19" s="39" t="str">
        <f t="shared" si="1"/>
        <v>Cie…</v>
      </c>
      <c r="G19" s="40"/>
      <c r="H19" s="38">
        <v>1</v>
      </c>
      <c r="I19" s="38"/>
      <c r="J19" s="38"/>
      <c r="K19" s="38"/>
      <c r="L19" s="38"/>
      <c r="M19" s="38">
        <v>0.5</v>
      </c>
      <c r="N19" s="38"/>
      <c r="O19" s="38"/>
      <c r="P19" s="38"/>
      <c r="Q19" s="41">
        <v>0.5</v>
      </c>
      <c r="R19" s="41"/>
      <c r="S19" s="41"/>
      <c r="T19" s="41"/>
      <c r="U19" s="42"/>
      <c r="V19" s="43"/>
      <c r="W19" s="41">
        <v>1</v>
      </c>
      <c r="X19" s="41">
        <v>1</v>
      </c>
      <c r="Y19" s="41"/>
      <c r="Z19" s="41"/>
      <c r="AA19" s="41">
        <v>1.5</v>
      </c>
      <c r="AB19" s="41">
        <v>0.5</v>
      </c>
      <c r="AC19" s="41"/>
      <c r="AD19" s="44"/>
      <c r="AE19" s="40"/>
      <c r="AF19" s="38"/>
      <c r="AG19" s="45"/>
      <c r="AH19" s="40" t="str">
        <f t="shared" si="0"/>
        <v/>
      </c>
      <c r="AI19" s="38"/>
      <c r="AJ19" s="45"/>
      <c r="AK19" s="46"/>
    </row>
    <row r="20" spans="2:37">
      <c r="B20" s="37">
        <v>4</v>
      </c>
      <c r="C20" s="38">
        <v>263556</v>
      </c>
      <c r="D20" s="39" t="s">
        <v>64</v>
      </c>
      <c r="E20" s="39" t="s">
        <v>65</v>
      </c>
      <c r="F20" s="39" t="str">
        <f t="shared" si="1"/>
        <v>Cin…</v>
      </c>
      <c r="G20" s="40"/>
      <c r="H20" s="38"/>
      <c r="I20" s="38"/>
      <c r="J20" s="38"/>
      <c r="K20" s="38"/>
      <c r="L20" s="38"/>
      <c r="M20" s="38"/>
      <c r="N20" s="38"/>
      <c r="O20" s="38"/>
      <c r="P20" s="38"/>
      <c r="Q20" s="41"/>
      <c r="R20" s="41"/>
      <c r="S20" s="41"/>
      <c r="T20" s="41"/>
      <c r="U20" s="42"/>
      <c r="V20" s="43"/>
      <c r="W20" s="41"/>
      <c r="X20" s="41">
        <v>1</v>
      </c>
      <c r="Y20" s="41">
        <v>1</v>
      </c>
      <c r="Z20" s="41">
        <v>1.25</v>
      </c>
      <c r="AA20" s="41"/>
      <c r="AB20" s="41">
        <v>0.75</v>
      </c>
      <c r="AC20" s="41"/>
      <c r="AD20" s="44"/>
      <c r="AE20" s="40">
        <v>6</v>
      </c>
      <c r="AF20" s="38">
        <v>4</v>
      </c>
      <c r="AG20" s="45">
        <v>12.5</v>
      </c>
      <c r="AH20" s="40" t="str">
        <f t="shared" si="0"/>
        <v/>
      </c>
      <c r="AI20" s="38"/>
      <c r="AJ20" s="45"/>
      <c r="AK20" s="46"/>
    </row>
    <row r="21" spans="2:37">
      <c r="B21" s="37">
        <v>5</v>
      </c>
      <c r="C21" s="38">
        <v>236957</v>
      </c>
      <c r="D21" s="39" t="s">
        <v>66</v>
      </c>
      <c r="E21" s="39" t="s">
        <v>67</v>
      </c>
      <c r="F21" s="39" t="str">
        <f t="shared" si="1"/>
        <v>Don…</v>
      </c>
      <c r="G21" s="40"/>
      <c r="H21" s="38">
        <v>0.2</v>
      </c>
      <c r="I21" s="38"/>
      <c r="J21" s="38"/>
      <c r="K21" s="38"/>
      <c r="L21" s="38"/>
      <c r="M21" s="38">
        <v>0.5</v>
      </c>
      <c r="N21" s="38">
        <v>1.3</v>
      </c>
      <c r="O21" s="38"/>
      <c r="P21" s="38"/>
      <c r="Q21" s="41"/>
      <c r="R21" s="41"/>
      <c r="S21" s="41"/>
      <c r="T21" s="41"/>
      <c r="U21" s="42"/>
      <c r="V21" s="43"/>
      <c r="W21" s="41">
        <v>1.5</v>
      </c>
      <c r="X21" s="41">
        <v>1</v>
      </c>
      <c r="Y21" s="41">
        <v>1</v>
      </c>
      <c r="Z21" s="41">
        <v>1.5</v>
      </c>
      <c r="AA21" s="41"/>
      <c r="AB21" s="41">
        <v>1</v>
      </c>
      <c r="AC21" s="41"/>
      <c r="AD21" s="44"/>
      <c r="AE21" s="40">
        <v>6</v>
      </c>
      <c r="AF21" s="38">
        <v>3.5</v>
      </c>
      <c r="AG21" s="45">
        <v>11.5</v>
      </c>
      <c r="AH21" s="40" t="str">
        <f t="shared" si="0"/>
        <v/>
      </c>
      <c r="AI21" s="38"/>
      <c r="AJ21" s="45"/>
      <c r="AK21" s="46"/>
    </row>
    <row r="22" spans="2:37">
      <c r="B22" s="37">
        <v>6</v>
      </c>
      <c r="C22" s="38">
        <v>263560</v>
      </c>
      <c r="D22" s="39" t="s">
        <v>68</v>
      </c>
      <c r="E22" s="39" t="s">
        <v>69</v>
      </c>
      <c r="F22" s="39" t="str">
        <f t="shared" si="1"/>
        <v>Dor…</v>
      </c>
      <c r="G22" s="40"/>
      <c r="H22" s="38"/>
      <c r="I22" s="38">
        <v>1</v>
      </c>
      <c r="J22" s="38"/>
      <c r="K22" s="38">
        <v>1.5</v>
      </c>
      <c r="L22" s="38"/>
      <c r="M22" s="38"/>
      <c r="N22" s="38"/>
      <c r="O22" s="38"/>
      <c r="P22" s="38">
        <v>1</v>
      </c>
      <c r="Q22" s="41">
        <v>1</v>
      </c>
      <c r="R22" s="41"/>
      <c r="S22" s="41"/>
      <c r="T22" s="41"/>
      <c r="U22" s="42"/>
      <c r="V22" s="43">
        <v>1</v>
      </c>
      <c r="W22" s="41">
        <v>1.5</v>
      </c>
      <c r="X22" s="41">
        <v>1</v>
      </c>
      <c r="Y22" s="41">
        <v>1</v>
      </c>
      <c r="Z22" s="41">
        <v>1.5</v>
      </c>
      <c r="AA22" s="41">
        <v>1</v>
      </c>
      <c r="AB22" s="41">
        <v>1</v>
      </c>
      <c r="AC22" s="41"/>
      <c r="AD22" s="44"/>
      <c r="AE22" s="40">
        <v>11</v>
      </c>
      <c r="AF22" s="38">
        <v>3</v>
      </c>
      <c r="AG22" s="45">
        <v>11</v>
      </c>
      <c r="AH22" s="40" t="str">
        <f t="shared" si="0"/>
        <v/>
      </c>
      <c r="AI22" s="38"/>
      <c r="AJ22" s="45"/>
      <c r="AK22" s="46"/>
    </row>
    <row r="23" spans="2:37">
      <c r="B23" s="37">
        <v>7</v>
      </c>
      <c r="C23" s="38">
        <v>263561</v>
      </c>
      <c r="D23" s="39" t="s">
        <v>70</v>
      </c>
      <c r="E23" s="39" t="s">
        <v>71</v>
      </c>
      <c r="F23" s="39" t="str">
        <f t="shared" si="1"/>
        <v>Dre…</v>
      </c>
      <c r="G23" s="40"/>
      <c r="H23" s="38">
        <v>2</v>
      </c>
      <c r="I23" s="38"/>
      <c r="J23" s="38"/>
      <c r="K23" s="38">
        <v>1</v>
      </c>
      <c r="L23" s="38"/>
      <c r="M23" s="38"/>
      <c r="N23" s="38">
        <v>0.3</v>
      </c>
      <c r="O23" s="38"/>
      <c r="P23" s="38"/>
      <c r="Q23" s="41"/>
      <c r="R23" s="41"/>
      <c r="S23" s="41"/>
      <c r="T23" s="41"/>
      <c r="U23" s="42"/>
      <c r="V23" s="43"/>
      <c r="W23" s="41">
        <v>1.5</v>
      </c>
      <c r="X23" s="41"/>
      <c r="Y23" s="41">
        <v>1</v>
      </c>
      <c r="Z23" s="41">
        <v>1.5</v>
      </c>
      <c r="AA23" s="41">
        <v>1</v>
      </c>
      <c r="AB23" s="41">
        <v>1.5</v>
      </c>
      <c r="AC23" s="41"/>
      <c r="AD23" s="44"/>
      <c r="AE23" s="40">
        <v>8</v>
      </c>
      <c r="AF23" s="38">
        <v>3</v>
      </c>
      <c r="AG23" s="45">
        <v>7.5</v>
      </c>
      <c r="AH23" s="40" t="str">
        <f t="shared" si="0"/>
        <v/>
      </c>
      <c r="AI23" s="38"/>
      <c r="AJ23" s="45"/>
      <c r="AK23" s="46"/>
    </row>
    <row r="24" spans="2:37">
      <c r="B24" s="37">
        <v>8</v>
      </c>
      <c r="C24" s="38">
        <v>263565</v>
      </c>
      <c r="D24" s="39" t="s">
        <v>72</v>
      </c>
      <c r="E24" s="39" t="s">
        <v>73</v>
      </c>
      <c r="F24" s="39" t="str">
        <f t="shared" si="1"/>
        <v>Fib…</v>
      </c>
      <c r="G24" s="40"/>
      <c r="H24" s="38"/>
      <c r="I24" s="38"/>
      <c r="J24" s="38"/>
      <c r="K24" s="38">
        <v>1</v>
      </c>
      <c r="L24" s="38"/>
      <c r="M24" s="38"/>
      <c r="N24" s="38">
        <v>1.5</v>
      </c>
      <c r="O24" s="38"/>
      <c r="P24" s="38">
        <v>1</v>
      </c>
      <c r="Q24" s="41"/>
      <c r="R24" s="41"/>
      <c r="S24" s="41"/>
      <c r="T24" s="41"/>
      <c r="U24" s="42"/>
      <c r="V24" s="43"/>
      <c r="W24" s="41">
        <v>1</v>
      </c>
      <c r="X24" s="41"/>
      <c r="Y24" s="41">
        <v>1.25</v>
      </c>
      <c r="Z24" s="41">
        <v>1.25</v>
      </c>
      <c r="AA24" s="41">
        <v>1.5</v>
      </c>
      <c r="AB24" s="41">
        <v>1</v>
      </c>
      <c r="AC24" s="41"/>
      <c r="AD24" s="44"/>
      <c r="AE24" s="40">
        <v>9</v>
      </c>
      <c r="AF24" s="38">
        <v>5</v>
      </c>
      <c r="AG24" s="45">
        <v>2.5</v>
      </c>
      <c r="AH24" s="40" t="str">
        <f t="shared" si="0"/>
        <v/>
      </c>
      <c r="AI24" s="38"/>
      <c r="AJ24" s="45"/>
      <c r="AK24" s="46"/>
    </row>
    <row r="25" spans="2:37">
      <c r="B25" s="37">
        <v>9</v>
      </c>
      <c r="C25" s="38">
        <v>266714</v>
      </c>
      <c r="D25" s="39" t="s">
        <v>74</v>
      </c>
      <c r="E25" s="39" t="s">
        <v>75</v>
      </c>
      <c r="F25" s="39" t="str">
        <f t="shared" si="1"/>
        <v>Hab…</v>
      </c>
      <c r="G25" s="40"/>
      <c r="H25" s="38"/>
      <c r="I25" s="38"/>
      <c r="J25" s="38"/>
      <c r="K25" s="38"/>
      <c r="L25" s="38"/>
      <c r="M25" s="38"/>
      <c r="N25" s="38">
        <v>1</v>
      </c>
      <c r="O25" s="38"/>
      <c r="P25" s="38"/>
      <c r="Q25" s="41"/>
      <c r="R25" s="41"/>
      <c r="S25" s="41"/>
      <c r="T25" s="41"/>
      <c r="U25" s="42"/>
      <c r="V25" s="43"/>
      <c r="W25" s="41">
        <v>1</v>
      </c>
      <c r="X25" s="41">
        <v>1</v>
      </c>
      <c r="Y25" s="41">
        <v>1</v>
      </c>
      <c r="Z25" s="41">
        <v>1.25</v>
      </c>
      <c r="AA25" s="41">
        <v>1</v>
      </c>
      <c r="AB25" s="41">
        <v>1.5</v>
      </c>
      <c r="AC25" s="41"/>
      <c r="AD25" s="44"/>
      <c r="AE25" s="40">
        <v>7</v>
      </c>
      <c r="AF25" s="38">
        <v>3</v>
      </c>
      <c r="AG25" s="45">
        <v>10</v>
      </c>
      <c r="AH25" s="40" t="str">
        <f t="shared" si="0"/>
        <v/>
      </c>
      <c r="AI25" s="38"/>
      <c r="AJ25" s="45"/>
      <c r="AK25" s="46"/>
    </row>
    <row r="26" spans="2:37">
      <c r="B26" s="37">
        <v>10</v>
      </c>
      <c r="C26" s="38">
        <v>263568</v>
      </c>
      <c r="D26" s="39" t="s">
        <v>76</v>
      </c>
      <c r="E26" s="39" t="s">
        <v>77</v>
      </c>
      <c r="F26" s="39" t="str">
        <f t="shared" si="1"/>
        <v>Klo…</v>
      </c>
      <c r="G26" s="40"/>
      <c r="H26" s="38">
        <v>1</v>
      </c>
      <c r="I26" s="38">
        <v>1</v>
      </c>
      <c r="J26" s="38">
        <v>0.5</v>
      </c>
      <c r="K26" s="38">
        <v>0.3</v>
      </c>
      <c r="L26" s="38">
        <v>0.8</v>
      </c>
      <c r="M26" s="38"/>
      <c r="N26" s="38">
        <v>1.5</v>
      </c>
      <c r="O26" s="38"/>
      <c r="P26" s="38"/>
      <c r="Q26" s="41"/>
      <c r="R26" s="41">
        <v>1</v>
      </c>
      <c r="S26" s="41"/>
      <c r="T26" s="41"/>
      <c r="U26" s="42"/>
      <c r="V26" s="43"/>
      <c r="W26" s="41"/>
      <c r="X26" s="41">
        <v>1</v>
      </c>
      <c r="Y26" s="41">
        <v>1.25</v>
      </c>
      <c r="Z26" s="41">
        <v>1.5</v>
      </c>
      <c r="AA26" s="41"/>
      <c r="AB26" s="41">
        <v>1</v>
      </c>
      <c r="AC26" s="41"/>
      <c r="AD26" s="44"/>
      <c r="AE26" s="40"/>
      <c r="AF26" s="38"/>
      <c r="AG26" s="45"/>
      <c r="AH26" s="40" t="str">
        <f t="shared" si="0"/>
        <v/>
      </c>
      <c r="AI26" s="38"/>
      <c r="AJ26" s="45"/>
      <c r="AK26" s="46"/>
    </row>
    <row r="27" spans="2:37">
      <c r="B27" s="37">
        <v>11</v>
      </c>
      <c r="C27" s="38">
        <v>263570</v>
      </c>
      <c r="D27" s="39" t="s">
        <v>78</v>
      </c>
      <c r="E27" s="39" t="s">
        <v>79</v>
      </c>
      <c r="F27" s="39" t="str">
        <f t="shared" si="1"/>
        <v>Kra…</v>
      </c>
      <c r="G27" s="40">
        <v>1</v>
      </c>
      <c r="H27" s="38"/>
      <c r="I27" s="38">
        <v>1</v>
      </c>
      <c r="J27" s="38">
        <v>1.5</v>
      </c>
      <c r="K27" s="38">
        <v>0.8</v>
      </c>
      <c r="L27" s="38">
        <v>0.3</v>
      </c>
      <c r="M27" s="38">
        <v>1</v>
      </c>
      <c r="N27" s="38">
        <v>1</v>
      </c>
      <c r="O27" s="38">
        <v>0.5</v>
      </c>
      <c r="P27" s="38"/>
      <c r="Q27" s="41">
        <v>1</v>
      </c>
      <c r="R27" s="41">
        <v>1</v>
      </c>
      <c r="S27" s="41"/>
      <c r="T27" s="41"/>
      <c r="U27" s="42"/>
      <c r="V27" s="43"/>
      <c r="W27" s="41">
        <v>1</v>
      </c>
      <c r="X27" s="41">
        <v>1</v>
      </c>
      <c r="Y27" s="41">
        <v>1</v>
      </c>
      <c r="Z27" s="41">
        <v>1.5</v>
      </c>
      <c r="AA27" s="41">
        <v>1</v>
      </c>
      <c r="AB27" s="41">
        <v>1</v>
      </c>
      <c r="AC27" s="41"/>
      <c r="AD27" s="44"/>
      <c r="AE27" s="40"/>
      <c r="AF27" s="38"/>
      <c r="AG27" s="45"/>
      <c r="AH27" s="40" t="str">
        <f t="shared" si="0"/>
        <v/>
      </c>
      <c r="AI27" s="38"/>
      <c r="AJ27" s="45"/>
      <c r="AK27" s="46"/>
    </row>
    <row r="28" spans="2:37">
      <c r="B28" s="37">
        <v>12</v>
      </c>
      <c r="C28" s="38">
        <v>258727</v>
      </c>
      <c r="D28" s="39" t="s">
        <v>80</v>
      </c>
      <c r="E28" s="39" t="s">
        <v>81</v>
      </c>
      <c r="F28" s="39" t="str">
        <f t="shared" si="1"/>
        <v>Kul…</v>
      </c>
      <c r="G28" s="40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42"/>
      <c r="V28" s="47"/>
      <c r="W28" s="38"/>
      <c r="X28" s="38"/>
      <c r="Y28" s="38"/>
      <c r="Z28" s="38"/>
      <c r="AA28" s="38"/>
      <c r="AB28" s="38"/>
      <c r="AC28" s="41"/>
      <c r="AD28" s="44"/>
      <c r="AE28" s="40">
        <v>7</v>
      </c>
      <c r="AF28" s="38">
        <v>6</v>
      </c>
      <c r="AG28" s="45">
        <v>12.5</v>
      </c>
      <c r="AH28" s="40" t="str">
        <f t="shared" si="0"/>
        <v/>
      </c>
      <c r="AI28" s="38"/>
      <c r="AJ28" s="45"/>
      <c r="AK28" s="46"/>
    </row>
    <row r="29" spans="2:37">
      <c r="B29" s="37">
        <v>13</v>
      </c>
      <c r="C29" s="38">
        <v>255588</v>
      </c>
      <c r="D29" s="39" t="s">
        <v>82</v>
      </c>
      <c r="E29" s="39" t="s">
        <v>83</v>
      </c>
      <c r="F29" s="39" t="str">
        <f t="shared" si="1"/>
        <v>Kwa…</v>
      </c>
      <c r="G29" s="40"/>
      <c r="H29" s="38"/>
      <c r="I29" s="38"/>
      <c r="J29" s="38"/>
      <c r="K29" s="38"/>
      <c r="L29" s="38"/>
      <c r="M29" s="38"/>
      <c r="N29" s="38"/>
      <c r="O29" s="38"/>
      <c r="P29" s="38"/>
      <c r="Q29" s="41"/>
      <c r="R29" s="41"/>
      <c r="S29" s="41"/>
      <c r="T29" s="41"/>
      <c r="U29" s="42"/>
      <c r="V29" s="43"/>
      <c r="W29" s="41"/>
      <c r="X29" s="41"/>
      <c r="Y29" s="41"/>
      <c r="Z29" s="41"/>
      <c r="AA29" s="41"/>
      <c r="AB29" s="41"/>
      <c r="AC29" s="41"/>
      <c r="AD29" s="44"/>
      <c r="AE29" s="40"/>
      <c r="AF29" s="38"/>
      <c r="AG29" s="45"/>
      <c r="AH29" s="40" t="str">
        <f t="shared" si="0"/>
        <v/>
      </c>
      <c r="AI29" s="38"/>
      <c r="AJ29" s="45"/>
      <c r="AK29" s="46"/>
    </row>
    <row r="30" spans="2:37">
      <c r="B30" s="37">
        <v>14</v>
      </c>
      <c r="C30" s="38">
        <v>263573</v>
      </c>
      <c r="D30" s="39" t="s">
        <v>84</v>
      </c>
      <c r="E30" s="39" t="s">
        <v>85</v>
      </c>
      <c r="F30" s="39" t="str">
        <f t="shared" si="1"/>
        <v>Łab…</v>
      </c>
      <c r="G30" s="40">
        <v>1</v>
      </c>
      <c r="H30" s="38"/>
      <c r="I30" s="38"/>
      <c r="J30" s="38"/>
      <c r="K30" s="38"/>
      <c r="L30" s="38"/>
      <c r="M30" s="38"/>
      <c r="N30" s="38"/>
      <c r="O30" s="38"/>
      <c r="P30" s="38"/>
      <c r="Q30" s="41"/>
      <c r="R30" s="41"/>
      <c r="S30" s="41"/>
      <c r="T30" s="41"/>
      <c r="U30" s="42"/>
      <c r="V30" s="43"/>
      <c r="W30" s="41"/>
      <c r="X30" s="41"/>
      <c r="Y30" s="41"/>
      <c r="Z30" s="41"/>
      <c r="AA30" s="41"/>
      <c r="AB30" s="41"/>
      <c r="AC30" s="41"/>
      <c r="AD30" s="44"/>
      <c r="AE30" s="40"/>
      <c r="AF30" s="38"/>
      <c r="AG30" s="45"/>
      <c r="AH30" s="40" t="str">
        <f t="shared" si="0"/>
        <v/>
      </c>
      <c r="AI30" s="38"/>
      <c r="AJ30" s="45"/>
      <c r="AK30" s="46"/>
    </row>
    <row r="31" spans="2:37">
      <c r="B31" s="37">
        <v>15</v>
      </c>
      <c r="C31" s="38">
        <v>263575</v>
      </c>
      <c r="D31" s="39" t="s">
        <v>86</v>
      </c>
      <c r="E31" s="39" t="s">
        <v>87</v>
      </c>
      <c r="F31" s="39" t="str">
        <f t="shared" si="1"/>
        <v>Łub…</v>
      </c>
      <c r="G31" s="40"/>
      <c r="H31" s="38"/>
      <c r="I31" s="38"/>
      <c r="J31" s="38"/>
      <c r="K31" s="38">
        <v>2</v>
      </c>
      <c r="L31" s="38"/>
      <c r="M31" s="38"/>
      <c r="N31" s="38">
        <v>1.3</v>
      </c>
      <c r="O31" s="38"/>
      <c r="P31" s="38"/>
      <c r="Q31" s="41"/>
      <c r="R31" s="41"/>
      <c r="S31" s="41"/>
      <c r="T31" s="41"/>
      <c r="U31" s="42"/>
      <c r="V31" s="43"/>
      <c r="W31" s="41">
        <v>1</v>
      </c>
      <c r="X31" s="41">
        <v>1</v>
      </c>
      <c r="Y31" s="41"/>
      <c r="Z31" s="41">
        <v>1</v>
      </c>
      <c r="AA31" s="41">
        <v>1</v>
      </c>
      <c r="AB31" s="41"/>
      <c r="AC31" s="41"/>
      <c r="AD31" s="44"/>
      <c r="AE31" s="40">
        <v>8</v>
      </c>
      <c r="AF31" s="38">
        <v>6</v>
      </c>
      <c r="AG31" s="45">
        <v>12.5</v>
      </c>
      <c r="AH31" s="40" t="str">
        <f t="shared" si="0"/>
        <v/>
      </c>
      <c r="AI31" s="38"/>
      <c r="AJ31" s="45"/>
      <c r="AK31" s="46"/>
    </row>
    <row r="32" spans="2:37">
      <c r="B32" s="37">
        <v>16</v>
      </c>
      <c r="C32" s="38">
        <v>263576</v>
      </c>
      <c r="D32" s="39" t="s">
        <v>88</v>
      </c>
      <c r="E32" s="39" t="s">
        <v>89</v>
      </c>
      <c r="F32" s="39" t="str">
        <f t="shared" si="1"/>
        <v>Maj…</v>
      </c>
      <c r="G32" s="40">
        <v>1</v>
      </c>
      <c r="H32" s="38"/>
      <c r="I32" s="38"/>
      <c r="J32" s="38"/>
      <c r="K32" s="38"/>
      <c r="L32" s="38"/>
      <c r="M32" s="38"/>
      <c r="N32" s="38">
        <v>1.3</v>
      </c>
      <c r="O32" s="38">
        <v>0.5</v>
      </c>
      <c r="P32" s="38">
        <v>0.5</v>
      </c>
      <c r="Q32" s="41"/>
      <c r="R32" s="41"/>
      <c r="S32" s="41"/>
      <c r="T32" s="41"/>
      <c r="U32" s="42"/>
      <c r="V32" s="43">
        <v>1</v>
      </c>
      <c r="W32" s="41"/>
      <c r="X32" s="41">
        <v>1</v>
      </c>
      <c r="Y32" s="41"/>
      <c r="Z32" s="41">
        <v>1</v>
      </c>
      <c r="AA32" s="41"/>
      <c r="AB32" s="41">
        <v>1</v>
      </c>
      <c r="AC32" s="41"/>
      <c r="AD32" s="44"/>
      <c r="AE32" s="40">
        <v>8</v>
      </c>
      <c r="AF32" s="38">
        <v>9</v>
      </c>
      <c r="AG32" s="45">
        <v>9.5</v>
      </c>
      <c r="AH32" s="40" t="str">
        <f t="shared" si="0"/>
        <v/>
      </c>
      <c r="AI32" s="38"/>
      <c r="AJ32" s="45"/>
      <c r="AK32" s="46"/>
    </row>
    <row r="33" spans="2:37">
      <c r="B33" s="37">
        <v>17</v>
      </c>
      <c r="C33" s="38">
        <v>263579</v>
      </c>
      <c r="D33" s="39" t="s">
        <v>90</v>
      </c>
      <c r="E33" s="39" t="s">
        <v>91</v>
      </c>
      <c r="F33" s="39" t="str">
        <f t="shared" si="1"/>
        <v>Maz…</v>
      </c>
      <c r="G33" s="40"/>
      <c r="H33" s="38">
        <v>1</v>
      </c>
      <c r="I33" s="38">
        <v>2</v>
      </c>
      <c r="J33" s="38">
        <v>0.5</v>
      </c>
      <c r="K33" s="38">
        <v>0.5</v>
      </c>
      <c r="L33" s="38"/>
      <c r="M33" s="38">
        <v>0.5</v>
      </c>
      <c r="N33" s="38">
        <v>1.3</v>
      </c>
      <c r="O33" s="38"/>
      <c r="P33" s="38"/>
      <c r="Q33" s="41"/>
      <c r="R33" s="41"/>
      <c r="S33" s="41"/>
      <c r="T33" s="41"/>
      <c r="U33" s="42"/>
      <c r="V33" s="43"/>
      <c r="W33" s="41">
        <v>1.5</v>
      </c>
      <c r="X33" s="41">
        <v>1</v>
      </c>
      <c r="Y33" s="41"/>
      <c r="Z33" s="41">
        <v>1.5</v>
      </c>
      <c r="AA33" s="41">
        <v>1</v>
      </c>
      <c r="AB33" s="41">
        <v>1.5</v>
      </c>
      <c r="AC33" s="41"/>
      <c r="AD33" s="44"/>
      <c r="AE33" s="40">
        <v>8</v>
      </c>
      <c r="AF33" s="38">
        <v>0</v>
      </c>
      <c r="AG33" s="45">
        <v>11.5</v>
      </c>
      <c r="AH33" s="40" t="str">
        <f t="shared" si="0"/>
        <v/>
      </c>
      <c r="AI33" s="38"/>
      <c r="AJ33" s="45"/>
      <c r="AK33" s="46"/>
    </row>
    <row r="34" spans="2:37">
      <c r="B34" s="37">
        <v>18</v>
      </c>
      <c r="C34" s="38">
        <v>263581</v>
      </c>
      <c r="D34" s="39" t="s">
        <v>92</v>
      </c>
      <c r="E34" s="39" t="s">
        <v>93</v>
      </c>
      <c r="F34" s="39" t="str">
        <f t="shared" si="1"/>
        <v>Mic…</v>
      </c>
      <c r="G34" s="40"/>
      <c r="H34" s="38"/>
      <c r="I34" s="38"/>
      <c r="J34" s="38"/>
      <c r="K34" s="38"/>
      <c r="L34" s="38"/>
      <c r="M34" s="38"/>
      <c r="N34" s="38"/>
      <c r="O34" s="38"/>
      <c r="P34" s="38"/>
      <c r="Q34" s="41"/>
      <c r="R34" s="41"/>
      <c r="S34" s="41"/>
      <c r="T34" s="41"/>
      <c r="U34" s="42"/>
      <c r="V34" s="43"/>
      <c r="W34" s="41"/>
      <c r="X34" s="41"/>
      <c r="Y34" s="41">
        <v>1</v>
      </c>
      <c r="Z34" s="41">
        <v>1.5</v>
      </c>
      <c r="AA34" s="41">
        <v>1</v>
      </c>
      <c r="AB34" s="41">
        <v>1</v>
      </c>
      <c r="AC34" s="41"/>
      <c r="AD34" s="44"/>
      <c r="AE34" s="40"/>
      <c r="AF34" s="38"/>
      <c r="AG34" s="45"/>
      <c r="AH34" s="40" t="str">
        <f t="shared" si="0"/>
        <v/>
      </c>
      <c r="AI34" s="38"/>
      <c r="AJ34" s="45"/>
      <c r="AK34" s="46"/>
    </row>
    <row r="35" spans="2:37">
      <c r="B35" s="37">
        <v>19</v>
      </c>
      <c r="C35" s="38">
        <v>263583</v>
      </c>
      <c r="D35" s="39" t="s">
        <v>61</v>
      </c>
      <c r="E35" s="39" t="s">
        <v>94</v>
      </c>
      <c r="F35" s="39" t="str">
        <f t="shared" si="1"/>
        <v>Miś…</v>
      </c>
      <c r="G35" s="40"/>
      <c r="H35" s="38"/>
      <c r="I35" s="38"/>
      <c r="J35" s="38"/>
      <c r="K35" s="38"/>
      <c r="L35" s="38"/>
      <c r="M35" s="38">
        <v>0.5</v>
      </c>
      <c r="N35" s="38">
        <v>0.1</v>
      </c>
      <c r="O35" s="38"/>
      <c r="P35" s="38">
        <v>1</v>
      </c>
      <c r="Q35" s="41"/>
      <c r="R35" s="41"/>
      <c r="S35" s="41"/>
      <c r="T35" s="41"/>
      <c r="U35" s="42"/>
      <c r="V35" s="43">
        <v>1</v>
      </c>
      <c r="W35" s="41">
        <v>1</v>
      </c>
      <c r="X35" s="41">
        <v>1</v>
      </c>
      <c r="Y35" s="41">
        <v>1.25</v>
      </c>
      <c r="Z35" s="41">
        <v>1.5</v>
      </c>
      <c r="AA35" s="41">
        <v>1</v>
      </c>
      <c r="AB35" s="41">
        <v>1.5</v>
      </c>
      <c r="AC35" s="41"/>
      <c r="AD35" s="44"/>
      <c r="AE35" s="40">
        <v>8</v>
      </c>
      <c r="AF35" s="38">
        <v>0</v>
      </c>
      <c r="AG35" s="45">
        <v>6.5</v>
      </c>
      <c r="AH35" s="40" t="str">
        <f t="shared" si="0"/>
        <v/>
      </c>
      <c r="AI35" s="38"/>
      <c r="AJ35" s="45"/>
      <c r="AK35" s="46"/>
    </row>
    <row r="36" spans="2:37">
      <c r="B36" s="37">
        <v>20</v>
      </c>
      <c r="C36" s="38">
        <v>258185</v>
      </c>
      <c r="D36" s="39" t="s">
        <v>95</v>
      </c>
      <c r="E36" s="39" t="s">
        <v>96</v>
      </c>
      <c r="F36" s="39" t="str">
        <f t="shared" si="1"/>
        <v>Mur…</v>
      </c>
      <c r="G36" s="40"/>
      <c r="H36" s="38"/>
      <c r="I36" s="38"/>
      <c r="J36" s="38"/>
      <c r="K36" s="38"/>
      <c r="L36" s="38"/>
      <c r="M36" s="38"/>
      <c r="N36" s="38"/>
      <c r="O36" s="38"/>
      <c r="P36" s="38"/>
      <c r="Q36" s="41"/>
      <c r="R36" s="41"/>
      <c r="S36" s="41"/>
      <c r="T36" s="41"/>
      <c r="U36" s="42"/>
      <c r="V36" s="43"/>
      <c r="W36" s="41"/>
      <c r="X36" s="41"/>
      <c r="Y36" s="41"/>
      <c r="Z36" s="41"/>
      <c r="AA36" s="41"/>
      <c r="AB36" s="41"/>
      <c r="AC36" s="41"/>
      <c r="AD36" s="44"/>
      <c r="AE36" s="40">
        <v>11</v>
      </c>
      <c r="AF36" s="38">
        <v>4</v>
      </c>
      <c r="AG36" s="45">
        <v>12.5</v>
      </c>
      <c r="AH36" s="40" t="str">
        <f t="shared" si="0"/>
        <v/>
      </c>
      <c r="AI36" s="38"/>
      <c r="AJ36" s="45"/>
      <c r="AK36" s="46"/>
    </row>
    <row r="37" spans="2:37">
      <c r="B37" s="37">
        <v>21</v>
      </c>
      <c r="C37" s="38">
        <v>267703</v>
      </c>
      <c r="D37" s="39" t="s">
        <v>97</v>
      </c>
      <c r="E37" s="39" t="s">
        <v>98</v>
      </c>
      <c r="F37" s="39" t="str">
        <f t="shared" si="1"/>
        <v>Nik…</v>
      </c>
      <c r="G37" s="40"/>
      <c r="H37" s="38">
        <v>1</v>
      </c>
      <c r="I37" s="38">
        <v>1</v>
      </c>
      <c r="J37" s="38"/>
      <c r="K37" s="38"/>
      <c r="L37" s="38"/>
      <c r="M37" s="38"/>
      <c r="N37" s="38">
        <v>0.1</v>
      </c>
      <c r="O37" s="38">
        <v>0.5</v>
      </c>
      <c r="P37" s="38"/>
      <c r="Q37" s="41">
        <v>0.5</v>
      </c>
      <c r="R37" s="41">
        <v>1</v>
      </c>
      <c r="S37" s="41"/>
      <c r="T37" s="41"/>
      <c r="U37" s="42"/>
      <c r="V37" s="43"/>
      <c r="W37" s="41">
        <v>1</v>
      </c>
      <c r="X37" s="41">
        <v>1</v>
      </c>
      <c r="Y37" s="41"/>
      <c r="Z37" s="41">
        <v>1</v>
      </c>
      <c r="AA37" s="41"/>
      <c r="AB37" s="41">
        <v>1</v>
      </c>
      <c r="AC37" s="41"/>
      <c r="AD37" s="44"/>
      <c r="AE37" s="40">
        <v>5</v>
      </c>
      <c r="AF37" s="38">
        <v>4</v>
      </c>
      <c r="AG37" s="45">
        <v>5</v>
      </c>
      <c r="AH37" s="40" t="str">
        <f t="shared" si="0"/>
        <v/>
      </c>
      <c r="AI37" s="38"/>
      <c r="AJ37" s="45"/>
      <c r="AK37" s="46"/>
    </row>
    <row r="38" spans="2:37">
      <c r="B38" s="37">
        <v>22</v>
      </c>
      <c r="C38" s="38">
        <v>263584</v>
      </c>
      <c r="D38" s="39" t="s">
        <v>99</v>
      </c>
      <c r="E38" s="39" t="s">
        <v>100</v>
      </c>
      <c r="F38" s="39" t="str">
        <f t="shared" si="1"/>
        <v>Orz…</v>
      </c>
      <c r="G38" s="40"/>
      <c r="H38" s="38"/>
      <c r="I38" s="38">
        <v>1</v>
      </c>
      <c r="J38" s="38"/>
      <c r="K38" s="38"/>
      <c r="L38" s="38"/>
      <c r="M38" s="38"/>
      <c r="N38" s="38">
        <v>1</v>
      </c>
      <c r="O38" s="38"/>
      <c r="P38" s="38"/>
      <c r="Q38" s="41"/>
      <c r="R38" s="41">
        <v>1</v>
      </c>
      <c r="S38" s="41"/>
      <c r="T38" s="41"/>
      <c r="U38" s="42"/>
      <c r="V38" s="43"/>
      <c r="W38" s="41">
        <v>1</v>
      </c>
      <c r="X38" s="41"/>
      <c r="Y38" s="41"/>
      <c r="Z38" s="41">
        <v>1.5</v>
      </c>
      <c r="AA38" s="41">
        <v>1</v>
      </c>
      <c r="AB38" s="41">
        <v>1</v>
      </c>
      <c r="AC38" s="41"/>
      <c r="AD38" s="44"/>
      <c r="AE38" s="40">
        <v>11</v>
      </c>
      <c r="AF38" s="38">
        <v>5.5</v>
      </c>
      <c r="AG38" s="45">
        <v>12.5</v>
      </c>
      <c r="AH38" s="40" t="str">
        <f t="shared" si="0"/>
        <v/>
      </c>
      <c r="AI38" s="38"/>
      <c r="AJ38" s="45"/>
      <c r="AK38" s="46"/>
    </row>
    <row r="39" spans="2:37">
      <c r="B39" s="37">
        <v>23</v>
      </c>
      <c r="C39" s="38">
        <v>266793</v>
      </c>
      <c r="D39" s="39" t="s">
        <v>86</v>
      </c>
      <c r="E39" s="39" t="s">
        <v>101</v>
      </c>
      <c r="F39" s="39" t="str">
        <f t="shared" si="1"/>
        <v>Par…</v>
      </c>
      <c r="G39" s="40"/>
      <c r="H39" s="38"/>
      <c r="I39" s="38"/>
      <c r="J39" s="38"/>
      <c r="K39" s="38"/>
      <c r="L39" s="38"/>
      <c r="M39" s="38"/>
      <c r="N39" s="38"/>
      <c r="O39" s="38"/>
      <c r="P39" s="38"/>
      <c r="Q39" s="41"/>
      <c r="R39" s="41"/>
      <c r="S39" s="41"/>
      <c r="T39" s="41"/>
      <c r="U39" s="42"/>
      <c r="V39" s="43"/>
      <c r="W39" s="41"/>
      <c r="X39" s="41">
        <v>1</v>
      </c>
      <c r="Y39" s="41"/>
      <c r="Z39" s="41">
        <v>1</v>
      </c>
      <c r="AA39" s="41">
        <v>1.5</v>
      </c>
      <c r="AB39" s="41">
        <v>1.5</v>
      </c>
      <c r="AC39" s="41"/>
      <c r="AD39" s="44"/>
      <c r="AE39" s="40"/>
      <c r="AF39" s="38"/>
      <c r="AG39" s="45"/>
      <c r="AH39" s="40" t="str">
        <f t="shared" si="0"/>
        <v/>
      </c>
      <c r="AI39" s="38"/>
      <c r="AJ39" s="45"/>
      <c r="AK39" s="46"/>
    </row>
    <row r="40" spans="2:37">
      <c r="B40" s="37">
        <v>24</v>
      </c>
      <c r="C40" s="38">
        <v>258707</v>
      </c>
      <c r="D40" s="39" t="s">
        <v>102</v>
      </c>
      <c r="E40" s="39" t="s">
        <v>103</v>
      </c>
      <c r="F40" s="39" t="str">
        <f t="shared" si="1"/>
        <v>Prz…</v>
      </c>
      <c r="G40" s="40"/>
      <c r="H40" s="38"/>
      <c r="I40" s="38"/>
      <c r="J40" s="38"/>
      <c r="K40" s="38"/>
      <c r="L40" s="38"/>
      <c r="M40" s="38"/>
      <c r="N40" s="38"/>
      <c r="O40" s="38"/>
      <c r="P40" s="38"/>
      <c r="Q40" s="41"/>
      <c r="R40" s="41"/>
      <c r="S40" s="41"/>
      <c r="T40" s="41"/>
      <c r="U40" s="42"/>
      <c r="V40" s="43"/>
      <c r="W40" s="41"/>
      <c r="X40" s="41"/>
      <c r="Y40" s="41"/>
      <c r="Z40" s="41"/>
      <c r="AA40" s="41"/>
      <c r="AB40" s="41"/>
      <c r="AC40" s="41"/>
      <c r="AD40" s="44"/>
      <c r="AE40" s="40">
        <v>6</v>
      </c>
      <c r="AF40" s="38">
        <v>6.5</v>
      </c>
      <c r="AG40" s="45">
        <v>6</v>
      </c>
      <c r="AH40" s="40" t="str">
        <f t="shared" si="0"/>
        <v/>
      </c>
      <c r="AI40" s="38"/>
      <c r="AJ40" s="45"/>
      <c r="AK40" s="46"/>
    </row>
    <row r="41" spans="2:37">
      <c r="B41" s="37">
        <v>25</v>
      </c>
      <c r="C41" s="38">
        <v>272660</v>
      </c>
      <c r="D41" s="39" t="s">
        <v>86</v>
      </c>
      <c r="E41" s="39" t="s">
        <v>104</v>
      </c>
      <c r="F41" s="39" t="str">
        <f t="shared" si="1"/>
        <v>Saw…</v>
      </c>
      <c r="G41" s="40"/>
      <c r="H41" s="38"/>
      <c r="I41" s="38"/>
      <c r="J41" s="38"/>
      <c r="K41" s="38"/>
      <c r="L41" s="38"/>
      <c r="M41" s="38"/>
      <c r="N41" s="38"/>
      <c r="O41" s="38"/>
      <c r="P41" s="38">
        <v>0.5</v>
      </c>
      <c r="Q41" s="41"/>
      <c r="R41" s="41"/>
      <c r="S41" s="41"/>
      <c r="T41" s="41"/>
      <c r="U41" s="42"/>
      <c r="V41" s="43"/>
      <c r="W41" s="41"/>
      <c r="X41" s="41"/>
      <c r="Y41" s="41"/>
      <c r="Z41" s="41">
        <v>1</v>
      </c>
      <c r="AA41" s="41">
        <v>1.5</v>
      </c>
      <c r="AB41" s="41">
        <v>1</v>
      </c>
      <c r="AC41" s="41"/>
      <c r="AD41" s="44"/>
      <c r="AE41" s="40">
        <v>8</v>
      </c>
      <c r="AF41" s="38">
        <v>3</v>
      </c>
      <c r="AG41" s="45">
        <v>12.5</v>
      </c>
      <c r="AH41" s="40" t="str">
        <f t="shared" si="0"/>
        <v/>
      </c>
      <c r="AI41" s="38"/>
      <c r="AJ41" s="45"/>
      <c r="AK41" s="46"/>
    </row>
    <row r="42" spans="2:37">
      <c r="B42" s="37">
        <v>26</v>
      </c>
      <c r="C42" s="38">
        <v>263585</v>
      </c>
      <c r="D42" s="39" t="s">
        <v>78</v>
      </c>
      <c r="E42" s="39" t="s">
        <v>105</v>
      </c>
      <c r="F42" s="39" t="str">
        <f t="shared" si="1"/>
        <v>Sto…</v>
      </c>
      <c r="G42" s="40"/>
      <c r="H42" s="38"/>
      <c r="I42" s="38"/>
      <c r="J42" s="38"/>
      <c r="K42" s="38"/>
      <c r="L42" s="38"/>
      <c r="M42" s="38"/>
      <c r="N42" s="38"/>
      <c r="O42" s="38"/>
      <c r="P42" s="38"/>
      <c r="Q42" s="41"/>
      <c r="R42" s="41"/>
      <c r="S42" s="41"/>
      <c r="T42" s="41"/>
      <c r="U42" s="42"/>
      <c r="V42" s="43"/>
      <c r="W42" s="41"/>
      <c r="X42" s="41"/>
      <c r="Y42" s="41">
        <v>1</v>
      </c>
      <c r="Z42" s="41">
        <v>1</v>
      </c>
      <c r="AA42" s="41">
        <v>1</v>
      </c>
      <c r="AB42" s="41">
        <v>1</v>
      </c>
      <c r="AC42" s="41"/>
      <c r="AD42" s="44"/>
      <c r="AE42" s="40">
        <v>11</v>
      </c>
      <c r="AF42" s="38">
        <v>6</v>
      </c>
      <c r="AG42" s="45">
        <v>12.5</v>
      </c>
      <c r="AH42" s="40" t="str">
        <f t="shared" si="0"/>
        <v/>
      </c>
      <c r="AI42" s="38"/>
      <c r="AJ42" s="45"/>
      <c r="AK42" s="46"/>
    </row>
    <row r="43" spans="2:37">
      <c r="B43" s="37">
        <v>27</v>
      </c>
      <c r="C43" s="38">
        <v>263586</v>
      </c>
      <c r="D43" s="39" t="s">
        <v>106</v>
      </c>
      <c r="E43" s="39" t="s">
        <v>107</v>
      </c>
      <c r="F43" s="39" t="str">
        <f t="shared" si="1"/>
        <v>Sza…</v>
      </c>
      <c r="G43" s="40"/>
      <c r="H43" s="38"/>
      <c r="I43" s="38">
        <v>0.5</v>
      </c>
      <c r="J43" s="38"/>
      <c r="K43" s="38"/>
      <c r="L43" s="38"/>
      <c r="M43" s="38"/>
      <c r="N43" s="38">
        <v>0.1</v>
      </c>
      <c r="O43" s="38"/>
      <c r="P43" s="38"/>
      <c r="Q43" s="41"/>
      <c r="R43" s="41">
        <v>1</v>
      </c>
      <c r="S43" s="41"/>
      <c r="T43" s="41"/>
      <c r="U43" s="42"/>
      <c r="V43" s="43"/>
      <c r="W43" s="41">
        <v>1</v>
      </c>
      <c r="X43" s="41">
        <v>1</v>
      </c>
      <c r="Y43" s="41">
        <v>1</v>
      </c>
      <c r="Z43" s="41">
        <v>1.5</v>
      </c>
      <c r="AA43" s="41">
        <v>1</v>
      </c>
      <c r="AB43" s="41">
        <v>1.5</v>
      </c>
      <c r="AC43" s="41"/>
      <c r="AD43" s="44"/>
      <c r="AE43" s="40"/>
      <c r="AF43" s="38"/>
      <c r="AG43" s="45"/>
      <c r="AH43" s="40" t="str">
        <f t="shared" si="0"/>
        <v/>
      </c>
      <c r="AI43" s="38"/>
      <c r="AJ43" s="45"/>
      <c r="AK43" s="46"/>
    </row>
    <row r="44" spans="2:37">
      <c r="B44" s="37">
        <v>28</v>
      </c>
      <c r="C44" s="38">
        <v>226286</v>
      </c>
      <c r="D44" s="39" t="s">
        <v>108</v>
      </c>
      <c r="E44" s="39" t="s">
        <v>109</v>
      </c>
      <c r="F44" s="39" t="str">
        <f t="shared" si="1"/>
        <v>Szc…</v>
      </c>
      <c r="G44" s="40"/>
      <c r="H44" s="38"/>
      <c r="I44" s="38"/>
      <c r="J44" s="38"/>
      <c r="K44" s="38"/>
      <c r="L44" s="38"/>
      <c r="M44" s="38"/>
      <c r="N44" s="38"/>
      <c r="O44" s="38"/>
      <c r="P44" s="38"/>
      <c r="Q44" s="41"/>
      <c r="R44" s="41"/>
      <c r="S44" s="41"/>
      <c r="T44" s="41"/>
      <c r="U44" s="42"/>
      <c r="V44" s="43"/>
      <c r="W44" s="41"/>
      <c r="X44" s="41"/>
      <c r="Y44" s="41"/>
      <c r="Z44" s="41"/>
      <c r="AA44" s="41"/>
      <c r="AB44" s="41"/>
      <c r="AC44" s="41"/>
      <c r="AD44" s="44"/>
      <c r="AE44" s="40">
        <v>7</v>
      </c>
      <c r="AF44" s="38">
        <v>3</v>
      </c>
      <c r="AG44" s="45">
        <v>12.5</v>
      </c>
      <c r="AH44" s="40" t="str">
        <f t="shared" si="0"/>
        <v/>
      </c>
      <c r="AI44" s="38"/>
      <c r="AJ44" s="45"/>
      <c r="AK44" s="46"/>
    </row>
    <row r="45" spans="2:37">
      <c r="B45" s="37">
        <v>29</v>
      </c>
      <c r="C45" s="38">
        <v>263587</v>
      </c>
      <c r="D45" s="39" t="s">
        <v>70</v>
      </c>
      <c r="E45" s="39" t="s">
        <v>110</v>
      </c>
      <c r="F45" s="39" t="str">
        <f t="shared" si="1"/>
        <v>Szw…</v>
      </c>
      <c r="G45" s="40"/>
      <c r="H45" s="38">
        <v>0.3</v>
      </c>
      <c r="I45" s="38"/>
      <c r="J45" s="38"/>
      <c r="K45" s="38">
        <v>1</v>
      </c>
      <c r="L45" s="38">
        <v>0.3</v>
      </c>
      <c r="M45" s="38"/>
      <c r="N45" s="38"/>
      <c r="O45" s="38"/>
      <c r="P45" s="38"/>
      <c r="Q45" s="41"/>
      <c r="R45" s="41"/>
      <c r="S45" s="41"/>
      <c r="T45" s="41"/>
      <c r="U45" s="42"/>
      <c r="V45" s="43"/>
      <c r="W45" s="41">
        <v>1</v>
      </c>
      <c r="X45" s="41">
        <v>1</v>
      </c>
      <c r="Y45" s="41">
        <v>1</v>
      </c>
      <c r="Z45" s="41"/>
      <c r="AA45" s="41">
        <v>1</v>
      </c>
      <c r="AB45" s="41">
        <v>1</v>
      </c>
      <c r="AC45" s="41"/>
      <c r="AD45" s="44"/>
      <c r="AE45" s="40"/>
      <c r="AF45" s="38"/>
      <c r="AG45" s="45"/>
      <c r="AH45" s="40" t="str">
        <f t="shared" si="0"/>
        <v/>
      </c>
      <c r="AI45" s="38"/>
      <c r="AJ45" s="45"/>
      <c r="AK45" s="46"/>
    </row>
    <row r="46" spans="2:37">
      <c r="B46" s="37">
        <v>30</v>
      </c>
      <c r="C46" s="38">
        <v>263588</v>
      </c>
      <c r="D46" s="39" t="s">
        <v>111</v>
      </c>
      <c r="E46" s="39" t="s">
        <v>112</v>
      </c>
      <c r="F46" s="39" t="str">
        <f t="shared" si="1"/>
        <v>Świ…</v>
      </c>
      <c r="G46" s="40"/>
      <c r="H46" s="38"/>
      <c r="I46" s="38"/>
      <c r="J46" s="38"/>
      <c r="K46" s="38"/>
      <c r="L46" s="38"/>
      <c r="M46" s="38"/>
      <c r="N46" s="38"/>
      <c r="O46" s="38"/>
      <c r="P46" s="38"/>
      <c r="Q46" s="41"/>
      <c r="R46" s="41"/>
      <c r="S46" s="41"/>
      <c r="T46" s="41"/>
      <c r="U46" s="42"/>
      <c r="V46" s="43"/>
      <c r="W46" s="41"/>
      <c r="X46" s="41"/>
      <c r="Y46" s="41"/>
      <c r="Z46" s="41"/>
      <c r="AA46" s="41"/>
      <c r="AB46" s="41"/>
      <c r="AC46" s="41"/>
      <c r="AD46" s="44"/>
      <c r="AE46" s="40">
        <v>10</v>
      </c>
      <c r="AF46" s="38">
        <v>3</v>
      </c>
      <c r="AG46" s="45">
        <v>9</v>
      </c>
      <c r="AH46" s="40" t="str">
        <f t="shared" si="0"/>
        <v/>
      </c>
      <c r="AI46" s="38"/>
      <c r="AJ46" s="45"/>
      <c r="AK46" s="46"/>
    </row>
    <row r="47" spans="2:37">
      <c r="B47" s="37">
        <v>31</v>
      </c>
      <c r="C47" s="38">
        <v>250480</v>
      </c>
      <c r="D47" s="39" t="s">
        <v>113</v>
      </c>
      <c r="E47" s="39" t="s">
        <v>114</v>
      </c>
      <c r="F47" s="39" t="str">
        <f t="shared" si="1"/>
        <v>Top…</v>
      </c>
      <c r="G47" s="40"/>
      <c r="H47" s="38"/>
      <c r="I47" s="38"/>
      <c r="J47" s="38"/>
      <c r="K47" s="38"/>
      <c r="L47" s="38"/>
      <c r="M47" s="38"/>
      <c r="N47" s="38"/>
      <c r="O47" s="38"/>
      <c r="P47" s="38"/>
      <c r="Q47" s="41"/>
      <c r="R47" s="41"/>
      <c r="S47" s="41"/>
      <c r="T47" s="41"/>
      <c r="U47" s="42"/>
      <c r="V47" s="43"/>
      <c r="W47" s="41"/>
      <c r="X47" s="41"/>
      <c r="Y47" s="41"/>
      <c r="Z47" s="41"/>
      <c r="AA47" s="41"/>
      <c r="AB47" s="41"/>
      <c r="AC47" s="41"/>
      <c r="AD47" s="44"/>
      <c r="AE47" s="40"/>
      <c r="AF47" s="38"/>
      <c r="AG47" s="45"/>
      <c r="AH47" s="40" t="str">
        <f t="shared" si="0"/>
        <v/>
      </c>
      <c r="AI47" s="38"/>
      <c r="AJ47" s="45"/>
      <c r="AK47" s="46"/>
    </row>
    <row r="48" spans="2:37">
      <c r="B48" s="37">
        <v>32</v>
      </c>
      <c r="C48" s="41">
        <v>239745</v>
      </c>
      <c r="D48" s="48" t="s">
        <v>113</v>
      </c>
      <c r="E48" s="48" t="s">
        <v>115</v>
      </c>
      <c r="F48" s="48" t="str">
        <f t="shared" si="1"/>
        <v>Tow…</v>
      </c>
      <c r="G48" s="40"/>
      <c r="H48" s="38">
        <v>1.2</v>
      </c>
      <c r="I48" s="38"/>
      <c r="J48" s="38">
        <v>0.5</v>
      </c>
      <c r="K48" s="38">
        <v>0.5</v>
      </c>
      <c r="L48" s="38">
        <v>0.5</v>
      </c>
      <c r="M48" s="38">
        <v>1</v>
      </c>
      <c r="N48" s="38">
        <v>1</v>
      </c>
      <c r="O48" s="38">
        <v>0.5</v>
      </c>
      <c r="P48" s="38"/>
      <c r="Q48" s="41"/>
      <c r="R48" s="41">
        <v>1</v>
      </c>
      <c r="S48" s="41"/>
      <c r="T48" s="41"/>
      <c r="U48" s="42"/>
      <c r="V48" s="43"/>
      <c r="W48" s="41">
        <v>1</v>
      </c>
      <c r="X48" s="41">
        <v>1</v>
      </c>
      <c r="Y48" s="41">
        <v>1</v>
      </c>
      <c r="Z48" s="41">
        <v>1.5</v>
      </c>
      <c r="AA48" s="41"/>
      <c r="AB48" s="41"/>
      <c r="AC48" s="41"/>
      <c r="AD48" s="44"/>
      <c r="AE48" s="40"/>
      <c r="AF48" s="38"/>
      <c r="AG48" s="45"/>
      <c r="AH48" s="40" t="str">
        <f t="shared" si="0"/>
        <v/>
      </c>
      <c r="AI48" s="38"/>
      <c r="AJ48" s="45"/>
      <c r="AK48" s="46"/>
    </row>
    <row r="49" spans="2:37">
      <c r="B49" s="37">
        <v>33</v>
      </c>
      <c r="C49" s="38">
        <v>263589</v>
      </c>
      <c r="D49" s="39" t="s">
        <v>90</v>
      </c>
      <c r="E49" s="39" t="s">
        <v>116</v>
      </c>
      <c r="F49" s="39" t="str">
        <f t="shared" si="1"/>
        <v>Wró…</v>
      </c>
      <c r="G49" s="40"/>
      <c r="H49" s="38">
        <v>1</v>
      </c>
      <c r="I49" s="38"/>
      <c r="J49" s="38">
        <v>1</v>
      </c>
      <c r="K49" s="38">
        <v>0.5</v>
      </c>
      <c r="L49" s="38"/>
      <c r="M49" s="38">
        <v>0.5</v>
      </c>
      <c r="N49" s="38"/>
      <c r="O49" s="38">
        <v>0.5</v>
      </c>
      <c r="P49" s="38"/>
      <c r="Q49" s="41"/>
      <c r="R49" s="41">
        <v>1</v>
      </c>
      <c r="S49" s="41"/>
      <c r="T49" s="41"/>
      <c r="U49" s="42"/>
      <c r="V49" s="43">
        <v>1</v>
      </c>
      <c r="W49" s="41"/>
      <c r="X49" s="41"/>
      <c r="Y49" s="41"/>
      <c r="Z49" s="41">
        <v>1</v>
      </c>
      <c r="AA49" s="41">
        <v>1</v>
      </c>
      <c r="AB49" s="41">
        <v>1</v>
      </c>
      <c r="AC49" s="41"/>
      <c r="AD49" s="44"/>
      <c r="AE49" s="40"/>
      <c r="AF49" s="38"/>
      <c r="AG49" s="45"/>
      <c r="AH49" s="40" t="str">
        <f t="shared" si="0"/>
        <v/>
      </c>
      <c r="AI49" s="38"/>
      <c r="AJ49" s="45"/>
      <c r="AK49" s="46"/>
    </row>
    <row r="50" spans="2:37">
      <c r="B50" s="37">
        <v>34</v>
      </c>
      <c r="C50" s="38">
        <v>266689</v>
      </c>
      <c r="D50" s="39" t="s">
        <v>59</v>
      </c>
      <c r="E50" s="39" t="s">
        <v>117</v>
      </c>
      <c r="F50" s="39" t="str">
        <f t="shared" si="1"/>
        <v>Zdu…</v>
      </c>
      <c r="G50" s="40"/>
      <c r="H50" s="38"/>
      <c r="I50" s="38"/>
      <c r="J50" s="38"/>
      <c r="K50" s="38">
        <v>1</v>
      </c>
      <c r="L50" s="38"/>
      <c r="M50" s="38">
        <v>1.5</v>
      </c>
      <c r="N50" s="38"/>
      <c r="O50" s="38">
        <v>0.5</v>
      </c>
      <c r="P50" s="38">
        <v>0.5</v>
      </c>
      <c r="Q50" s="41">
        <v>1</v>
      </c>
      <c r="R50" s="41"/>
      <c r="S50" s="41"/>
      <c r="T50" s="41"/>
      <c r="U50" s="42"/>
      <c r="V50" s="43"/>
      <c r="W50" s="41">
        <v>1</v>
      </c>
      <c r="X50" s="41">
        <v>1</v>
      </c>
      <c r="Y50" s="41">
        <v>1</v>
      </c>
      <c r="Z50" s="41"/>
      <c r="AA50" s="41">
        <v>1.5</v>
      </c>
      <c r="AB50" s="41">
        <v>1</v>
      </c>
      <c r="AC50" s="41"/>
      <c r="AD50" s="44"/>
      <c r="AE50" s="40"/>
      <c r="AF50" s="38"/>
      <c r="AG50" s="45"/>
      <c r="AH50" s="40" t="str">
        <f t="shared" si="0"/>
        <v/>
      </c>
      <c r="AI50" s="38"/>
      <c r="AJ50" s="45"/>
      <c r="AK50" s="46"/>
    </row>
    <row r="51" spans="2:37">
      <c r="B51" s="37">
        <v>35</v>
      </c>
      <c r="C51" s="41">
        <v>263594</v>
      </c>
      <c r="D51" s="48" t="s">
        <v>118</v>
      </c>
      <c r="E51" s="48" t="s">
        <v>119</v>
      </c>
      <c r="F51" s="48" t="str">
        <f t="shared" si="1"/>
        <v>Bie…</v>
      </c>
      <c r="G51" s="40"/>
      <c r="H51" s="38"/>
      <c r="I51" s="38"/>
      <c r="J51" s="38"/>
      <c r="K51" s="38"/>
      <c r="L51" s="38"/>
      <c r="M51" s="38"/>
      <c r="N51" s="38"/>
      <c r="O51" s="38"/>
      <c r="P51" s="38"/>
      <c r="Q51" s="41"/>
      <c r="R51" s="41"/>
      <c r="S51" s="41"/>
      <c r="T51" s="41"/>
      <c r="U51" s="42"/>
      <c r="V51" s="43"/>
      <c r="W51" s="41"/>
      <c r="X51" s="41"/>
      <c r="Y51" s="41"/>
      <c r="Z51" s="41"/>
      <c r="AA51" s="41"/>
      <c r="AB51" s="41"/>
      <c r="AC51" s="41"/>
      <c r="AD51" s="44"/>
      <c r="AE51" s="40">
        <v>6</v>
      </c>
      <c r="AF51" s="38">
        <v>2.5</v>
      </c>
      <c r="AG51" s="45">
        <v>7.5</v>
      </c>
      <c r="AH51" s="40" t="str">
        <f t="shared" si="0"/>
        <v/>
      </c>
      <c r="AI51" s="38"/>
      <c r="AJ51" s="45"/>
      <c r="AK51" s="46"/>
    </row>
    <row r="52" spans="2:37">
      <c r="B52" s="37">
        <v>36</v>
      </c>
      <c r="C52" s="38">
        <v>263595</v>
      </c>
      <c r="D52" s="39" t="s">
        <v>118</v>
      </c>
      <c r="E52" s="39" t="s">
        <v>120</v>
      </c>
      <c r="F52" s="39" t="str">
        <f t="shared" si="1"/>
        <v>Dur…</v>
      </c>
      <c r="G52" s="49">
        <v>1</v>
      </c>
      <c r="H52" s="41"/>
      <c r="I52" s="41"/>
      <c r="J52" s="41"/>
      <c r="K52" s="41">
        <v>0.3</v>
      </c>
      <c r="L52" s="41"/>
      <c r="M52" s="41"/>
      <c r="N52" s="41"/>
      <c r="O52" s="41"/>
      <c r="P52" s="41">
        <v>1</v>
      </c>
      <c r="Q52" s="41"/>
      <c r="R52" s="41"/>
      <c r="S52" s="41"/>
      <c r="T52" s="41"/>
      <c r="U52" s="42"/>
      <c r="V52" s="43"/>
      <c r="W52" s="41"/>
      <c r="X52" s="41">
        <v>1</v>
      </c>
      <c r="Y52" s="41">
        <v>1</v>
      </c>
      <c r="Z52" s="41">
        <v>1.5</v>
      </c>
      <c r="AA52" s="41"/>
      <c r="AB52" s="41">
        <v>1</v>
      </c>
      <c r="AC52" s="41"/>
      <c r="AD52" s="44"/>
      <c r="AE52" s="40">
        <v>6</v>
      </c>
      <c r="AF52" s="38">
        <v>5.5</v>
      </c>
      <c r="AG52" s="45">
        <v>1</v>
      </c>
      <c r="AH52" s="40" t="str">
        <f t="shared" si="0"/>
        <v/>
      </c>
      <c r="AI52" s="38"/>
      <c r="AJ52" s="45"/>
      <c r="AK52" s="46"/>
    </row>
    <row r="53" spans="2:37">
      <c r="B53" s="37">
        <v>37</v>
      </c>
      <c r="C53" s="38">
        <v>263596</v>
      </c>
      <c r="D53" s="39" t="s">
        <v>76</v>
      </c>
      <c r="E53" s="39" t="s">
        <v>121</v>
      </c>
      <c r="F53" s="39" t="str">
        <f t="shared" si="1"/>
        <v>Gol…</v>
      </c>
      <c r="G53" s="49"/>
      <c r="H53" s="41"/>
      <c r="I53" s="41"/>
      <c r="J53" s="41"/>
      <c r="K53" s="41"/>
      <c r="L53" s="41"/>
      <c r="M53" s="41"/>
      <c r="N53" s="41">
        <v>0.1</v>
      </c>
      <c r="O53" s="41"/>
      <c r="P53" s="41">
        <v>1</v>
      </c>
      <c r="Q53" s="41"/>
      <c r="R53" s="41"/>
      <c r="S53" s="41"/>
      <c r="T53" s="41"/>
      <c r="U53" s="42"/>
      <c r="V53" s="43"/>
      <c r="W53" s="41">
        <v>1</v>
      </c>
      <c r="X53" s="41"/>
      <c r="Y53" s="41"/>
      <c r="Z53" s="41"/>
      <c r="AA53" s="41">
        <v>1</v>
      </c>
      <c r="AB53" s="41"/>
      <c r="AC53" s="41"/>
      <c r="AD53" s="44"/>
      <c r="AE53" s="40">
        <v>8</v>
      </c>
      <c r="AF53" s="38">
        <v>2</v>
      </c>
      <c r="AG53" s="45">
        <v>8.5</v>
      </c>
      <c r="AH53" s="40" t="str">
        <f t="shared" si="0"/>
        <v/>
      </c>
      <c r="AI53" s="38"/>
      <c r="AJ53" s="45"/>
      <c r="AK53" s="46"/>
    </row>
    <row r="54" spans="2:37">
      <c r="B54" s="37">
        <v>38</v>
      </c>
      <c r="C54" s="38">
        <v>214693</v>
      </c>
      <c r="D54" s="39" t="s">
        <v>72</v>
      </c>
      <c r="E54" s="39" t="s">
        <v>122</v>
      </c>
      <c r="F54" s="39" t="str">
        <f t="shared" si="1"/>
        <v>Jak…</v>
      </c>
      <c r="G54" s="40"/>
      <c r="H54" s="38"/>
      <c r="I54" s="38">
        <v>1</v>
      </c>
      <c r="J54" s="38"/>
      <c r="K54" s="38">
        <v>0.5</v>
      </c>
      <c r="L54" s="38">
        <v>0.3</v>
      </c>
      <c r="M54" s="38">
        <v>0.5</v>
      </c>
      <c r="N54" s="38">
        <v>0.5</v>
      </c>
      <c r="O54" s="38"/>
      <c r="P54" s="38">
        <v>0.5</v>
      </c>
      <c r="Q54" s="41"/>
      <c r="R54" s="41"/>
      <c r="S54" s="41"/>
      <c r="T54" s="41"/>
      <c r="U54" s="42"/>
      <c r="V54" s="43"/>
      <c r="W54" s="41"/>
      <c r="X54" s="41"/>
      <c r="Y54" s="41">
        <v>1</v>
      </c>
      <c r="Z54" s="41">
        <v>1.5</v>
      </c>
      <c r="AA54" s="41">
        <v>1</v>
      </c>
      <c r="AB54" s="41">
        <v>1.5</v>
      </c>
      <c r="AC54" s="41"/>
      <c r="AD54" s="44"/>
      <c r="AE54" s="40"/>
      <c r="AF54" s="38"/>
      <c r="AG54" s="45"/>
      <c r="AH54" s="40" t="str">
        <f t="shared" si="0"/>
        <v/>
      </c>
      <c r="AI54" s="38"/>
      <c r="AJ54" s="45"/>
      <c r="AK54" s="46"/>
    </row>
    <row r="55" spans="2:37">
      <c r="B55" s="37">
        <v>39</v>
      </c>
      <c r="C55" s="38">
        <v>256314</v>
      </c>
      <c r="D55" s="39" t="s">
        <v>123</v>
      </c>
      <c r="E55" s="39" t="s">
        <v>124</v>
      </c>
      <c r="F55" s="39" t="str">
        <f t="shared" si="1"/>
        <v>Kud…</v>
      </c>
      <c r="G55" s="40"/>
      <c r="H55" s="38"/>
      <c r="I55" s="38"/>
      <c r="J55" s="38"/>
      <c r="K55" s="38"/>
      <c r="L55" s="38"/>
      <c r="M55" s="38"/>
      <c r="N55" s="38"/>
      <c r="O55" s="38"/>
      <c r="P55" s="38"/>
      <c r="Q55" s="41"/>
      <c r="R55" s="41"/>
      <c r="S55" s="41"/>
      <c r="T55" s="41"/>
      <c r="U55" s="42"/>
      <c r="V55" s="43"/>
      <c r="W55" s="41">
        <v>1</v>
      </c>
      <c r="X55" s="41">
        <v>1</v>
      </c>
      <c r="Y55" s="41"/>
      <c r="Z55" s="41"/>
      <c r="AA55" s="41"/>
      <c r="AB55" s="41"/>
      <c r="AC55" s="41"/>
      <c r="AD55" s="44"/>
      <c r="AE55" s="40"/>
      <c r="AF55" s="38"/>
      <c r="AG55" s="45"/>
      <c r="AH55" s="40" t="str">
        <f t="shared" si="0"/>
        <v/>
      </c>
      <c r="AI55" s="38"/>
      <c r="AJ55" s="45"/>
      <c r="AK55" s="46"/>
    </row>
    <row r="56" spans="2:37" ht="13.8" thickBot="1">
      <c r="B56" s="50">
        <v>40</v>
      </c>
      <c r="C56" s="51">
        <v>250714</v>
      </c>
      <c r="D56" s="52" t="s">
        <v>125</v>
      </c>
      <c r="E56" s="52" t="s">
        <v>126</v>
      </c>
      <c r="F56" s="52" t="str">
        <f t="shared" si="1"/>
        <v>Rut…</v>
      </c>
      <c r="G56" s="53"/>
      <c r="H56" s="51"/>
      <c r="I56" s="51"/>
      <c r="J56" s="51"/>
      <c r="K56" s="51">
        <v>0.5</v>
      </c>
      <c r="L56" s="51"/>
      <c r="M56" s="51"/>
      <c r="N56" s="51"/>
      <c r="O56" s="51"/>
      <c r="P56" s="51">
        <v>1</v>
      </c>
      <c r="Q56" s="54"/>
      <c r="R56" s="54"/>
      <c r="S56" s="54"/>
      <c r="T56" s="54"/>
      <c r="U56" s="55"/>
      <c r="V56" s="56">
        <v>1</v>
      </c>
      <c r="W56" s="54"/>
      <c r="X56" s="54"/>
      <c r="Y56" s="54"/>
      <c r="Z56" s="54"/>
      <c r="AA56" s="54"/>
      <c r="AB56" s="54"/>
      <c r="AC56" s="54"/>
      <c r="AD56" s="57"/>
      <c r="AE56" s="53">
        <v>9</v>
      </c>
      <c r="AF56" s="51">
        <v>2</v>
      </c>
      <c r="AG56" s="58">
        <v>10</v>
      </c>
      <c r="AH56" s="53" t="str">
        <f t="shared" si="0"/>
        <v/>
      </c>
      <c r="AI56" s="51"/>
      <c r="AJ56" s="58"/>
      <c r="AK56" s="59"/>
    </row>
  </sheetData>
  <mergeCells count="14">
    <mergeCell ref="AJ14:AJ16"/>
    <mergeCell ref="AK14:AK16"/>
    <mergeCell ref="G15:U15"/>
    <mergeCell ref="V15:AD15"/>
    <mergeCell ref="B13:AK13"/>
    <mergeCell ref="B14:B16"/>
    <mergeCell ref="C14:C16"/>
    <mergeCell ref="D14:D16"/>
    <mergeCell ref="E14:E16"/>
    <mergeCell ref="F14:F16"/>
    <mergeCell ref="G14:AD14"/>
    <mergeCell ref="AE14:AG15"/>
    <mergeCell ref="AH14:AH16"/>
    <mergeCell ref="AI14:AI16"/>
  </mergeCells>
  <pageMargins left="0.7" right="0.7" top="0.75" bottom="0.75" header="0.3" footer="0.3"/>
  <pageSetup paperSize="9" orientation="portrait" r:id="rId1"/>
  <headerFooter>
    <oddFooter>&amp;Lã LabMasters.pl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04"/>
  <dimension ref="B3:AK91"/>
  <sheetViews>
    <sheetView zoomScaleNormal="100" workbookViewId="0"/>
  </sheetViews>
  <sheetFormatPr defaultColWidth="9.109375" defaultRowHeight="13.8"/>
  <cols>
    <col min="1" max="3" width="9.109375" style="60"/>
    <col min="4" max="4" width="10.88671875" style="60" bestFit="1" customWidth="1"/>
    <col min="5" max="19" width="5.44140625" style="60" customWidth="1"/>
    <col min="20" max="20" width="7.6640625" style="60" customWidth="1"/>
    <col min="21" max="21" width="11.109375" style="60" customWidth="1"/>
    <col min="22" max="27" width="7.6640625" style="60" customWidth="1"/>
    <col min="28" max="28" width="11.5546875" style="60" customWidth="1"/>
    <col min="29" max="29" width="12.88671875" style="60" customWidth="1"/>
    <col min="30" max="31" width="9.109375" style="60"/>
    <col min="32" max="32" width="12.44140625" style="60" customWidth="1"/>
    <col min="33" max="16384" width="9.109375" style="60"/>
  </cols>
  <sheetData>
    <row r="3" spans="2:10" ht="14.25" customHeight="1"/>
    <row r="4" spans="2:10" ht="14.25" customHeight="1">
      <c r="B4" s="10" t="s">
        <v>127</v>
      </c>
      <c r="C4" s="61"/>
      <c r="D4" s="61"/>
      <c r="E4" s="61"/>
      <c r="F4" s="61"/>
      <c r="G4" s="61"/>
      <c r="H4" s="61"/>
      <c r="I4" s="62"/>
      <c r="J4" s="62"/>
    </row>
    <row r="5" spans="2:10" ht="14.25" customHeight="1">
      <c r="B5" s="10" t="s">
        <v>128</v>
      </c>
      <c r="C5" s="61"/>
      <c r="D5" s="61"/>
      <c r="E5" s="61"/>
      <c r="F5" s="61"/>
      <c r="G5" s="61"/>
      <c r="H5" s="61"/>
      <c r="I5" s="62"/>
      <c r="J5" s="62"/>
    </row>
    <row r="6" spans="2:10" ht="14.25" customHeight="1">
      <c r="B6" s="63" t="s">
        <v>129</v>
      </c>
      <c r="C6" s="61"/>
      <c r="D6" s="61"/>
      <c r="E6" s="61"/>
      <c r="F6" s="61"/>
      <c r="G6" s="61"/>
      <c r="H6" s="61"/>
      <c r="I6" s="62"/>
      <c r="J6" s="62"/>
    </row>
    <row r="7" spans="2:10" ht="14.25" customHeight="1">
      <c r="B7" s="63" t="s">
        <v>130</v>
      </c>
      <c r="C7" s="61"/>
      <c r="D7" s="61"/>
      <c r="E7" s="61"/>
      <c r="F7" s="61"/>
      <c r="G7" s="61"/>
      <c r="H7" s="61"/>
      <c r="I7" s="62"/>
      <c r="J7" s="62"/>
    </row>
    <row r="8" spans="2:10" ht="14.25" customHeight="1">
      <c r="B8" s="63" t="s">
        <v>131</v>
      </c>
      <c r="C8" s="61"/>
      <c r="D8" s="61"/>
      <c r="E8" s="61"/>
      <c r="F8" s="61"/>
      <c r="G8" s="61"/>
      <c r="H8" s="61"/>
      <c r="I8" s="62"/>
      <c r="J8" s="62"/>
    </row>
    <row r="9" spans="2:10" ht="14.25" customHeight="1"/>
    <row r="10" spans="2:10" ht="14.25" customHeight="1"/>
    <row r="11" spans="2:10" ht="14.25" customHeight="1"/>
    <row r="12" spans="2:10" ht="14.25" customHeight="1"/>
    <row r="13" spans="2:10" ht="14.25" customHeight="1"/>
    <row r="14" spans="2:10" ht="14.25" customHeight="1"/>
    <row r="15" spans="2:10" ht="14.25" customHeight="1"/>
    <row r="22" ht="14.25" customHeight="1"/>
    <row r="35" spans="2:37">
      <c r="B35" s="64" t="s">
        <v>132</v>
      </c>
    </row>
    <row r="36" spans="2:37">
      <c r="B36" s="65" t="s">
        <v>133</v>
      </c>
    </row>
    <row r="37" spans="2:37">
      <c r="B37" s="60" t="s">
        <v>134</v>
      </c>
    </row>
    <row r="38" spans="2:37">
      <c r="B38" s="60" t="s">
        <v>135</v>
      </c>
    </row>
    <row r="39" spans="2:37">
      <c r="B39" s="60" t="s">
        <v>136</v>
      </c>
    </row>
    <row r="40" spans="2:37">
      <c r="B40" s="60" t="s">
        <v>137</v>
      </c>
    </row>
    <row r="41" spans="2:37">
      <c r="B41" s="60" t="s">
        <v>138</v>
      </c>
    </row>
    <row r="42" spans="2:37">
      <c r="B42" s="60" t="s">
        <v>139</v>
      </c>
    </row>
    <row r="44" spans="2:37" ht="33" thickBot="1">
      <c r="B44" s="204" t="s">
        <v>140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4"/>
      <c r="O44" s="204"/>
      <c r="P44" s="204"/>
      <c r="Q44" s="204"/>
      <c r="R44" s="204"/>
      <c r="S44" s="204"/>
      <c r="T44" s="204"/>
      <c r="U44" s="204"/>
      <c r="V44" s="204"/>
      <c r="W44" s="204"/>
      <c r="X44" s="204"/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66"/>
      <c r="AJ44" s="66"/>
      <c r="AK44" s="67"/>
    </row>
    <row r="45" spans="2:37" ht="15" customHeight="1" thickBot="1">
      <c r="B45" s="205" t="s">
        <v>141</v>
      </c>
      <c r="C45" s="207" t="s">
        <v>142</v>
      </c>
      <c r="D45" s="207" t="s">
        <v>143</v>
      </c>
      <c r="E45" s="209" t="s">
        <v>31</v>
      </c>
      <c r="F45" s="209"/>
      <c r="G45" s="209"/>
      <c r="H45" s="209"/>
      <c r="I45" s="209"/>
      <c r="J45" s="209"/>
      <c r="K45" s="209"/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 t="s">
        <v>32</v>
      </c>
      <c r="W45" s="209"/>
      <c r="X45" s="209"/>
      <c r="Y45" s="209"/>
      <c r="Z45" s="209"/>
      <c r="AA45" s="209"/>
      <c r="AB45" s="209"/>
      <c r="AC45" s="209"/>
      <c r="AD45" s="210" t="s">
        <v>144</v>
      </c>
      <c r="AE45" s="212" t="s">
        <v>145</v>
      </c>
      <c r="AF45" s="214" t="s">
        <v>146</v>
      </c>
      <c r="AG45" s="214" t="s">
        <v>147</v>
      </c>
      <c r="AH45" s="202" t="s">
        <v>148</v>
      </c>
    </row>
    <row r="46" spans="2:37" ht="27" thickBot="1">
      <c r="B46" s="206"/>
      <c r="C46" s="208"/>
      <c r="D46" s="208"/>
      <c r="E46" s="68" t="s">
        <v>33</v>
      </c>
      <c r="F46" s="69" t="s">
        <v>34</v>
      </c>
      <c r="G46" s="69" t="s">
        <v>35</v>
      </c>
      <c r="H46" s="69" t="s">
        <v>36</v>
      </c>
      <c r="I46" s="69" t="s">
        <v>37</v>
      </c>
      <c r="J46" s="69" t="s">
        <v>38</v>
      </c>
      <c r="K46" s="69" t="s">
        <v>39</v>
      </c>
      <c r="L46" s="69" t="s">
        <v>40</v>
      </c>
      <c r="M46" s="69" t="s">
        <v>41</v>
      </c>
      <c r="N46" s="69" t="s">
        <v>42</v>
      </c>
      <c r="O46" s="69" t="s">
        <v>43</v>
      </c>
      <c r="P46" s="69" t="s">
        <v>44</v>
      </c>
      <c r="Q46" s="69" t="s">
        <v>45</v>
      </c>
      <c r="R46" s="69" t="s">
        <v>46</v>
      </c>
      <c r="S46" s="70" t="s">
        <v>149</v>
      </c>
      <c r="T46" s="71" t="s">
        <v>150</v>
      </c>
      <c r="U46" s="72" t="s">
        <v>151</v>
      </c>
      <c r="V46" s="73" t="s">
        <v>47</v>
      </c>
      <c r="W46" s="69" t="s">
        <v>48</v>
      </c>
      <c r="X46" s="73" t="s">
        <v>49</v>
      </c>
      <c r="Y46" s="69" t="s">
        <v>50</v>
      </c>
      <c r="Z46" s="73" t="s">
        <v>51</v>
      </c>
      <c r="AA46" s="69" t="s">
        <v>52</v>
      </c>
      <c r="AB46" s="74" t="s">
        <v>152</v>
      </c>
      <c r="AC46" s="75" t="s">
        <v>153</v>
      </c>
      <c r="AD46" s="211"/>
      <c r="AE46" s="213"/>
      <c r="AF46" s="215"/>
      <c r="AG46" s="215"/>
      <c r="AH46" s="203"/>
    </row>
    <row r="47" spans="2:37">
      <c r="B47" s="76">
        <v>1</v>
      </c>
      <c r="C47" s="77">
        <v>318994</v>
      </c>
      <c r="D47" s="78" t="s">
        <v>154</v>
      </c>
      <c r="E47" s="79">
        <v>0.5</v>
      </c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80"/>
      <c r="T47" s="80">
        <v>5</v>
      </c>
      <c r="U47" s="81"/>
      <c r="V47" s="82">
        <v>1</v>
      </c>
      <c r="W47" s="82">
        <v>1</v>
      </c>
      <c r="X47" s="82">
        <v>0</v>
      </c>
      <c r="Y47" s="77">
        <v>3</v>
      </c>
      <c r="Z47" s="77">
        <v>5</v>
      </c>
      <c r="AA47" s="77">
        <v>1.5</v>
      </c>
      <c r="AB47" s="83"/>
      <c r="AC47" s="84"/>
      <c r="AD47" s="85"/>
      <c r="AE47" s="86"/>
      <c r="AF47" s="87">
        <v>44.333333333333336</v>
      </c>
      <c r="AG47" s="88"/>
      <c r="AH47" s="89"/>
    </row>
    <row r="48" spans="2:37">
      <c r="B48" s="90">
        <f>B47+1</f>
        <v>2</v>
      </c>
      <c r="C48" s="91">
        <v>319351</v>
      </c>
      <c r="D48" s="92" t="s">
        <v>155</v>
      </c>
      <c r="E48" s="93">
        <v>0.5</v>
      </c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4"/>
      <c r="T48" s="94"/>
      <c r="U48" s="95"/>
      <c r="V48" s="96">
        <v>3</v>
      </c>
      <c r="W48" s="96"/>
      <c r="X48" s="96">
        <v>0</v>
      </c>
      <c r="Y48" s="91">
        <v>1</v>
      </c>
      <c r="Z48" s="91">
        <v>2</v>
      </c>
      <c r="AA48" s="91">
        <v>2</v>
      </c>
      <c r="AB48" s="97"/>
      <c r="AC48" s="98"/>
      <c r="AD48" s="99"/>
      <c r="AE48" s="100"/>
      <c r="AF48" s="101"/>
      <c r="AG48" s="102"/>
      <c r="AH48" s="103"/>
    </row>
    <row r="49" spans="2:34">
      <c r="B49" s="90">
        <f t="shared" ref="B49:B91" si="0">B48+1</f>
        <v>3</v>
      </c>
      <c r="C49" s="91">
        <v>319594</v>
      </c>
      <c r="D49" s="92" t="s">
        <v>156</v>
      </c>
      <c r="E49" s="93">
        <v>0.5</v>
      </c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>
        <v>1</v>
      </c>
      <c r="Q49" s="91"/>
      <c r="R49" s="91">
        <v>1</v>
      </c>
      <c r="S49" s="94"/>
      <c r="T49" s="94">
        <v>5</v>
      </c>
      <c r="U49" s="95"/>
      <c r="V49" s="96">
        <v>4</v>
      </c>
      <c r="W49" s="96">
        <v>3</v>
      </c>
      <c r="X49" s="96">
        <v>0</v>
      </c>
      <c r="Y49" s="91">
        <v>4</v>
      </c>
      <c r="Z49" s="91">
        <v>5</v>
      </c>
      <c r="AA49" s="91">
        <v>4</v>
      </c>
      <c r="AB49" s="97"/>
      <c r="AC49" s="98"/>
      <c r="AD49" s="99"/>
      <c r="AE49" s="100"/>
      <c r="AF49" s="101">
        <v>58.333333333333336</v>
      </c>
      <c r="AG49" s="102"/>
      <c r="AH49" s="103"/>
    </row>
    <row r="50" spans="2:34">
      <c r="B50" s="90">
        <f t="shared" si="0"/>
        <v>4</v>
      </c>
      <c r="C50" s="91">
        <v>320725</v>
      </c>
      <c r="D50" s="92" t="s">
        <v>157</v>
      </c>
      <c r="E50" s="93">
        <v>1</v>
      </c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>
        <v>1</v>
      </c>
      <c r="S50" s="94"/>
      <c r="T50" s="94"/>
      <c r="U50" s="95"/>
      <c r="V50" s="96">
        <v>3</v>
      </c>
      <c r="W50" s="96">
        <v>4</v>
      </c>
      <c r="X50" s="96">
        <v>0.5</v>
      </c>
      <c r="Y50" s="91">
        <v>3</v>
      </c>
      <c r="Z50" s="91">
        <v>5</v>
      </c>
      <c r="AA50" s="91">
        <v>3.5</v>
      </c>
      <c r="AB50" s="97"/>
      <c r="AC50" s="98"/>
      <c r="AD50" s="99"/>
      <c r="AE50" s="100"/>
      <c r="AF50" s="101">
        <v>58.333333333333336</v>
      </c>
      <c r="AG50" s="102"/>
      <c r="AH50" s="103"/>
    </row>
    <row r="51" spans="2:34">
      <c r="B51" s="90">
        <f t="shared" si="0"/>
        <v>5</v>
      </c>
      <c r="C51" s="91">
        <v>327669</v>
      </c>
      <c r="D51" s="92" t="s">
        <v>158</v>
      </c>
      <c r="E51" s="93">
        <v>1</v>
      </c>
      <c r="F51" s="91"/>
      <c r="G51" s="91"/>
      <c r="H51" s="91"/>
      <c r="I51" s="91">
        <v>1</v>
      </c>
      <c r="J51" s="91"/>
      <c r="K51" s="91"/>
      <c r="L51" s="91">
        <v>2.5</v>
      </c>
      <c r="M51" s="91"/>
      <c r="N51" s="91"/>
      <c r="O51" s="91"/>
      <c r="P51" s="91"/>
      <c r="Q51" s="91">
        <v>1</v>
      </c>
      <c r="R51" s="91"/>
      <c r="S51" s="94"/>
      <c r="T51" s="94">
        <f>5+1</f>
        <v>6</v>
      </c>
      <c r="U51" s="95"/>
      <c r="V51" s="96">
        <v>3</v>
      </c>
      <c r="W51" s="96">
        <v>2</v>
      </c>
      <c r="X51" s="96">
        <v>0</v>
      </c>
      <c r="Y51" s="91">
        <v>3</v>
      </c>
      <c r="Z51" s="91">
        <v>4</v>
      </c>
      <c r="AA51" s="91">
        <v>2</v>
      </c>
      <c r="AB51" s="97"/>
      <c r="AC51" s="98"/>
      <c r="AD51" s="99"/>
      <c r="AE51" s="100"/>
      <c r="AF51" s="101">
        <v>44.333333333333336</v>
      </c>
      <c r="AG51" s="102"/>
      <c r="AH51" s="103"/>
    </row>
    <row r="52" spans="2:34">
      <c r="B52" s="90">
        <f t="shared" si="0"/>
        <v>6</v>
      </c>
      <c r="C52" s="91">
        <v>325343</v>
      </c>
      <c r="D52" s="92" t="s">
        <v>159</v>
      </c>
      <c r="E52" s="93">
        <v>0.5</v>
      </c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4"/>
      <c r="T52" s="94">
        <v>5</v>
      </c>
      <c r="U52" s="95"/>
      <c r="V52" s="96">
        <v>3</v>
      </c>
      <c r="W52" s="96">
        <v>0</v>
      </c>
      <c r="X52" s="96">
        <v>0</v>
      </c>
      <c r="Y52" s="91">
        <v>1</v>
      </c>
      <c r="Z52" s="91">
        <v>0</v>
      </c>
      <c r="AA52" s="91">
        <v>0</v>
      </c>
      <c r="AB52" s="97"/>
      <c r="AC52" s="98"/>
      <c r="AD52" s="99"/>
      <c r="AE52" s="100"/>
      <c r="AF52" s="101"/>
      <c r="AG52" s="102"/>
      <c r="AH52" s="103"/>
    </row>
    <row r="53" spans="2:34">
      <c r="B53" s="90">
        <f t="shared" si="0"/>
        <v>7</v>
      </c>
      <c r="C53" s="91">
        <v>320726</v>
      </c>
      <c r="D53" s="92" t="s">
        <v>155</v>
      </c>
      <c r="E53" s="93">
        <v>1</v>
      </c>
      <c r="F53" s="91">
        <v>1</v>
      </c>
      <c r="G53" s="91"/>
      <c r="H53" s="91"/>
      <c r="I53" s="91">
        <v>0.5</v>
      </c>
      <c r="J53" s="91">
        <v>0.5</v>
      </c>
      <c r="K53" s="91"/>
      <c r="L53" s="91"/>
      <c r="M53" s="91"/>
      <c r="N53" s="91"/>
      <c r="O53" s="91">
        <v>1</v>
      </c>
      <c r="P53" s="91"/>
      <c r="Q53" s="91"/>
      <c r="R53" s="91"/>
      <c r="S53" s="94"/>
      <c r="T53" s="94">
        <v>1</v>
      </c>
      <c r="U53" s="95"/>
      <c r="V53" s="96">
        <v>4</v>
      </c>
      <c r="W53" s="96">
        <v>3</v>
      </c>
      <c r="X53" s="96">
        <v>5</v>
      </c>
      <c r="Y53" s="91">
        <v>4</v>
      </c>
      <c r="Z53" s="91">
        <v>4</v>
      </c>
      <c r="AA53" s="91">
        <v>4.5</v>
      </c>
      <c r="AB53" s="97"/>
      <c r="AC53" s="98"/>
      <c r="AD53" s="99"/>
      <c r="AE53" s="100"/>
      <c r="AF53" s="101">
        <v>63</v>
      </c>
      <c r="AG53" s="102"/>
      <c r="AH53" s="103"/>
    </row>
    <row r="54" spans="2:34">
      <c r="B54" s="90">
        <f t="shared" si="0"/>
        <v>8</v>
      </c>
      <c r="C54" s="91"/>
      <c r="D54" s="92" t="s">
        <v>160</v>
      </c>
      <c r="E54" s="93">
        <v>0.5</v>
      </c>
      <c r="F54" s="91"/>
      <c r="G54" s="91"/>
      <c r="H54" s="91"/>
      <c r="I54" s="91"/>
      <c r="J54" s="104"/>
      <c r="K54" s="91"/>
      <c r="L54" s="91"/>
      <c r="M54" s="91"/>
      <c r="N54" s="91"/>
      <c r="O54" s="91"/>
      <c r="P54" s="91"/>
      <c r="Q54" s="91"/>
      <c r="R54" s="91"/>
      <c r="S54" s="94"/>
      <c r="T54" s="94"/>
      <c r="U54" s="95"/>
      <c r="V54" s="96"/>
      <c r="W54" s="96"/>
      <c r="X54" s="96"/>
      <c r="Y54" s="91"/>
      <c r="Z54" s="91"/>
      <c r="AA54" s="91"/>
      <c r="AB54" s="97"/>
      <c r="AC54" s="98"/>
      <c r="AD54" s="99"/>
      <c r="AE54" s="100"/>
      <c r="AF54" s="101"/>
      <c r="AG54" s="102"/>
      <c r="AH54" s="103"/>
    </row>
    <row r="55" spans="2:34">
      <c r="B55" s="90">
        <f t="shared" si="0"/>
        <v>9</v>
      </c>
      <c r="C55" s="91">
        <v>292651</v>
      </c>
      <c r="D55" s="92" t="s">
        <v>161</v>
      </c>
      <c r="E55" s="93">
        <v>1.5</v>
      </c>
      <c r="F55" s="91">
        <v>0.5</v>
      </c>
      <c r="G55" s="91">
        <v>0.5</v>
      </c>
      <c r="H55" s="91">
        <v>1</v>
      </c>
      <c r="I55" s="91">
        <v>1</v>
      </c>
      <c r="J55" s="91"/>
      <c r="K55" s="91"/>
      <c r="L55" s="91"/>
      <c r="M55" s="91"/>
      <c r="N55" s="91"/>
      <c r="O55" s="91"/>
      <c r="P55" s="91"/>
      <c r="Q55" s="91">
        <v>1</v>
      </c>
      <c r="R55" s="91">
        <v>1.5</v>
      </c>
      <c r="S55" s="94">
        <v>5</v>
      </c>
      <c r="T55" s="94"/>
      <c r="U55" s="95"/>
      <c r="V55" s="96">
        <v>3</v>
      </c>
      <c r="W55" s="96">
        <v>2</v>
      </c>
      <c r="X55" s="96">
        <v>0</v>
      </c>
      <c r="Y55" s="91">
        <v>4</v>
      </c>
      <c r="Z55" s="91">
        <v>1</v>
      </c>
      <c r="AA55" s="91">
        <v>2</v>
      </c>
      <c r="AB55" s="97"/>
      <c r="AC55" s="98"/>
      <c r="AD55" s="99"/>
      <c r="AE55" s="100"/>
      <c r="AF55" s="101">
        <v>49</v>
      </c>
      <c r="AG55" s="102"/>
      <c r="AH55" s="103"/>
    </row>
    <row r="56" spans="2:34">
      <c r="B56" s="90">
        <f t="shared" si="0"/>
        <v>10</v>
      </c>
      <c r="C56" s="91">
        <v>320728</v>
      </c>
      <c r="D56" s="92" t="s">
        <v>157</v>
      </c>
      <c r="E56" s="93">
        <v>1</v>
      </c>
      <c r="F56" s="91"/>
      <c r="G56" s="91"/>
      <c r="H56" s="91"/>
      <c r="I56" s="91">
        <v>0.5</v>
      </c>
      <c r="J56" s="91">
        <v>1</v>
      </c>
      <c r="K56" s="91">
        <v>0.75</v>
      </c>
      <c r="L56" s="91"/>
      <c r="M56" s="91"/>
      <c r="N56" s="91"/>
      <c r="O56" s="91"/>
      <c r="P56" s="91">
        <v>1</v>
      </c>
      <c r="Q56" s="91"/>
      <c r="R56" s="91">
        <v>1.5</v>
      </c>
      <c r="S56" s="94"/>
      <c r="T56" s="94">
        <f>5+1</f>
        <v>6</v>
      </c>
      <c r="U56" s="95"/>
      <c r="V56" s="96">
        <v>4</v>
      </c>
      <c r="W56" s="96">
        <v>4</v>
      </c>
      <c r="X56" s="96">
        <v>0.5</v>
      </c>
      <c r="Y56" s="91">
        <v>4</v>
      </c>
      <c r="Z56" s="91">
        <v>4</v>
      </c>
      <c r="AA56" s="91">
        <v>2</v>
      </c>
      <c r="AB56" s="97"/>
      <c r="AC56" s="98"/>
      <c r="AD56" s="99"/>
      <c r="AE56" s="100"/>
      <c r="AF56" s="101">
        <v>51.333333333333336</v>
      </c>
      <c r="AG56" s="102"/>
      <c r="AH56" s="103"/>
    </row>
    <row r="57" spans="2:34">
      <c r="B57" s="90">
        <f t="shared" si="0"/>
        <v>11</v>
      </c>
      <c r="C57" s="91">
        <v>320730</v>
      </c>
      <c r="D57" s="92" t="s">
        <v>162</v>
      </c>
      <c r="E57" s="93">
        <v>1</v>
      </c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4"/>
      <c r="T57" s="94">
        <v>5</v>
      </c>
      <c r="U57" s="95"/>
      <c r="V57" s="96">
        <v>2</v>
      </c>
      <c r="W57" s="96">
        <v>2</v>
      </c>
      <c r="X57" s="96">
        <v>1</v>
      </c>
      <c r="Y57" s="91">
        <v>4</v>
      </c>
      <c r="Z57" s="91">
        <v>2</v>
      </c>
      <c r="AA57" s="91">
        <v>2</v>
      </c>
      <c r="AB57" s="97"/>
      <c r="AC57" s="98"/>
      <c r="AD57" s="99"/>
      <c r="AE57" s="100"/>
      <c r="AF57" s="101">
        <v>46.666666666666664</v>
      </c>
      <c r="AG57" s="102"/>
      <c r="AH57" s="103"/>
    </row>
    <row r="58" spans="2:34">
      <c r="B58" s="90">
        <f t="shared" si="0"/>
        <v>12</v>
      </c>
      <c r="C58" s="91">
        <v>320733</v>
      </c>
      <c r="D58" s="92" t="s">
        <v>161</v>
      </c>
      <c r="E58" s="93">
        <v>1</v>
      </c>
      <c r="F58" s="91"/>
      <c r="G58" s="91"/>
      <c r="H58" s="91"/>
      <c r="I58" s="91">
        <v>1</v>
      </c>
      <c r="J58" s="91"/>
      <c r="K58" s="91"/>
      <c r="L58" s="91"/>
      <c r="M58" s="91"/>
      <c r="N58" s="91"/>
      <c r="O58" s="91"/>
      <c r="P58" s="91"/>
      <c r="Q58" s="91"/>
      <c r="R58" s="91"/>
      <c r="S58" s="94"/>
      <c r="T58" s="94"/>
      <c r="U58" s="95"/>
      <c r="V58" s="96">
        <v>3</v>
      </c>
      <c r="W58" s="96">
        <v>3</v>
      </c>
      <c r="X58" s="96">
        <v>3.5</v>
      </c>
      <c r="Y58" s="91">
        <v>2</v>
      </c>
      <c r="Z58" s="91">
        <v>3</v>
      </c>
      <c r="AA58" s="91"/>
      <c r="AB58" s="97"/>
      <c r="AC58" s="98"/>
      <c r="AD58" s="99"/>
      <c r="AE58" s="100"/>
      <c r="AF58" s="101"/>
      <c r="AG58" s="102"/>
      <c r="AH58" s="103"/>
    </row>
    <row r="59" spans="2:34">
      <c r="B59" s="90">
        <f t="shared" si="0"/>
        <v>13</v>
      </c>
      <c r="C59" s="91">
        <v>302421</v>
      </c>
      <c r="D59" s="92" t="s">
        <v>163</v>
      </c>
      <c r="E59" s="93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4"/>
      <c r="T59" s="94"/>
      <c r="U59" s="95"/>
      <c r="V59" s="96"/>
      <c r="W59" s="96"/>
      <c r="X59" s="96"/>
      <c r="Y59" s="91"/>
      <c r="Z59" s="91"/>
      <c r="AA59" s="91"/>
      <c r="AB59" s="97"/>
      <c r="AC59" s="98"/>
      <c r="AD59" s="99"/>
      <c r="AE59" s="100"/>
      <c r="AF59" s="101"/>
      <c r="AG59" s="102"/>
      <c r="AH59" s="103"/>
    </row>
    <row r="60" spans="2:34">
      <c r="B60" s="90">
        <f t="shared" si="0"/>
        <v>14</v>
      </c>
      <c r="C60" s="91">
        <v>319603</v>
      </c>
      <c r="D60" s="92" t="s">
        <v>164</v>
      </c>
      <c r="E60" s="93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4"/>
      <c r="T60" s="94">
        <v>5</v>
      </c>
      <c r="U60" s="95"/>
      <c r="V60" s="96">
        <v>3</v>
      </c>
      <c r="W60" s="96">
        <v>5</v>
      </c>
      <c r="X60" s="96">
        <v>0.5</v>
      </c>
      <c r="Y60" s="91">
        <v>4</v>
      </c>
      <c r="Z60" s="91">
        <v>3</v>
      </c>
      <c r="AA60" s="91">
        <v>3</v>
      </c>
      <c r="AB60" s="97"/>
      <c r="AC60" s="98"/>
      <c r="AD60" s="99"/>
      <c r="AE60" s="100"/>
      <c r="AF60" s="101">
        <v>39.666666666666664</v>
      </c>
      <c r="AG60" s="102"/>
      <c r="AH60" s="103"/>
    </row>
    <row r="61" spans="2:34">
      <c r="B61" s="90">
        <f t="shared" si="0"/>
        <v>15</v>
      </c>
      <c r="C61" s="91">
        <v>320738</v>
      </c>
      <c r="D61" s="92" t="s">
        <v>165</v>
      </c>
      <c r="E61" s="93">
        <v>1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4"/>
      <c r="T61" s="94"/>
      <c r="U61" s="95"/>
      <c r="V61" s="96">
        <v>4</v>
      </c>
      <c r="W61" s="96">
        <v>5</v>
      </c>
      <c r="X61" s="96">
        <v>3</v>
      </c>
      <c r="Y61" s="91">
        <v>3</v>
      </c>
      <c r="Z61" s="91">
        <v>5</v>
      </c>
      <c r="AA61" s="91"/>
      <c r="AB61" s="97"/>
      <c r="AC61" s="98"/>
      <c r="AD61" s="99"/>
      <c r="AE61" s="100"/>
      <c r="AF61" s="101">
        <v>53.666666666666664</v>
      </c>
      <c r="AG61" s="102"/>
      <c r="AH61" s="103"/>
    </row>
    <row r="62" spans="2:34">
      <c r="B62" s="90">
        <f t="shared" si="0"/>
        <v>16</v>
      </c>
      <c r="C62" s="91">
        <v>320746</v>
      </c>
      <c r="D62" s="92" t="s">
        <v>166</v>
      </c>
      <c r="E62" s="93">
        <v>1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4"/>
      <c r="T62" s="94">
        <v>5</v>
      </c>
      <c r="U62" s="95"/>
      <c r="V62" s="96">
        <v>1</v>
      </c>
      <c r="W62" s="96">
        <v>0</v>
      </c>
      <c r="X62" s="96">
        <v>1</v>
      </c>
      <c r="Y62" s="91">
        <v>4</v>
      </c>
      <c r="Z62" s="91">
        <v>4</v>
      </c>
      <c r="AA62" s="91"/>
      <c r="AB62" s="97"/>
      <c r="AC62" s="98"/>
      <c r="AD62" s="99"/>
      <c r="AE62" s="100"/>
      <c r="AF62" s="101">
        <v>44.333333333333336</v>
      </c>
      <c r="AG62" s="102"/>
      <c r="AH62" s="103"/>
    </row>
    <row r="63" spans="2:34">
      <c r="B63" s="90">
        <f t="shared" si="0"/>
        <v>17</v>
      </c>
      <c r="C63" s="91">
        <v>320748</v>
      </c>
      <c r="D63" s="92" t="s">
        <v>167</v>
      </c>
      <c r="E63" s="93">
        <v>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4"/>
      <c r="T63" s="94"/>
      <c r="U63" s="95"/>
      <c r="V63" s="96">
        <v>2</v>
      </c>
      <c r="W63" s="96">
        <v>4</v>
      </c>
      <c r="X63" s="96">
        <v>3.5</v>
      </c>
      <c r="Y63" s="91">
        <v>5</v>
      </c>
      <c r="Z63" s="91">
        <v>5</v>
      </c>
      <c r="AA63" s="91">
        <v>3</v>
      </c>
      <c r="AB63" s="97"/>
      <c r="AC63" s="98"/>
      <c r="AD63" s="99"/>
      <c r="AE63" s="100"/>
      <c r="AF63" s="101">
        <v>56</v>
      </c>
      <c r="AG63" s="102"/>
      <c r="AH63" s="103"/>
    </row>
    <row r="64" spans="2:34">
      <c r="B64" s="90">
        <f t="shared" si="0"/>
        <v>18</v>
      </c>
      <c r="C64" s="91">
        <v>306301</v>
      </c>
      <c r="D64" s="92" t="s">
        <v>168</v>
      </c>
      <c r="E64" s="93"/>
      <c r="F64" s="91"/>
      <c r="G64" s="91"/>
      <c r="H64" s="91"/>
      <c r="I64" s="91"/>
      <c r="J64" s="91">
        <v>1</v>
      </c>
      <c r="K64" s="91">
        <v>1.5</v>
      </c>
      <c r="L64" s="91"/>
      <c r="M64" s="91"/>
      <c r="N64" s="91"/>
      <c r="O64" s="91">
        <v>2</v>
      </c>
      <c r="P64" s="91"/>
      <c r="Q64" s="91"/>
      <c r="R64" s="91">
        <v>2</v>
      </c>
      <c r="S64" s="94"/>
      <c r="T64" s="94">
        <f>5+4.5</f>
        <v>9.5</v>
      </c>
      <c r="U64" s="95"/>
      <c r="V64" s="96">
        <v>3</v>
      </c>
      <c r="W64" s="96">
        <v>2</v>
      </c>
      <c r="X64" s="96">
        <v>2</v>
      </c>
      <c r="Y64" s="91">
        <v>4</v>
      </c>
      <c r="Z64" s="91">
        <v>4</v>
      </c>
      <c r="AA64" s="91">
        <v>4</v>
      </c>
      <c r="AB64" s="97"/>
      <c r="AC64" s="98"/>
      <c r="AD64" s="99"/>
      <c r="AE64" s="100"/>
      <c r="AF64" s="101">
        <v>58.333333333333336</v>
      </c>
      <c r="AG64" s="102"/>
      <c r="AH64" s="103"/>
    </row>
    <row r="65" spans="2:34">
      <c r="B65" s="90">
        <f t="shared" si="0"/>
        <v>19</v>
      </c>
      <c r="C65" s="91">
        <v>327673</v>
      </c>
      <c r="D65" s="92" t="s">
        <v>169</v>
      </c>
      <c r="E65" s="93"/>
      <c r="F65" s="91"/>
      <c r="G65" s="91"/>
      <c r="H65" s="91"/>
      <c r="I65" s="91"/>
      <c r="J65" s="91"/>
      <c r="K65" s="91"/>
      <c r="L65" s="91">
        <v>1</v>
      </c>
      <c r="M65" s="91"/>
      <c r="N65" s="91">
        <v>1</v>
      </c>
      <c r="O65" s="91"/>
      <c r="P65" s="91"/>
      <c r="Q65" s="91"/>
      <c r="R65" s="91"/>
      <c r="S65" s="94"/>
      <c r="T65" s="94"/>
      <c r="U65" s="95"/>
      <c r="V65" s="96">
        <v>3</v>
      </c>
      <c r="W65" s="96">
        <v>1</v>
      </c>
      <c r="X65" s="96">
        <v>1</v>
      </c>
      <c r="Y65" s="91">
        <v>3</v>
      </c>
      <c r="Z65" s="91">
        <v>3</v>
      </c>
      <c r="AA65" s="91">
        <v>2</v>
      </c>
      <c r="AB65" s="97"/>
      <c r="AC65" s="98"/>
      <c r="AD65" s="99"/>
      <c r="AE65" s="100"/>
      <c r="AF65" s="101">
        <v>53.666666666666664</v>
      </c>
      <c r="AG65" s="102"/>
      <c r="AH65" s="103"/>
    </row>
    <row r="66" spans="2:34">
      <c r="B66" s="90">
        <f t="shared" si="0"/>
        <v>20</v>
      </c>
      <c r="C66" s="91">
        <v>320756</v>
      </c>
      <c r="D66" s="92" t="s">
        <v>170</v>
      </c>
      <c r="E66" s="93">
        <v>0.5</v>
      </c>
      <c r="F66" s="91">
        <v>1</v>
      </c>
      <c r="G66" s="91"/>
      <c r="H66" s="91"/>
      <c r="I66" s="91">
        <v>0.5</v>
      </c>
      <c r="J66" s="91"/>
      <c r="K66" s="91"/>
      <c r="L66" s="91"/>
      <c r="M66" s="91"/>
      <c r="N66" s="91"/>
      <c r="O66" s="91"/>
      <c r="P66" s="91">
        <v>0.5</v>
      </c>
      <c r="Q66" s="91"/>
      <c r="R66" s="91"/>
      <c r="S66" s="94">
        <v>1</v>
      </c>
      <c r="T66" s="94">
        <v>5</v>
      </c>
      <c r="U66" s="95"/>
      <c r="V66" s="96">
        <v>3</v>
      </c>
      <c r="W66" s="96">
        <v>2</v>
      </c>
      <c r="X66" s="96">
        <v>0.75</v>
      </c>
      <c r="Y66" s="91">
        <v>2</v>
      </c>
      <c r="Z66" s="91">
        <v>4</v>
      </c>
      <c r="AA66" s="91">
        <v>4</v>
      </c>
      <c r="AB66" s="97"/>
      <c r="AC66" s="98"/>
      <c r="AD66" s="99"/>
      <c r="AE66" s="100"/>
      <c r="AF66" s="101">
        <v>58.333333333333336</v>
      </c>
      <c r="AG66" s="102"/>
      <c r="AH66" s="103"/>
    </row>
    <row r="67" spans="2:34">
      <c r="B67" s="90">
        <f t="shared" si="0"/>
        <v>21</v>
      </c>
      <c r="C67" s="91">
        <v>320765</v>
      </c>
      <c r="D67" s="92" t="s">
        <v>156</v>
      </c>
      <c r="E67" s="93">
        <v>1</v>
      </c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4"/>
      <c r="T67" s="94"/>
      <c r="U67" s="95"/>
      <c r="V67" s="96">
        <v>1</v>
      </c>
      <c r="W67" s="96">
        <v>2</v>
      </c>
      <c r="X67" s="96">
        <v>4</v>
      </c>
      <c r="Y67" s="91">
        <v>2</v>
      </c>
      <c r="Z67" s="91">
        <v>2</v>
      </c>
      <c r="AA67" s="91"/>
      <c r="AB67" s="97"/>
      <c r="AC67" s="98"/>
      <c r="AD67" s="99"/>
      <c r="AE67" s="100"/>
      <c r="AF67" s="101">
        <v>39.666666666666664</v>
      </c>
      <c r="AG67" s="102"/>
      <c r="AH67" s="103"/>
    </row>
    <row r="68" spans="2:34">
      <c r="B68" s="90">
        <f t="shared" si="0"/>
        <v>22</v>
      </c>
      <c r="C68" s="91">
        <v>320769</v>
      </c>
      <c r="D68" s="92" t="s">
        <v>171</v>
      </c>
      <c r="E68" s="93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4"/>
      <c r="T68" s="94"/>
      <c r="U68" s="95"/>
      <c r="V68" s="96">
        <v>3</v>
      </c>
      <c r="W68" s="96">
        <v>3</v>
      </c>
      <c r="X68" s="96">
        <v>0</v>
      </c>
      <c r="Y68" s="91">
        <v>3</v>
      </c>
      <c r="Z68" s="91">
        <v>4</v>
      </c>
      <c r="AA68" s="91">
        <v>3</v>
      </c>
      <c r="AB68" s="97"/>
      <c r="AC68" s="98"/>
      <c r="AD68" s="99"/>
      <c r="AE68" s="100"/>
      <c r="AF68" s="101">
        <v>39.666666666666664</v>
      </c>
      <c r="AG68" s="102"/>
      <c r="AH68" s="103"/>
    </row>
    <row r="69" spans="2:34">
      <c r="B69" s="90">
        <f t="shared" si="0"/>
        <v>23</v>
      </c>
      <c r="C69" s="91">
        <v>320777</v>
      </c>
      <c r="D69" s="92" t="s">
        <v>172</v>
      </c>
      <c r="E69" s="93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>
        <v>1</v>
      </c>
      <c r="R69" s="91"/>
      <c r="S69" s="94"/>
      <c r="T69" s="94">
        <v>5</v>
      </c>
      <c r="U69" s="95"/>
      <c r="V69" s="96">
        <v>2</v>
      </c>
      <c r="W69" s="96">
        <v>3</v>
      </c>
      <c r="X69" s="96">
        <v>2</v>
      </c>
      <c r="Y69" s="91">
        <v>5</v>
      </c>
      <c r="Z69" s="91">
        <v>3</v>
      </c>
      <c r="AA69" s="91">
        <v>5</v>
      </c>
      <c r="AB69" s="97"/>
      <c r="AC69" s="98"/>
      <c r="AD69" s="99"/>
      <c r="AE69" s="100"/>
      <c r="AF69" s="101">
        <v>37.333333333333336</v>
      </c>
      <c r="AG69" s="102"/>
      <c r="AH69" s="103"/>
    </row>
    <row r="70" spans="2:34">
      <c r="B70" s="90">
        <f t="shared" si="0"/>
        <v>24</v>
      </c>
      <c r="C70" s="105">
        <v>324116</v>
      </c>
      <c r="D70" s="106" t="s">
        <v>173</v>
      </c>
      <c r="E70" s="107"/>
      <c r="F70" s="105"/>
      <c r="G70" s="91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8"/>
      <c r="T70" s="108"/>
      <c r="U70" s="95"/>
      <c r="V70" s="109"/>
      <c r="W70" s="109"/>
      <c r="X70" s="109"/>
      <c r="Y70" s="105"/>
      <c r="Z70" s="105"/>
      <c r="AA70" s="105"/>
      <c r="AB70" s="97"/>
      <c r="AC70" s="98"/>
      <c r="AD70" s="99"/>
      <c r="AE70" s="100"/>
      <c r="AF70" s="101"/>
      <c r="AG70" s="102"/>
      <c r="AH70" s="103"/>
    </row>
    <row r="71" spans="2:34">
      <c r="B71" s="90">
        <f t="shared" si="0"/>
        <v>25</v>
      </c>
      <c r="C71" s="91">
        <v>320783</v>
      </c>
      <c r="D71" s="92" t="s">
        <v>174</v>
      </c>
      <c r="E71" s="93">
        <v>0.5</v>
      </c>
      <c r="F71" s="91">
        <v>1.5</v>
      </c>
      <c r="G71" s="91">
        <v>0.5</v>
      </c>
      <c r="H71" s="91">
        <v>0.5</v>
      </c>
      <c r="I71" s="91">
        <v>1.5</v>
      </c>
      <c r="J71" s="91">
        <v>2</v>
      </c>
      <c r="K71" s="91"/>
      <c r="L71" s="91">
        <v>1</v>
      </c>
      <c r="M71" s="91">
        <v>1</v>
      </c>
      <c r="N71" s="91"/>
      <c r="O71" s="91">
        <v>1.5</v>
      </c>
      <c r="P71" s="91">
        <v>1</v>
      </c>
      <c r="Q71" s="91">
        <v>1</v>
      </c>
      <c r="R71" s="91"/>
      <c r="S71" s="94"/>
      <c r="T71" s="94">
        <v>2</v>
      </c>
      <c r="U71" s="95"/>
      <c r="V71" s="96">
        <v>4</v>
      </c>
      <c r="W71" s="96">
        <v>3</v>
      </c>
      <c r="X71" s="96">
        <v>3.5</v>
      </c>
      <c r="Y71" s="91">
        <v>4</v>
      </c>
      <c r="Z71" s="91">
        <v>4</v>
      </c>
      <c r="AA71" s="91">
        <v>5</v>
      </c>
      <c r="AB71" s="97"/>
      <c r="AC71" s="98"/>
      <c r="AD71" s="99"/>
      <c r="AE71" s="100"/>
      <c r="AF71" s="101">
        <v>63</v>
      </c>
      <c r="AG71" s="102"/>
      <c r="AH71" s="103"/>
    </row>
    <row r="72" spans="2:34">
      <c r="B72" s="90">
        <f t="shared" si="0"/>
        <v>26</v>
      </c>
      <c r="C72" s="91">
        <v>320788</v>
      </c>
      <c r="D72" s="92" t="s">
        <v>156</v>
      </c>
      <c r="E72" s="93">
        <v>0.5</v>
      </c>
      <c r="F72" s="91"/>
      <c r="G72" s="91"/>
      <c r="H72" s="91"/>
      <c r="I72" s="91"/>
      <c r="J72" s="91"/>
      <c r="K72" s="91">
        <v>0.5</v>
      </c>
      <c r="L72" s="91">
        <v>1</v>
      </c>
      <c r="M72" s="91"/>
      <c r="N72" s="91"/>
      <c r="O72" s="91">
        <v>2</v>
      </c>
      <c r="P72" s="91"/>
      <c r="Q72" s="91">
        <v>1</v>
      </c>
      <c r="R72" s="91"/>
      <c r="S72" s="94"/>
      <c r="T72" s="94">
        <v>5</v>
      </c>
      <c r="U72" s="95"/>
      <c r="V72" s="96">
        <v>2</v>
      </c>
      <c r="W72" s="96">
        <v>2</v>
      </c>
      <c r="X72" s="96">
        <v>4</v>
      </c>
      <c r="Y72" s="91">
        <v>3</v>
      </c>
      <c r="Z72" s="91">
        <v>4</v>
      </c>
      <c r="AA72" s="91">
        <v>3</v>
      </c>
      <c r="AB72" s="97"/>
      <c r="AC72" s="98"/>
      <c r="AD72" s="99"/>
      <c r="AE72" s="100"/>
      <c r="AF72" s="101">
        <v>42</v>
      </c>
      <c r="AG72" s="102"/>
      <c r="AH72" s="103"/>
    </row>
    <row r="73" spans="2:34">
      <c r="B73" s="90">
        <f t="shared" si="0"/>
        <v>27</v>
      </c>
      <c r="C73" s="91">
        <v>325456</v>
      </c>
      <c r="D73" s="92" t="s">
        <v>175</v>
      </c>
      <c r="E73" s="93">
        <v>0.5</v>
      </c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4"/>
      <c r="T73" s="94">
        <v>5</v>
      </c>
      <c r="U73" s="95"/>
      <c r="V73" s="96">
        <v>0</v>
      </c>
      <c r="W73" s="96"/>
      <c r="X73" s="96">
        <v>0</v>
      </c>
      <c r="Y73" s="91"/>
      <c r="Z73" s="91"/>
      <c r="AA73" s="91"/>
      <c r="AB73" s="97"/>
      <c r="AC73" s="98"/>
      <c r="AD73" s="99"/>
      <c r="AE73" s="100"/>
      <c r="AF73" s="101"/>
      <c r="AG73" s="102"/>
      <c r="AH73" s="103"/>
    </row>
    <row r="74" spans="2:34">
      <c r="B74" s="90">
        <f t="shared" si="0"/>
        <v>28</v>
      </c>
      <c r="C74" s="91">
        <v>320793</v>
      </c>
      <c r="D74" s="92" t="s">
        <v>176</v>
      </c>
      <c r="E74" s="93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4"/>
      <c r="T74" s="94">
        <v>5</v>
      </c>
      <c r="U74" s="95"/>
      <c r="V74" s="96">
        <v>2</v>
      </c>
      <c r="W74" s="96">
        <v>1</v>
      </c>
      <c r="X74" s="96">
        <v>0</v>
      </c>
      <c r="Y74" s="91">
        <v>1</v>
      </c>
      <c r="Z74" s="91">
        <v>2</v>
      </c>
      <c r="AA74" s="91">
        <v>4</v>
      </c>
      <c r="AB74" s="97"/>
      <c r="AC74" s="98"/>
      <c r="AD74" s="99"/>
      <c r="AE74" s="100"/>
      <c r="AF74" s="101">
        <v>32.666666666666664</v>
      </c>
      <c r="AG74" s="102"/>
      <c r="AH74" s="103"/>
    </row>
    <row r="75" spans="2:34">
      <c r="B75" s="90">
        <f t="shared" si="0"/>
        <v>29</v>
      </c>
      <c r="C75" s="91">
        <v>309193</v>
      </c>
      <c r="D75" s="92" t="s">
        <v>177</v>
      </c>
      <c r="E75" s="93">
        <v>1</v>
      </c>
      <c r="F75" s="91">
        <v>0.5</v>
      </c>
      <c r="G75" s="91"/>
      <c r="H75" s="91"/>
      <c r="I75" s="91">
        <v>0.5</v>
      </c>
      <c r="J75" s="91"/>
      <c r="K75" s="91"/>
      <c r="L75" s="91"/>
      <c r="M75" s="91">
        <v>1</v>
      </c>
      <c r="N75" s="91"/>
      <c r="O75" s="91"/>
      <c r="P75" s="91"/>
      <c r="Q75" s="91">
        <v>1</v>
      </c>
      <c r="R75" s="91"/>
      <c r="S75" s="94"/>
      <c r="T75" s="94"/>
      <c r="U75" s="95"/>
      <c r="V75" s="96">
        <v>2</v>
      </c>
      <c r="W75" s="96">
        <v>1</v>
      </c>
      <c r="X75" s="96">
        <v>0</v>
      </c>
      <c r="Y75" s="91">
        <v>4</v>
      </c>
      <c r="Z75" s="91">
        <v>3</v>
      </c>
      <c r="AA75" s="91">
        <v>1</v>
      </c>
      <c r="AB75" s="97"/>
      <c r="AC75" s="98"/>
      <c r="AD75" s="99"/>
      <c r="AE75" s="100"/>
      <c r="AF75" s="101">
        <v>42</v>
      </c>
      <c r="AG75" s="102"/>
      <c r="AH75" s="103"/>
    </row>
    <row r="76" spans="2:34">
      <c r="B76" s="90">
        <f t="shared" si="0"/>
        <v>30</v>
      </c>
      <c r="C76" s="91">
        <v>320796</v>
      </c>
      <c r="D76" s="92" t="s">
        <v>178</v>
      </c>
      <c r="E76" s="93">
        <v>1</v>
      </c>
      <c r="F76" s="91"/>
      <c r="G76" s="91">
        <v>0.5</v>
      </c>
      <c r="H76" s="91"/>
      <c r="I76" s="91"/>
      <c r="J76" s="91">
        <v>0.5</v>
      </c>
      <c r="K76" s="91">
        <v>0.5</v>
      </c>
      <c r="L76" s="91"/>
      <c r="M76" s="91"/>
      <c r="N76" s="91"/>
      <c r="O76" s="91">
        <v>2</v>
      </c>
      <c r="P76" s="91"/>
      <c r="Q76" s="91"/>
      <c r="R76" s="91"/>
      <c r="S76" s="94"/>
      <c r="T76" s="94">
        <v>5</v>
      </c>
      <c r="U76" s="95"/>
      <c r="V76" s="96">
        <v>2</v>
      </c>
      <c r="W76" s="96">
        <v>3</v>
      </c>
      <c r="X76" s="96">
        <v>4.5</v>
      </c>
      <c r="Y76" s="91">
        <v>5</v>
      </c>
      <c r="Z76" s="91">
        <v>4</v>
      </c>
      <c r="AA76" s="91">
        <v>3.5</v>
      </c>
      <c r="AB76" s="97"/>
      <c r="AC76" s="98"/>
      <c r="AD76" s="99"/>
      <c r="AE76" s="100"/>
      <c r="AF76" s="101">
        <v>49</v>
      </c>
      <c r="AG76" s="102"/>
      <c r="AH76" s="103"/>
    </row>
    <row r="77" spans="2:34">
      <c r="B77" s="90">
        <f t="shared" si="0"/>
        <v>31</v>
      </c>
      <c r="C77" s="91">
        <v>320799</v>
      </c>
      <c r="D77" s="92" t="s">
        <v>179</v>
      </c>
      <c r="E77" s="93">
        <v>0.5</v>
      </c>
      <c r="F77" s="91">
        <v>2</v>
      </c>
      <c r="G77" s="91"/>
      <c r="H77" s="91">
        <v>0.5</v>
      </c>
      <c r="I77" s="91"/>
      <c r="J77" s="91"/>
      <c r="K77" s="91"/>
      <c r="L77" s="91">
        <v>1.5</v>
      </c>
      <c r="M77" s="91"/>
      <c r="N77" s="91"/>
      <c r="O77" s="91"/>
      <c r="P77" s="91">
        <v>1</v>
      </c>
      <c r="Q77" s="91">
        <v>1</v>
      </c>
      <c r="R77" s="91"/>
      <c r="S77" s="94"/>
      <c r="T77" s="94">
        <v>1.5</v>
      </c>
      <c r="U77" s="95"/>
      <c r="V77" s="96">
        <v>4</v>
      </c>
      <c r="W77" s="96">
        <v>4</v>
      </c>
      <c r="X77" s="96">
        <v>1.5</v>
      </c>
      <c r="Y77" s="91">
        <v>2</v>
      </c>
      <c r="Z77" s="91">
        <v>4</v>
      </c>
      <c r="AA77" s="91">
        <v>0.5</v>
      </c>
      <c r="AB77" s="97"/>
      <c r="AC77" s="98"/>
      <c r="AD77" s="99"/>
      <c r="AE77" s="100"/>
      <c r="AF77" s="101">
        <v>58.333333333333336</v>
      </c>
      <c r="AG77" s="102"/>
      <c r="AH77" s="103"/>
    </row>
    <row r="78" spans="2:34">
      <c r="B78" s="90">
        <f t="shared" si="0"/>
        <v>32</v>
      </c>
      <c r="C78" s="91">
        <v>320802</v>
      </c>
      <c r="D78" s="92" t="s">
        <v>171</v>
      </c>
      <c r="E78" s="93">
        <v>1</v>
      </c>
      <c r="F78" s="91">
        <v>0.5</v>
      </c>
      <c r="G78" s="91">
        <v>0.5</v>
      </c>
      <c r="H78" s="91"/>
      <c r="I78" s="91"/>
      <c r="J78" s="91">
        <v>0.5</v>
      </c>
      <c r="K78" s="91">
        <v>2</v>
      </c>
      <c r="L78" s="91">
        <v>1</v>
      </c>
      <c r="M78" s="91"/>
      <c r="N78" s="91">
        <v>1</v>
      </c>
      <c r="O78" s="91"/>
      <c r="P78" s="91"/>
      <c r="Q78" s="91">
        <v>1</v>
      </c>
      <c r="R78" s="91">
        <v>4.5</v>
      </c>
      <c r="S78" s="94">
        <v>3</v>
      </c>
      <c r="T78" s="94"/>
      <c r="U78" s="95"/>
      <c r="V78" s="96">
        <v>4</v>
      </c>
      <c r="W78" s="96">
        <v>3</v>
      </c>
      <c r="X78" s="96">
        <v>3</v>
      </c>
      <c r="Y78" s="91">
        <v>1</v>
      </c>
      <c r="Z78" s="91">
        <v>3</v>
      </c>
      <c r="AA78" s="91">
        <v>2</v>
      </c>
      <c r="AB78" s="97"/>
      <c r="AC78" s="98"/>
      <c r="AD78" s="99"/>
      <c r="AE78" s="100"/>
      <c r="AF78" s="101">
        <v>49</v>
      </c>
      <c r="AG78" s="102"/>
      <c r="AH78" s="103"/>
    </row>
    <row r="79" spans="2:34">
      <c r="B79" s="90">
        <f t="shared" si="0"/>
        <v>33</v>
      </c>
      <c r="C79" s="91"/>
      <c r="D79" s="92" t="s">
        <v>167</v>
      </c>
      <c r="E79" s="93">
        <v>0.5</v>
      </c>
      <c r="F79" s="91"/>
      <c r="G79" s="91"/>
      <c r="H79" s="91"/>
      <c r="I79" s="91"/>
      <c r="J79" s="91"/>
      <c r="K79" s="91"/>
      <c r="L79" s="91">
        <v>1</v>
      </c>
      <c r="M79" s="91"/>
      <c r="N79" s="91"/>
      <c r="O79" s="91">
        <v>0.5</v>
      </c>
      <c r="P79" s="91"/>
      <c r="Q79" s="91"/>
      <c r="R79" s="91"/>
      <c r="S79" s="94"/>
      <c r="T79" s="94"/>
      <c r="U79" s="95"/>
      <c r="V79" s="96">
        <v>4</v>
      </c>
      <c r="W79" s="96">
        <v>5</v>
      </c>
      <c r="X79" s="96">
        <v>1.5</v>
      </c>
      <c r="Y79" s="91">
        <v>5</v>
      </c>
      <c r="Z79" s="91">
        <v>3</v>
      </c>
      <c r="AA79" s="91">
        <v>3</v>
      </c>
      <c r="AB79" s="97"/>
      <c r="AC79" s="98"/>
      <c r="AD79" s="99"/>
      <c r="AE79" s="100"/>
      <c r="AF79" s="101">
        <v>44.333333333333336</v>
      </c>
      <c r="AG79" s="102"/>
      <c r="AH79" s="103"/>
    </row>
    <row r="80" spans="2:34">
      <c r="B80" s="90">
        <f t="shared" si="0"/>
        <v>34</v>
      </c>
      <c r="C80" s="91">
        <v>327671</v>
      </c>
      <c r="D80" s="92" t="s">
        <v>180</v>
      </c>
      <c r="E80" s="93">
        <v>1</v>
      </c>
      <c r="F80" s="91">
        <v>0.5</v>
      </c>
      <c r="G80" s="91"/>
      <c r="H80" s="91"/>
      <c r="I80" s="91">
        <v>0.5</v>
      </c>
      <c r="J80" s="91"/>
      <c r="K80" s="91">
        <v>2.5</v>
      </c>
      <c r="L80" s="91"/>
      <c r="M80" s="91"/>
      <c r="N80" s="91"/>
      <c r="O80" s="91">
        <v>1</v>
      </c>
      <c r="P80" s="91"/>
      <c r="Q80" s="91"/>
      <c r="R80" s="91"/>
      <c r="S80" s="94"/>
      <c r="T80" s="94">
        <v>5</v>
      </c>
      <c r="U80" s="95"/>
      <c r="V80" s="96">
        <v>2</v>
      </c>
      <c r="W80" s="96">
        <v>3</v>
      </c>
      <c r="X80" s="96">
        <v>4</v>
      </c>
      <c r="Y80" s="91">
        <v>5</v>
      </c>
      <c r="Z80" s="91">
        <v>4</v>
      </c>
      <c r="AA80" s="91">
        <v>2</v>
      </c>
      <c r="AB80" s="97"/>
      <c r="AC80" s="98"/>
      <c r="AD80" s="99"/>
      <c r="AE80" s="100"/>
      <c r="AF80" s="101">
        <v>56</v>
      </c>
      <c r="AG80" s="102"/>
      <c r="AH80" s="103"/>
    </row>
    <row r="81" spans="2:34">
      <c r="B81" s="90">
        <f t="shared" si="0"/>
        <v>35</v>
      </c>
      <c r="C81" s="91">
        <v>325053</v>
      </c>
      <c r="D81" s="92" t="s">
        <v>181</v>
      </c>
      <c r="E81" s="93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4"/>
      <c r="T81" s="94"/>
      <c r="U81" s="95"/>
      <c r="V81" s="96">
        <v>1</v>
      </c>
      <c r="W81" s="96">
        <v>2</v>
      </c>
      <c r="X81" s="96"/>
      <c r="Y81" s="91"/>
      <c r="Z81" s="91"/>
      <c r="AA81" s="91"/>
      <c r="AB81" s="97"/>
      <c r="AC81" s="98"/>
      <c r="AD81" s="99"/>
      <c r="AE81" s="100"/>
      <c r="AF81" s="101"/>
      <c r="AG81" s="102"/>
      <c r="AH81" s="103"/>
    </row>
    <row r="82" spans="2:34">
      <c r="B82" s="90">
        <f t="shared" si="0"/>
        <v>36</v>
      </c>
      <c r="C82" s="91"/>
      <c r="D82" s="92" t="s">
        <v>182</v>
      </c>
      <c r="E82" s="93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4"/>
      <c r="T82" s="94"/>
      <c r="U82" s="95"/>
      <c r="V82" s="96">
        <v>2</v>
      </c>
      <c r="W82" s="96">
        <v>2</v>
      </c>
      <c r="X82" s="96">
        <v>0</v>
      </c>
      <c r="Y82" s="91"/>
      <c r="Z82" s="91">
        <v>1</v>
      </c>
      <c r="AA82" s="91"/>
      <c r="AB82" s="97"/>
      <c r="AC82" s="98"/>
      <c r="AD82" s="99"/>
      <c r="AE82" s="100"/>
      <c r="AF82" s="101"/>
      <c r="AG82" s="102"/>
      <c r="AH82" s="103"/>
    </row>
    <row r="83" spans="2:34">
      <c r="B83" s="90">
        <f t="shared" si="0"/>
        <v>37</v>
      </c>
      <c r="C83" s="91">
        <v>320807</v>
      </c>
      <c r="D83" s="92" t="s">
        <v>162</v>
      </c>
      <c r="E83" s="93">
        <v>1</v>
      </c>
      <c r="F83" s="91">
        <v>1.5</v>
      </c>
      <c r="G83" s="91">
        <v>1</v>
      </c>
      <c r="H83" s="91">
        <v>1</v>
      </c>
      <c r="I83" s="91">
        <v>1</v>
      </c>
      <c r="J83" s="91">
        <v>2.5</v>
      </c>
      <c r="K83" s="91">
        <v>1</v>
      </c>
      <c r="L83" s="91">
        <v>1</v>
      </c>
      <c r="M83" s="91">
        <v>1</v>
      </c>
      <c r="N83" s="91"/>
      <c r="O83" s="91">
        <v>3</v>
      </c>
      <c r="P83" s="91"/>
      <c r="Q83" s="91"/>
      <c r="R83" s="91">
        <v>1</v>
      </c>
      <c r="S83" s="94"/>
      <c r="T83" s="94">
        <f>5+2.5</f>
        <v>7.5</v>
      </c>
      <c r="U83" s="95"/>
      <c r="V83" s="96">
        <v>2</v>
      </c>
      <c r="W83" s="96">
        <v>2</v>
      </c>
      <c r="X83" s="96">
        <v>4</v>
      </c>
      <c r="Y83" s="91">
        <v>5</v>
      </c>
      <c r="Z83" s="91">
        <v>5</v>
      </c>
      <c r="AA83" s="91">
        <v>4</v>
      </c>
      <c r="AB83" s="97"/>
      <c r="AC83" s="98"/>
      <c r="AD83" s="99"/>
      <c r="AE83" s="100"/>
      <c r="AF83" s="101">
        <v>63</v>
      </c>
      <c r="AG83" s="102"/>
      <c r="AH83" s="103"/>
    </row>
    <row r="84" spans="2:34">
      <c r="B84" s="90">
        <f t="shared" si="0"/>
        <v>38</v>
      </c>
      <c r="C84" s="91">
        <v>329583</v>
      </c>
      <c r="D84" s="92" t="s">
        <v>183</v>
      </c>
      <c r="E84" s="93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4"/>
      <c r="T84" s="94"/>
      <c r="U84" s="95"/>
      <c r="V84" s="96">
        <v>0</v>
      </c>
      <c r="W84" s="96">
        <v>1</v>
      </c>
      <c r="X84" s="96"/>
      <c r="Y84" s="91"/>
      <c r="Z84" s="91"/>
      <c r="AA84" s="91"/>
      <c r="AB84" s="97"/>
      <c r="AC84" s="98"/>
      <c r="AD84" s="99"/>
      <c r="AE84" s="100"/>
      <c r="AF84" s="101"/>
      <c r="AG84" s="102"/>
      <c r="AH84" s="103"/>
    </row>
    <row r="85" spans="2:34">
      <c r="B85" s="90">
        <f t="shared" si="0"/>
        <v>39</v>
      </c>
      <c r="C85" s="91">
        <v>328958</v>
      </c>
      <c r="D85" s="92" t="s">
        <v>184</v>
      </c>
      <c r="E85" s="93">
        <v>0.5</v>
      </c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4"/>
      <c r="T85" s="94">
        <v>5</v>
      </c>
      <c r="U85" s="95"/>
      <c r="V85" s="96">
        <v>1</v>
      </c>
      <c r="W85" s="96">
        <v>1</v>
      </c>
      <c r="X85" s="96">
        <v>0</v>
      </c>
      <c r="Y85" s="91">
        <v>0</v>
      </c>
      <c r="Z85" s="91">
        <v>1</v>
      </c>
      <c r="AA85" s="91"/>
      <c r="AB85" s="97"/>
      <c r="AC85" s="98"/>
      <c r="AD85" s="99"/>
      <c r="AE85" s="100"/>
      <c r="AF85" s="101"/>
      <c r="AG85" s="102"/>
      <c r="AH85" s="103"/>
    </row>
    <row r="86" spans="2:34">
      <c r="B86" s="90">
        <f t="shared" si="0"/>
        <v>40</v>
      </c>
      <c r="C86" s="91">
        <v>320809</v>
      </c>
      <c r="D86" s="92" t="s">
        <v>185</v>
      </c>
      <c r="E86" s="93">
        <v>0.5</v>
      </c>
      <c r="F86" s="91">
        <v>0.5</v>
      </c>
      <c r="G86" s="91"/>
      <c r="H86" s="91">
        <v>0.5</v>
      </c>
      <c r="I86" s="91"/>
      <c r="J86" s="91"/>
      <c r="K86" s="91">
        <v>1</v>
      </c>
      <c r="L86" s="91"/>
      <c r="M86" s="91"/>
      <c r="N86" s="91"/>
      <c r="O86" s="91"/>
      <c r="P86" s="91"/>
      <c r="Q86" s="91"/>
      <c r="R86" s="91"/>
      <c r="S86" s="94"/>
      <c r="T86" s="94">
        <v>4</v>
      </c>
      <c r="U86" s="95"/>
      <c r="V86" s="96">
        <v>5</v>
      </c>
      <c r="W86" s="96">
        <v>5</v>
      </c>
      <c r="X86" s="96">
        <v>1</v>
      </c>
      <c r="Y86" s="91">
        <v>4</v>
      </c>
      <c r="Z86" s="91">
        <v>2</v>
      </c>
      <c r="AA86" s="91"/>
      <c r="AB86" s="97"/>
      <c r="AC86" s="98"/>
      <c r="AD86" s="99"/>
      <c r="AE86" s="100"/>
      <c r="AF86" s="101">
        <v>42</v>
      </c>
      <c r="AG86" s="102"/>
      <c r="AH86" s="103"/>
    </row>
    <row r="87" spans="2:34">
      <c r="B87" s="90">
        <f t="shared" si="0"/>
        <v>41</v>
      </c>
      <c r="C87" s="91">
        <v>320810</v>
      </c>
      <c r="D87" s="92" t="s">
        <v>156</v>
      </c>
      <c r="E87" s="93">
        <v>1</v>
      </c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>
        <v>1</v>
      </c>
      <c r="Q87" s="91"/>
      <c r="R87" s="91"/>
      <c r="S87" s="94"/>
      <c r="T87" s="94">
        <f>5+0.5</f>
        <v>5.5</v>
      </c>
      <c r="U87" s="95"/>
      <c r="V87" s="96">
        <v>0</v>
      </c>
      <c r="W87" s="96">
        <v>2</v>
      </c>
      <c r="X87" s="96">
        <v>0.75</v>
      </c>
      <c r="Y87" s="91">
        <v>3</v>
      </c>
      <c r="Z87" s="91">
        <v>4</v>
      </c>
      <c r="AA87" s="91">
        <v>3</v>
      </c>
      <c r="AB87" s="97"/>
      <c r="AC87" s="98"/>
      <c r="AD87" s="99"/>
      <c r="AE87" s="100"/>
      <c r="AF87" s="101">
        <v>53.666666666666664</v>
      </c>
      <c r="AG87" s="102"/>
      <c r="AH87" s="103"/>
    </row>
    <row r="88" spans="2:34">
      <c r="B88" s="90">
        <f t="shared" si="0"/>
        <v>42</v>
      </c>
      <c r="C88" s="91">
        <v>279047</v>
      </c>
      <c r="D88" s="92" t="s">
        <v>186</v>
      </c>
      <c r="E88" s="93">
        <v>0.5</v>
      </c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4"/>
      <c r="T88" s="94"/>
      <c r="U88" s="95"/>
      <c r="V88" s="96"/>
      <c r="W88" s="96"/>
      <c r="X88" s="96"/>
      <c r="Y88" s="91"/>
      <c r="Z88" s="91"/>
      <c r="AA88" s="91"/>
      <c r="AB88" s="97"/>
      <c r="AC88" s="98"/>
      <c r="AD88" s="99"/>
      <c r="AE88" s="100"/>
      <c r="AF88" s="101"/>
      <c r="AG88" s="102"/>
      <c r="AH88" s="103"/>
    </row>
    <row r="89" spans="2:34">
      <c r="B89" s="90">
        <f t="shared" si="0"/>
        <v>43</v>
      </c>
      <c r="C89" s="91">
        <v>320487</v>
      </c>
      <c r="D89" s="92" t="s">
        <v>187</v>
      </c>
      <c r="E89" s="93"/>
      <c r="F89" s="91">
        <v>0.5</v>
      </c>
      <c r="G89" s="91"/>
      <c r="H89" s="91">
        <v>0.5</v>
      </c>
      <c r="I89" s="91"/>
      <c r="J89" s="91"/>
      <c r="K89" s="91">
        <v>1</v>
      </c>
      <c r="L89" s="91"/>
      <c r="M89" s="91"/>
      <c r="N89" s="91">
        <v>1</v>
      </c>
      <c r="O89" s="91"/>
      <c r="P89" s="91">
        <v>1</v>
      </c>
      <c r="Q89" s="91"/>
      <c r="R89" s="91"/>
      <c r="S89" s="94"/>
      <c r="T89" s="94">
        <v>5</v>
      </c>
      <c r="U89" s="95"/>
      <c r="V89" s="96">
        <v>2</v>
      </c>
      <c r="W89" s="96">
        <v>3</v>
      </c>
      <c r="X89" s="96">
        <v>1</v>
      </c>
      <c r="Y89" s="91">
        <v>3</v>
      </c>
      <c r="Z89" s="91">
        <v>3</v>
      </c>
      <c r="AA89" s="91"/>
      <c r="AB89" s="97"/>
      <c r="AC89" s="98"/>
      <c r="AD89" s="99"/>
      <c r="AE89" s="100"/>
      <c r="AF89" s="101">
        <v>37.333333333333336</v>
      </c>
      <c r="AG89" s="102"/>
      <c r="AH89" s="103"/>
    </row>
    <row r="90" spans="2:34">
      <c r="B90" s="90">
        <f t="shared" si="0"/>
        <v>44</v>
      </c>
      <c r="C90" s="91">
        <v>320812</v>
      </c>
      <c r="D90" s="92" t="s">
        <v>176</v>
      </c>
      <c r="E90" s="93">
        <v>0.5</v>
      </c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4"/>
      <c r="T90" s="94">
        <v>5</v>
      </c>
      <c r="U90" s="95"/>
      <c r="V90" s="96">
        <v>2</v>
      </c>
      <c r="W90" s="96">
        <v>1</v>
      </c>
      <c r="X90" s="96"/>
      <c r="Y90" s="91">
        <v>1</v>
      </c>
      <c r="Z90" s="91">
        <v>5</v>
      </c>
      <c r="AA90" s="91">
        <v>1.5</v>
      </c>
      <c r="AB90" s="97"/>
      <c r="AC90" s="98"/>
      <c r="AD90" s="99"/>
      <c r="AE90" s="100"/>
      <c r="AF90" s="101">
        <v>30.333333333333332</v>
      </c>
      <c r="AG90" s="102"/>
      <c r="AH90" s="103"/>
    </row>
    <row r="91" spans="2:34" ht="14.4" thickBot="1">
      <c r="B91" s="110">
        <f t="shared" si="0"/>
        <v>45</v>
      </c>
      <c r="C91" s="111">
        <v>312341</v>
      </c>
      <c r="D91" s="112" t="s">
        <v>179</v>
      </c>
      <c r="E91" s="113">
        <v>0.5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4"/>
      <c r="T91" s="114"/>
      <c r="U91" s="115"/>
      <c r="V91" s="116">
        <v>1</v>
      </c>
      <c r="W91" s="116">
        <v>4</v>
      </c>
      <c r="X91" s="116">
        <v>0.5</v>
      </c>
      <c r="Y91" s="111">
        <v>4</v>
      </c>
      <c r="Z91" s="111">
        <v>3</v>
      </c>
      <c r="AA91" s="111">
        <v>1.5</v>
      </c>
      <c r="AB91" s="117"/>
      <c r="AC91" s="118"/>
      <c r="AD91" s="119"/>
      <c r="AE91" s="120"/>
      <c r="AF91" s="121">
        <v>42</v>
      </c>
      <c r="AG91" s="122"/>
      <c r="AH91" s="123"/>
    </row>
  </sheetData>
  <mergeCells count="11">
    <mergeCell ref="AH45:AH46"/>
    <mergeCell ref="B44:AH44"/>
    <mergeCell ref="B45:B46"/>
    <mergeCell ref="C45:C46"/>
    <mergeCell ref="D45:D46"/>
    <mergeCell ref="E45:U45"/>
    <mergeCell ref="V45:AC45"/>
    <mergeCell ref="AD45:AD46"/>
    <mergeCell ref="AE45:AE46"/>
    <mergeCell ref="AF45:AF46"/>
    <mergeCell ref="AG45:AG46"/>
  </mergeCells>
  <conditionalFormatting sqref="B51 B66">
    <cfRule type="expression" dxfId="5" priority="1">
      <formula>AND($D50="",#REF!&lt;&gt;"")</formula>
    </cfRule>
  </conditionalFormatting>
  <conditionalFormatting sqref="B50 B65">
    <cfRule type="expression" dxfId="4" priority="2">
      <formula>AND(#REF!="",$D49&lt;&gt;"")</formula>
    </cfRule>
  </conditionalFormatting>
  <conditionalFormatting sqref="B67">
    <cfRule type="expression" dxfId="3" priority="3">
      <formula>AND($D65="",#REF!&lt;&gt;"")</formula>
    </cfRule>
  </conditionalFormatting>
  <conditionalFormatting sqref="B66">
    <cfRule type="expression" dxfId="2" priority="4">
      <formula>AND(#REF!="",$D64&lt;&gt;"")</formula>
    </cfRule>
  </conditionalFormatting>
  <pageMargins left="0.7" right="0.7" top="0.75" bottom="0.75" header="0.3" footer="0.3"/>
  <pageSetup paperSize="9" orientation="portrait" horizontalDpi="4294967293" r:id="rId1"/>
  <headerFooter>
    <oddFooter>&amp;Lã LabMasters.pl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05"/>
  <dimension ref="B2:D4797"/>
  <sheetViews>
    <sheetView workbookViewId="0"/>
  </sheetViews>
  <sheetFormatPr defaultColWidth="9.109375" defaultRowHeight="13.2"/>
  <cols>
    <col min="1" max="16384" width="9.109375" style="10"/>
  </cols>
  <sheetData>
    <row r="2" spans="2:4" ht="12.75" customHeight="1">
      <c r="B2" s="9"/>
    </row>
    <row r="4" spans="2:4" ht="12.75" customHeight="1">
      <c r="B4" s="10" t="s">
        <v>188</v>
      </c>
    </row>
    <row r="5" spans="2:4" ht="12.75" customHeight="1">
      <c r="B5" s="10" t="s">
        <v>189</v>
      </c>
    </row>
    <row r="6" spans="2:4" ht="12.75" customHeight="1">
      <c r="B6" s="10" t="s">
        <v>190</v>
      </c>
      <c r="C6" s="12"/>
    </row>
    <row r="7" spans="2:4" ht="12.75" customHeight="1">
      <c r="B7" s="10" t="s">
        <v>191</v>
      </c>
      <c r="D7" s="12"/>
    </row>
    <row r="8" spans="2:4" ht="12.75" customHeight="1">
      <c r="B8" s="10" t="s">
        <v>192</v>
      </c>
    </row>
    <row r="9" spans="2:4" ht="12.75" customHeight="1">
      <c r="B9" s="10" t="s">
        <v>193</v>
      </c>
    </row>
    <row r="10" spans="2:4" ht="12.75" customHeight="1">
      <c r="B10" s="10" t="s">
        <v>194</v>
      </c>
    </row>
    <row r="11" spans="2:4" ht="12.75" customHeight="1"/>
    <row r="12" spans="2:4" ht="12.75" customHeight="1">
      <c r="B12" t="s">
        <v>195</v>
      </c>
      <c r="D12" s="124" t="s">
        <v>196</v>
      </c>
    </row>
    <row r="14" spans="2:4" ht="12.75" customHeight="1">
      <c r="B14" s="10" t="s">
        <v>197</v>
      </c>
      <c r="D14" s="125" t="s">
        <v>198</v>
      </c>
    </row>
    <row r="15" spans="2:4" ht="12.75" customHeight="1">
      <c r="B15" s="10" t="s">
        <v>199</v>
      </c>
    </row>
    <row r="16" spans="2:4" ht="12.75" customHeight="1">
      <c r="B16" s="10" t="s">
        <v>200</v>
      </c>
    </row>
    <row r="17" spans="2:2" ht="12.75" customHeight="1">
      <c r="B17" s="10" t="s">
        <v>201</v>
      </c>
    </row>
    <row r="18" spans="2:2" ht="12.75" customHeight="1">
      <c r="B18" s="12" t="s">
        <v>202</v>
      </c>
    </row>
    <row r="19" spans="2:2" ht="12.75" customHeight="1"/>
    <row r="20" spans="2:2" ht="12.75" customHeight="1"/>
    <row r="21" spans="2:2" ht="12.75" customHeight="1">
      <c r="B21" s="10" t="s">
        <v>203</v>
      </c>
    </row>
    <row r="22" spans="2:2" ht="12.75" customHeight="1">
      <c r="B22" s="10" t="s">
        <v>204</v>
      </c>
    </row>
    <row r="23" spans="2:2" ht="12.75" customHeight="1">
      <c r="B23" s="10" t="s">
        <v>205</v>
      </c>
    </row>
    <row r="24" spans="2:2" ht="12.75" customHeight="1">
      <c r="B24" s="10" t="s">
        <v>206</v>
      </c>
    </row>
    <row r="25" spans="2:2" ht="12.75" customHeight="1">
      <c r="B25" s="10" t="s">
        <v>207</v>
      </c>
    </row>
    <row r="26" spans="2:2">
      <c r="B26" s="10" t="s">
        <v>208</v>
      </c>
    </row>
    <row r="27" spans="2:2" ht="12.75" customHeight="1">
      <c r="B27" s="10" t="s">
        <v>209</v>
      </c>
    </row>
    <row r="28" spans="2:2" ht="12.75" customHeight="1">
      <c r="B28" s="10" t="s">
        <v>210</v>
      </c>
    </row>
    <row r="29" spans="2:2" ht="12.75" customHeight="1">
      <c r="B29" s="10" t="s">
        <v>211</v>
      </c>
    </row>
    <row r="30" spans="2:2" ht="12.75" customHeight="1">
      <c r="B30" s="10" t="s">
        <v>212</v>
      </c>
    </row>
    <row r="31" spans="2:2" ht="12.75" customHeight="1">
      <c r="B31" s="10" t="s">
        <v>213</v>
      </c>
    </row>
    <row r="32" spans="2:2" ht="12.75" customHeight="1">
      <c r="B32" s="10" t="s">
        <v>214</v>
      </c>
    </row>
    <row r="33" spans="2:2" ht="12.75" customHeight="1">
      <c r="B33" s="10" t="s">
        <v>215</v>
      </c>
    </row>
    <row r="34" spans="2:2" ht="12.75" customHeight="1">
      <c r="B34" s="10" t="s">
        <v>216</v>
      </c>
    </row>
    <row r="35" spans="2:2" ht="12.75" customHeight="1">
      <c r="B35" s="10" t="s">
        <v>217</v>
      </c>
    </row>
    <row r="36" spans="2:2">
      <c r="B36" s="10" t="s">
        <v>218</v>
      </c>
    </row>
    <row r="37" spans="2:2" ht="12.75" customHeight="1">
      <c r="B37" s="10" t="s">
        <v>219</v>
      </c>
    </row>
    <row r="38" spans="2:2">
      <c r="B38" s="10" t="s">
        <v>220</v>
      </c>
    </row>
    <row r="39" spans="2:2">
      <c r="B39" s="10" t="s">
        <v>221</v>
      </c>
    </row>
    <row r="40" spans="2:2">
      <c r="B40" s="10" t="s">
        <v>222</v>
      </c>
    </row>
    <row r="41" spans="2:2">
      <c r="B41" s="10" t="s">
        <v>223</v>
      </c>
    </row>
    <row r="42" spans="2:2">
      <c r="B42" s="10" t="s">
        <v>224</v>
      </c>
    </row>
    <row r="43" spans="2:2">
      <c r="B43" s="10" t="s">
        <v>225</v>
      </c>
    </row>
    <row r="44" spans="2:2">
      <c r="B44" s="10" t="s">
        <v>226</v>
      </c>
    </row>
    <row r="45" spans="2:2">
      <c r="B45" s="10" t="s">
        <v>227</v>
      </c>
    </row>
    <row r="46" spans="2:2">
      <c r="B46" s="10" t="s">
        <v>228</v>
      </c>
    </row>
    <row r="47" spans="2:2">
      <c r="B47" s="10" t="s">
        <v>229</v>
      </c>
    </row>
    <row r="48" spans="2:2">
      <c r="B48" s="10" t="s">
        <v>230</v>
      </c>
    </row>
    <row r="49" spans="2:2">
      <c r="B49" s="10" t="s">
        <v>231</v>
      </c>
    </row>
    <row r="50" spans="2:2">
      <c r="B50" s="10" t="s">
        <v>232</v>
      </c>
    </row>
    <row r="51" spans="2:2">
      <c r="B51" s="10" t="s">
        <v>233</v>
      </c>
    </row>
    <row r="52" spans="2:2">
      <c r="B52" s="10" t="s">
        <v>234</v>
      </c>
    </row>
    <row r="53" spans="2:2">
      <c r="B53" s="10" t="s">
        <v>235</v>
      </c>
    </row>
    <row r="54" spans="2:2">
      <c r="B54" s="10" t="s">
        <v>236</v>
      </c>
    </row>
    <row r="55" spans="2:2">
      <c r="B55" s="10" t="s">
        <v>237</v>
      </c>
    </row>
    <row r="56" spans="2:2">
      <c r="B56" s="10" t="s">
        <v>238</v>
      </c>
    </row>
    <row r="57" spans="2:2">
      <c r="B57" s="10" t="s">
        <v>239</v>
      </c>
    </row>
    <row r="58" spans="2:2">
      <c r="B58" s="10" t="s">
        <v>240</v>
      </c>
    </row>
    <row r="59" spans="2:2">
      <c r="B59" s="10" t="s">
        <v>241</v>
      </c>
    </row>
    <row r="60" spans="2:2">
      <c r="B60" s="10" t="s">
        <v>242</v>
      </c>
    </row>
    <row r="61" spans="2:2">
      <c r="B61" s="10" t="s">
        <v>243</v>
      </c>
    </row>
    <row r="62" spans="2:2">
      <c r="B62" s="10" t="s">
        <v>244</v>
      </c>
    </row>
    <row r="63" spans="2:2">
      <c r="B63" s="10" t="s">
        <v>245</v>
      </c>
    </row>
    <row r="64" spans="2:2">
      <c r="B64" s="10" t="s">
        <v>246</v>
      </c>
    </row>
    <row r="65" spans="2:2">
      <c r="B65" s="10" t="s">
        <v>247</v>
      </c>
    </row>
    <row r="66" spans="2:2">
      <c r="B66" s="10" t="s">
        <v>248</v>
      </c>
    </row>
    <row r="67" spans="2:2">
      <c r="B67" s="10" t="s">
        <v>249</v>
      </c>
    </row>
    <row r="68" spans="2:2">
      <c r="B68" s="10" t="s">
        <v>250</v>
      </c>
    </row>
    <row r="69" spans="2:2">
      <c r="B69" s="10" t="s">
        <v>251</v>
      </c>
    </row>
    <row r="70" spans="2:2">
      <c r="B70" s="10" t="s">
        <v>252</v>
      </c>
    </row>
    <row r="71" spans="2:2">
      <c r="B71" s="10" t="s">
        <v>253</v>
      </c>
    </row>
    <row r="72" spans="2:2">
      <c r="B72" s="10" t="s">
        <v>254</v>
      </c>
    </row>
    <row r="73" spans="2:2">
      <c r="B73" s="10" t="s">
        <v>255</v>
      </c>
    </row>
    <row r="74" spans="2:2">
      <c r="B74" s="10" t="s">
        <v>256</v>
      </c>
    </row>
    <row r="75" spans="2:2">
      <c r="B75" s="10" t="s">
        <v>257</v>
      </c>
    </row>
    <row r="76" spans="2:2">
      <c r="B76" s="10" t="s">
        <v>258</v>
      </c>
    </row>
    <row r="77" spans="2:2">
      <c r="B77" s="10" t="s">
        <v>259</v>
      </c>
    </row>
    <row r="78" spans="2:2">
      <c r="B78" s="10" t="s">
        <v>260</v>
      </c>
    </row>
    <row r="79" spans="2:2">
      <c r="B79" s="10" t="s">
        <v>261</v>
      </c>
    </row>
    <row r="80" spans="2:2">
      <c r="B80" s="10" t="s">
        <v>262</v>
      </c>
    </row>
    <row r="81" spans="2:2">
      <c r="B81" s="10" t="s">
        <v>263</v>
      </c>
    </row>
    <row r="82" spans="2:2">
      <c r="B82" s="10" t="s">
        <v>264</v>
      </c>
    </row>
    <row r="83" spans="2:2">
      <c r="B83" s="10" t="s">
        <v>265</v>
      </c>
    </row>
    <row r="84" spans="2:2">
      <c r="B84" s="10" t="s">
        <v>266</v>
      </c>
    </row>
    <row r="85" spans="2:2">
      <c r="B85" s="10" t="s">
        <v>267</v>
      </c>
    </row>
    <row r="86" spans="2:2">
      <c r="B86" s="10" t="s">
        <v>268</v>
      </c>
    </row>
    <row r="87" spans="2:2">
      <c r="B87" s="10" t="s">
        <v>269</v>
      </c>
    </row>
    <row r="88" spans="2:2">
      <c r="B88" s="10" t="s">
        <v>270</v>
      </c>
    </row>
    <row r="89" spans="2:2">
      <c r="B89" s="10" t="s">
        <v>271</v>
      </c>
    </row>
    <row r="90" spans="2:2">
      <c r="B90" s="10" t="s">
        <v>272</v>
      </c>
    </row>
    <row r="91" spans="2:2">
      <c r="B91" s="10" t="s">
        <v>273</v>
      </c>
    </row>
    <row r="92" spans="2:2">
      <c r="B92" s="10" t="s">
        <v>274</v>
      </c>
    </row>
    <row r="93" spans="2:2">
      <c r="B93" s="10" t="s">
        <v>275</v>
      </c>
    </row>
    <row r="94" spans="2:2">
      <c r="B94" s="10" t="s">
        <v>276</v>
      </c>
    </row>
    <row r="95" spans="2:2">
      <c r="B95" s="10" t="s">
        <v>277</v>
      </c>
    </row>
    <row r="96" spans="2:2">
      <c r="B96" s="10" t="s">
        <v>278</v>
      </c>
    </row>
    <row r="97" spans="2:2">
      <c r="B97" s="10" t="s">
        <v>279</v>
      </c>
    </row>
    <row r="98" spans="2:2">
      <c r="B98" s="10" t="s">
        <v>280</v>
      </c>
    </row>
    <row r="99" spans="2:2">
      <c r="B99" s="10" t="s">
        <v>281</v>
      </c>
    </row>
    <row r="100" spans="2:2">
      <c r="B100" s="10" t="s">
        <v>282</v>
      </c>
    </row>
    <row r="101" spans="2:2">
      <c r="B101" s="10" t="s">
        <v>283</v>
      </c>
    </row>
    <row r="102" spans="2:2">
      <c r="B102" s="10" t="s">
        <v>284</v>
      </c>
    </row>
    <row r="103" spans="2:2">
      <c r="B103" s="10" t="s">
        <v>285</v>
      </c>
    </row>
    <row r="104" spans="2:2">
      <c r="B104" s="10" t="s">
        <v>286</v>
      </c>
    </row>
    <row r="105" spans="2:2">
      <c r="B105" s="10" t="s">
        <v>287</v>
      </c>
    </row>
    <row r="106" spans="2:2">
      <c r="B106" s="10" t="s">
        <v>288</v>
      </c>
    </row>
    <row r="107" spans="2:2">
      <c r="B107" s="10" t="s">
        <v>289</v>
      </c>
    </row>
    <row r="108" spans="2:2">
      <c r="B108" s="10" t="s">
        <v>290</v>
      </c>
    </row>
    <row r="109" spans="2:2">
      <c r="B109" s="10" t="s">
        <v>291</v>
      </c>
    </row>
    <row r="110" spans="2:2">
      <c r="B110" s="10" t="s">
        <v>292</v>
      </c>
    </row>
    <row r="111" spans="2:2">
      <c r="B111" s="10" t="s">
        <v>293</v>
      </c>
    </row>
    <row r="112" spans="2:2">
      <c r="B112" s="10" t="s">
        <v>294</v>
      </c>
    </row>
    <row r="113" spans="2:2">
      <c r="B113" s="10" t="s">
        <v>295</v>
      </c>
    </row>
    <row r="114" spans="2:2">
      <c r="B114" s="10" t="s">
        <v>296</v>
      </c>
    </row>
    <row r="115" spans="2:2">
      <c r="B115" s="10" t="s">
        <v>297</v>
      </c>
    </row>
    <row r="116" spans="2:2">
      <c r="B116" s="10" t="s">
        <v>298</v>
      </c>
    </row>
    <row r="117" spans="2:2">
      <c r="B117" s="10" t="s">
        <v>299</v>
      </c>
    </row>
    <row r="118" spans="2:2">
      <c r="B118" s="10" t="s">
        <v>300</v>
      </c>
    </row>
    <row r="119" spans="2:2">
      <c r="B119" s="10" t="s">
        <v>301</v>
      </c>
    </row>
    <row r="120" spans="2:2">
      <c r="B120" s="10" t="s">
        <v>302</v>
      </c>
    </row>
    <row r="121" spans="2:2">
      <c r="B121" s="10" t="s">
        <v>303</v>
      </c>
    </row>
    <row r="122" spans="2:2">
      <c r="B122" s="10" t="s">
        <v>304</v>
      </c>
    </row>
    <row r="123" spans="2:2">
      <c r="B123" s="10" t="s">
        <v>305</v>
      </c>
    </row>
    <row r="124" spans="2:2">
      <c r="B124" s="10" t="s">
        <v>306</v>
      </c>
    </row>
    <row r="125" spans="2:2">
      <c r="B125" s="10" t="s">
        <v>307</v>
      </c>
    </row>
    <row r="126" spans="2:2">
      <c r="B126" s="10" t="s">
        <v>308</v>
      </c>
    </row>
    <row r="127" spans="2:2">
      <c r="B127" s="10" t="s">
        <v>309</v>
      </c>
    </row>
    <row r="128" spans="2:2">
      <c r="B128" s="10" t="s">
        <v>310</v>
      </c>
    </row>
    <row r="129" spans="2:2">
      <c r="B129" s="10" t="s">
        <v>311</v>
      </c>
    </row>
    <row r="130" spans="2:2">
      <c r="B130" s="10" t="s">
        <v>312</v>
      </c>
    </row>
    <row r="131" spans="2:2">
      <c r="B131" s="10" t="s">
        <v>313</v>
      </c>
    </row>
    <row r="132" spans="2:2">
      <c r="B132" s="10" t="s">
        <v>314</v>
      </c>
    </row>
    <row r="133" spans="2:2">
      <c r="B133" s="10" t="s">
        <v>315</v>
      </c>
    </row>
    <row r="134" spans="2:2">
      <c r="B134" s="10" t="s">
        <v>316</v>
      </c>
    </row>
    <row r="135" spans="2:2">
      <c r="B135" s="10" t="s">
        <v>317</v>
      </c>
    </row>
    <row r="136" spans="2:2">
      <c r="B136" s="10" t="s">
        <v>318</v>
      </c>
    </row>
    <row r="137" spans="2:2">
      <c r="B137" s="10" t="s">
        <v>319</v>
      </c>
    </row>
    <row r="138" spans="2:2">
      <c r="B138" s="10" t="s">
        <v>320</v>
      </c>
    </row>
    <row r="139" spans="2:2">
      <c r="B139" s="10" t="s">
        <v>321</v>
      </c>
    </row>
    <row r="140" spans="2:2">
      <c r="B140" s="10" t="s">
        <v>322</v>
      </c>
    </row>
    <row r="141" spans="2:2">
      <c r="B141" s="10" t="s">
        <v>323</v>
      </c>
    </row>
    <row r="142" spans="2:2">
      <c r="B142" s="10" t="s">
        <v>324</v>
      </c>
    </row>
    <row r="143" spans="2:2">
      <c r="B143" s="10" t="s">
        <v>325</v>
      </c>
    </row>
    <row r="144" spans="2:2">
      <c r="B144" s="10" t="s">
        <v>326</v>
      </c>
    </row>
    <row r="145" spans="2:2">
      <c r="B145" s="10" t="s">
        <v>327</v>
      </c>
    </row>
    <row r="146" spans="2:2">
      <c r="B146" s="10" t="s">
        <v>328</v>
      </c>
    </row>
    <row r="147" spans="2:2">
      <c r="B147" s="10" t="s">
        <v>329</v>
      </c>
    </row>
    <row r="148" spans="2:2">
      <c r="B148" s="10" t="s">
        <v>330</v>
      </c>
    </row>
    <row r="149" spans="2:2">
      <c r="B149" s="10" t="s">
        <v>331</v>
      </c>
    </row>
    <row r="150" spans="2:2">
      <c r="B150" s="10" t="s">
        <v>332</v>
      </c>
    </row>
    <row r="151" spans="2:2">
      <c r="B151" s="10" t="s">
        <v>333</v>
      </c>
    </row>
    <row r="152" spans="2:2">
      <c r="B152" s="10" t="s">
        <v>334</v>
      </c>
    </row>
    <row r="153" spans="2:2">
      <c r="B153" s="10" t="s">
        <v>335</v>
      </c>
    </row>
    <row r="154" spans="2:2">
      <c r="B154" s="10" t="s">
        <v>336</v>
      </c>
    </row>
    <row r="155" spans="2:2">
      <c r="B155" s="10" t="s">
        <v>337</v>
      </c>
    </row>
    <row r="156" spans="2:2">
      <c r="B156" s="10" t="s">
        <v>338</v>
      </c>
    </row>
    <row r="157" spans="2:2">
      <c r="B157" s="10" t="s">
        <v>339</v>
      </c>
    </row>
    <row r="158" spans="2:2">
      <c r="B158" s="10" t="s">
        <v>340</v>
      </c>
    </row>
    <row r="159" spans="2:2">
      <c r="B159" s="10" t="s">
        <v>341</v>
      </c>
    </row>
    <row r="160" spans="2:2">
      <c r="B160" s="10" t="s">
        <v>342</v>
      </c>
    </row>
    <row r="161" spans="2:2">
      <c r="B161" s="10" t="s">
        <v>343</v>
      </c>
    </row>
    <row r="162" spans="2:2">
      <c r="B162" s="10" t="s">
        <v>344</v>
      </c>
    </row>
    <row r="163" spans="2:2">
      <c r="B163" s="10" t="s">
        <v>345</v>
      </c>
    </row>
    <row r="164" spans="2:2">
      <c r="B164" s="10" t="s">
        <v>346</v>
      </c>
    </row>
    <row r="165" spans="2:2">
      <c r="B165" s="10" t="s">
        <v>347</v>
      </c>
    </row>
    <row r="166" spans="2:2">
      <c r="B166" s="10" t="s">
        <v>348</v>
      </c>
    </row>
    <row r="167" spans="2:2">
      <c r="B167" s="10" t="s">
        <v>349</v>
      </c>
    </row>
    <row r="168" spans="2:2">
      <c r="B168" s="10" t="s">
        <v>350</v>
      </c>
    </row>
    <row r="169" spans="2:2">
      <c r="B169" s="10" t="s">
        <v>351</v>
      </c>
    </row>
    <row r="170" spans="2:2">
      <c r="B170" s="10" t="s">
        <v>352</v>
      </c>
    </row>
    <row r="171" spans="2:2">
      <c r="B171" s="10" t="s">
        <v>353</v>
      </c>
    </row>
    <row r="172" spans="2:2">
      <c r="B172" s="10" t="s">
        <v>354</v>
      </c>
    </row>
    <row r="173" spans="2:2">
      <c r="B173" s="10" t="s">
        <v>355</v>
      </c>
    </row>
    <row r="174" spans="2:2">
      <c r="B174" s="10" t="s">
        <v>356</v>
      </c>
    </row>
    <row r="175" spans="2:2">
      <c r="B175" s="10" t="s">
        <v>357</v>
      </c>
    </row>
    <row r="176" spans="2:2">
      <c r="B176" s="10" t="s">
        <v>358</v>
      </c>
    </row>
    <row r="177" spans="2:2">
      <c r="B177" s="10" t="s">
        <v>359</v>
      </c>
    </row>
    <row r="178" spans="2:2">
      <c r="B178" s="10" t="s">
        <v>360</v>
      </c>
    </row>
    <row r="179" spans="2:2">
      <c r="B179" s="10" t="s">
        <v>361</v>
      </c>
    </row>
    <row r="180" spans="2:2">
      <c r="B180" s="10" t="s">
        <v>362</v>
      </c>
    </row>
    <row r="181" spans="2:2">
      <c r="B181" s="10" t="s">
        <v>363</v>
      </c>
    </row>
    <row r="182" spans="2:2">
      <c r="B182" s="10" t="s">
        <v>364</v>
      </c>
    </row>
    <row r="183" spans="2:2">
      <c r="B183" s="10" t="s">
        <v>365</v>
      </c>
    </row>
    <row r="184" spans="2:2">
      <c r="B184" s="10" t="s">
        <v>366</v>
      </c>
    </row>
    <row r="185" spans="2:2">
      <c r="B185" s="10" t="s">
        <v>367</v>
      </c>
    </row>
    <row r="186" spans="2:2">
      <c r="B186" s="10" t="s">
        <v>368</v>
      </c>
    </row>
    <row r="187" spans="2:2">
      <c r="B187" s="10" t="s">
        <v>369</v>
      </c>
    </row>
    <row r="188" spans="2:2">
      <c r="B188" s="10" t="s">
        <v>370</v>
      </c>
    </row>
    <row r="189" spans="2:2">
      <c r="B189" s="10" t="s">
        <v>371</v>
      </c>
    </row>
    <row r="190" spans="2:2">
      <c r="B190" s="10" t="s">
        <v>372</v>
      </c>
    </row>
    <row r="191" spans="2:2">
      <c r="B191" s="10" t="s">
        <v>373</v>
      </c>
    </row>
    <row r="192" spans="2:2">
      <c r="B192" s="10" t="s">
        <v>374</v>
      </c>
    </row>
    <row r="193" spans="2:2">
      <c r="B193" s="10" t="s">
        <v>375</v>
      </c>
    </row>
    <row r="194" spans="2:2">
      <c r="B194" s="10" t="s">
        <v>376</v>
      </c>
    </row>
    <row r="195" spans="2:2">
      <c r="B195" s="10" t="s">
        <v>377</v>
      </c>
    </row>
    <row r="196" spans="2:2">
      <c r="B196" s="10" t="s">
        <v>378</v>
      </c>
    </row>
    <row r="197" spans="2:2">
      <c r="B197" s="10" t="s">
        <v>379</v>
      </c>
    </row>
    <row r="198" spans="2:2">
      <c r="B198" s="10" t="s">
        <v>380</v>
      </c>
    </row>
    <row r="199" spans="2:2">
      <c r="B199" s="10" t="s">
        <v>381</v>
      </c>
    </row>
    <row r="200" spans="2:2">
      <c r="B200" s="10" t="s">
        <v>382</v>
      </c>
    </row>
    <row r="201" spans="2:2">
      <c r="B201" s="10" t="s">
        <v>383</v>
      </c>
    </row>
    <row r="202" spans="2:2">
      <c r="B202" s="10" t="s">
        <v>384</v>
      </c>
    </row>
    <row r="203" spans="2:2">
      <c r="B203" s="10" t="s">
        <v>385</v>
      </c>
    </row>
    <row r="204" spans="2:2">
      <c r="B204" s="10" t="s">
        <v>386</v>
      </c>
    </row>
    <row r="205" spans="2:2">
      <c r="B205" s="10" t="s">
        <v>387</v>
      </c>
    </row>
    <row r="206" spans="2:2">
      <c r="B206" s="10" t="s">
        <v>388</v>
      </c>
    </row>
    <row r="207" spans="2:2">
      <c r="B207" s="10" t="s">
        <v>389</v>
      </c>
    </row>
    <row r="208" spans="2:2">
      <c r="B208" s="10" t="s">
        <v>390</v>
      </c>
    </row>
    <row r="209" spans="2:2">
      <c r="B209" s="10" t="s">
        <v>391</v>
      </c>
    </row>
    <row r="210" spans="2:2">
      <c r="B210" s="10" t="s">
        <v>392</v>
      </c>
    </row>
    <row r="211" spans="2:2">
      <c r="B211" s="10" t="s">
        <v>393</v>
      </c>
    </row>
    <row r="212" spans="2:2">
      <c r="B212" s="10" t="s">
        <v>394</v>
      </c>
    </row>
    <row r="213" spans="2:2">
      <c r="B213" s="10" t="s">
        <v>395</v>
      </c>
    </row>
    <row r="214" spans="2:2">
      <c r="B214" s="10" t="s">
        <v>396</v>
      </c>
    </row>
    <row r="215" spans="2:2">
      <c r="B215" s="10" t="s">
        <v>397</v>
      </c>
    </row>
    <row r="216" spans="2:2">
      <c r="B216" s="10" t="s">
        <v>398</v>
      </c>
    </row>
    <row r="217" spans="2:2">
      <c r="B217" s="10" t="s">
        <v>399</v>
      </c>
    </row>
    <row r="218" spans="2:2">
      <c r="B218" s="10" t="s">
        <v>400</v>
      </c>
    </row>
    <row r="219" spans="2:2">
      <c r="B219" s="10" t="s">
        <v>401</v>
      </c>
    </row>
    <row r="220" spans="2:2">
      <c r="B220" s="10" t="s">
        <v>402</v>
      </c>
    </row>
    <row r="221" spans="2:2">
      <c r="B221" s="10" t="s">
        <v>403</v>
      </c>
    </row>
    <row r="222" spans="2:2">
      <c r="B222" s="10" t="s">
        <v>404</v>
      </c>
    </row>
    <row r="223" spans="2:2">
      <c r="B223" s="10" t="s">
        <v>405</v>
      </c>
    </row>
    <row r="224" spans="2:2">
      <c r="B224" s="10" t="s">
        <v>406</v>
      </c>
    </row>
    <row r="225" spans="2:2">
      <c r="B225" s="10" t="s">
        <v>407</v>
      </c>
    </row>
    <row r="226" spans="2:2">
      <c r="B226" s="10" t="s">
        <v>408</v>
      </c>
    </row>
    <row r="227" spans="2:2">
      <c r="B227" s="10" t="s">
        <v>409</v>
      </c>
    </row>
    <row r="228" spans="2:2">
      <c r="B228" s="10" t="s">
        <v>410</v>
      </c>
    </row>
    <row r="229" spans="2:2">
      <c r="B229" s="10" t="s">
        <v>411</v>
      </c>
    </row>
    <row r="230" spans="2:2">
      <c r="B230" s="10" t="s">
        <v>412</v>
      </c>
    </row>
    <row r="231" spans="2:2">
      <c r="B231" s="10" t="s">
        <v>413</v>
      </c>
    </row>
    <row r="232" spans="2:2">
      <c r="B232" s="10" t="s">
        <v>414</v>
      </c>
    </row>
    <row r="233" spans="2:2">
      <c r="B233" s="10" t="s">
        <v>415</v>
      </c>
    </row>
    <row r="234" spans="2:2">
      <c r="B234" s="10" t="s">
        <v>416</v>
      </c>
    </row>
    <row r="235" spans="2:2">
      <c r="B235" s="10" t="s">
        <v>417</v>
      </c>
    </row>
    <row r="236" spans="2:2">
      <c r="B236" s="10" t="s">
        <v>418</v>
      </c>
    </row>
    <row r="237" spans="2:2">
      <c r="B237" s="10" t="s">
        <v>419</v>
      </c>
    </row>
    <row r="238" spans="2:2">
      <c r="B238" s="10" t="s">
        <v>420</v>
      </c>
    </row>
    <row r="239" spans="2:2">
      <c r="B239" s="10" t="s">
        <v>421</v>
      </c>
    </row>
    <row r="240" spans="2:2">
      <c r="B240" s="10" t="s">
        <v>422</v>
      </c>
    </row>
    <row r="241" spans="2:2">
      <c r="B241" s="10" t="s">
        <v>423</v>
      </c>
    </row>
    <row r="242" spans="2:2">
      <c r="B242" s="10" t="s">
        <v>424</v>
      </c>
    </row>
    <row r="243" spans="2:2">
      <c r="B243" s="10" t="s">
        <v>425</v>
      </c>
    </row>
    <row r="244" spans="2:2">
      <c r="B244" s="10" t="s">
        <v>426</v>
      </c>
    </row>
    <row r="245" spans="2:2">
      <c r="B245" s="10" t="s">
        <v>427</v>
      </c>
    </row>
    <row r="246" spans="2:2">
      <c r="B246" s="10" t="s">
        <v>428</v>
      </c>
    </row>
    <row r="247" spans="2:2">
      <c r="B247" s="10" t="s">
        <v>429</v>
      </c>
    </row>
    <row r="248" spans="2:2">
      <c r="B248" s="10" t="s">
        <v>430</v>
      </c>
    </row>
    <row r="249" spans="2:2">
      <c r="B249" s="10" t="s">
        <v>431</v>
      </c>
    </row>
    <row r="250" spans="2:2">
      <c r="B250" s="10" t="s">
        <v>432</v>
      </c>
    </row>
    <row r="251" spans="2:2">
      <c r="B251" s="10" t="s">
        <v>433</v>
      </c>
    </row>
    <row r="252" spans="2:2">
      <c r="B252" s="10" t="s">
        <v>434</v>
      </c>
    </row>
    <row r="253" spans="2:2">
      <c r="B253" s="10" t="s">
        <v>435</v>
      </c>
    </row>
    <row r="254" spans="2:2">
      <c r="B254" s="10" t="s">
        <v>436</v>
      </c>
    </row>
    <row r="255" spans="2:2">
      <c r="B255" s="10" t="s">
        <v>437</v>
      </c>
    </row>
    <row r="256" spans="2:2">
      <c r="B256" s="10" t="s">
        <v>438</v>
      </c>
    </row>
    <row r="257" spans="2:2">
      <c r="B257" s="10" t="s">
        <v>439</v>
      </c>
    </row>
    <row r="258" spans="2:2">
      <c r="B258" s="10" t="s">
        <v>440</v>
      </c>
    </row>
    <row r="259" spans="2:2">
      <c r="B259" s="10" t="s">
        <v>441</v>
      </c>
    </row>
    <row r="260" spans="2:2">
      <c r="B260" s="10" t="s">
        <v>442</v>
      </c>
    </row>
    <row r="261" spans="2:2">
      <c r="B261" s="10" t="s">
        <v>443</v>
      </c>
    </row>
    <row r="262" spans="2:2">
      <c r="B262" s="10" t="s">
        <v>444</v>
      </c>
    </row>
    <row r="263" spans="2:2">
      <c r="B263" s="10" t="s">
        <v>445</v>
      </c>
    </row>
    <row r="264" spans="2:2">
      <c r="B264" s="10" t="s">
        <v>446</v>
      </c>
    </row>
    <row r="265" spans="2:2">
      <c r="B265" s="10" t="s">
        <v>447</v>
      </c>
    </row>
    <row r="266" spans="2:2">
      <c r="B266" s="10" t="s">
        <v>448</v>
      </c>
    </row>
    <row r="267" spans="2:2">
      <c r="B267" s="10" t="s">
        <v>449</v>
      </c>
    </row>
    <row r="268" spans="2:2">
      <c r="B268" s="10" t="s">
        <v>450</v>
      </c>
    </row>
    <row r="269" spans="2:2">
      <c r="B269" s="10" t="s">
        <v>451</v>
      </c>
    </row>
    <row r="270" spans="2:2">
      <c r="B270" s="10" t="s">
        <v>452</v>
      </c>
    </row>
    <row r="271" spans="2:2">
      <c r="B271" s="10" t="s">
        <v>453</v>
      </c>
    </row>
    <row r="272" spans="2:2">
      <c r="B272" s="10" t="s">
        <v>454</v>
      </c>
    </row>
    <row r="273" spans="2:2">
      <c r="B273" s="10" t="s">
        <v>455</v>
      </c>
    </row>
    <row r="274" spans="2:2">
      <c r="B274" s="10" t="s">
        <v>456</v>
      </c>
    </row>
    <row r="275" spans="2:2">
      <c r="B275" s="10" t="s">
        <v>457</v>
      </c>
    </row>
    <row r="276" spans="2:2">
      <c r="B276" s="10" t="s">
        <v>458</v>
      </c>
    </row>
    <row r="277" spans="2:2">
      <c r="B277" s="10" t="s">
        <v>459</v>
      </c>
    </row>
    <row r="278" spans="2:2">
      <c r="B278" s="10" t="s">
        <v>460</v>
      </c>
    </row>
    <row r="279" spans="2:2">
      <c r="B279" s="10" t="s">
        <v>461</v>
      </c>
    </row>
    <row r="280" spans="2:2">
      <c r="B280" s="10" t="s">
        <v>462</v>
      </c>
    </row>
    <row r="281" spans="2:2">
      <c r="B281" s="10" t="s">
        <v>463</v>
      </c>
    </row>
    <row r="282" spans="2:2">
      <c r="B282" s="10" t="s">
        <v>464</v>
      </c>
    </row>
    <row r="283" spans="2:2">
      <c r="B283" s="10" t="s">
        <v>465</v>
      </c>
    </row>
    <row r="284" spans="2:2">
      <c r="B284" s="10" t="s">
        <v>466</v>
      </c>
    </row>
    <row r="285" spans="2:2">
      <c r="B285" s="10" t="s">
        <v>467</v>
      </c>
    </row>
    <row r="286" spans="2:2">
      <c r="B286" s="10" t="s">
        <v>468</v>
      </c>
    </row>
    <row r="287" spans="2:2">
      <c r="B287" s="10" t="s">
        <v>469</v>
      </c>
    </row>
    <row r="288" spans="2:2">
      <c r="B288" s="10" t="s">
        <v>470</v>
      </c>
    </row>
    <row r="289" spans="2:2">
      <c r="B289" s="10" t="s">
        <v>471</v>
      </c>
    </row>
    <row r="290" spans="2:2">
      <c r="B290" s="10" t="s">
        <v>472</v>
      </c>
    </row>
    <row r="291" spans="2:2">
      <c r="B291" s="10" t="s">
        <v>473</v>
      </c>
    </row>
    <row r="292" spans="2:2">
      <c r="B292" s="10" t="s">
        <v>474</v>
      </c>
    </row>
    <row r="293" spans="2:2">
      <c r="B293" s="10" t="s">
        <v>475</v>
      </c>
    </row>
    <row r="294" spans="2:2">
      <c r="B294" s="10" t="s">
        <v>476</v>
      </c>
    </row>
    <row r="295" spans="2:2">
      <c r="B295" s="10" t="s">
        <v>477</v>
      </c>
    </row>
    <row r="296" spans="2:2">
      <c r="B296" s="10" t="s">
        <v>478</v>
      </c>
    </row>
    <row r="297" spans="2:2">
      <c r="B297" s="10" t="s">
        <v>479</v>
      </c>
    </row>
    <row r="298" spans="2:2">
      <c r="B298" s="10" t="s">
        <v>480</v>
      </c>
    </row>
    <row r="299" spans="2:2">
      <c r="B299" s="10" t="s">
        <v>481</v>
      </c>
    </row>
    <row r="300" spans="2:2">
      <c r="B300" s="10" t="s">
        <v>482</v>
      </c>
    </row>
    <row r="301" spans="2:2">
      <c r="B301" s="10" t="s">
        <v>483</v>
      </c>
    </row>
    <row r="302" spans="2:2">
      <c r="B302" s="10" t="s">
        <v>484</v>
      </c>
    </row>
    <row r="303" spans="2:2">
      <c r="B303" s="10" t="s">
        <v>485</v>
      </c>
    </row>
    <row r="304" spans="2:2">
      <c r="B304" s="10" t="s">
        <v>486</v>
      </c>
    </row>
    <row r="305" spans="2:2">
      <c r="B305" s="10" t="s">
        <v>487</v>
      </c>
    </row>
    <row r="306" spans="2:2">
      <c r="B306" s="10" t="s">
        <v>488</v>
      </c>
    </row>
    <row r="307" spans="2:2">
      <c r="B307" s="10" t="s">
        <v>489</v>
      </c>
    </row>
    <row r="308" spans="2:2">
      <c r="B308" s="10" t="s">
        <v>490</v>
      </c>
    </row>
    <row r="309" spans="2:2">
      <c r="B309" s="10" t="s">
        <v>491</v>
      </c>
    </row>
    <row r="310" spans="2:2">
      <c r="B310" s="10" t="s">
        <v>492</v>
      </c>
    </row>
    <row r="311" spans="2:2">
      <c r="B311" s="10" t="s">
        <v>493</v>
      </c>
    </row>
    <row r="312" spans="2:2">
      <c r="B312" s="10" t="s">
        <v>494</v>
      </c>
    </row>
    <row r="313" spans="2:2">
      <c r="B313" s="10" t="s">
        <v>495</v>
      </c>
    </row>
    <row r="314" spans="2:2">
      <c r="B314" s="10" t="s">
        <v>496</v>
      </c>
    </row>
    <row r="315" spans="2:2">
      <c r="B315" s="10" t="s">
        <v>497</v>
      </c>
    </row>
    <row r="316" spans="2:2">
      <c r="B316" s="10" t="s">
        <v>498</v>
      </c>
    </row>
    <row r="317" spans="2:2">
      <c r="B317" s="10" t="s">
        <v>499</v>
      </c>
    </row>
    <row r="318" spans="2:2">
      <c r="B318" s="10" t="s">
        <v>500</v>
      </c>
    </row>
    <row r="319" spans="2:2">
      <c r="B319" s="10" t="s">
        <v>501</v>
      </c>
    </row>
    <row r="320" spans="2:2">
      <c r="B320" s="10" t="s">
        <v>502</v>
      </c>
    </row>
    <row r="321" spans="2:2">
      <c r="B321" s="10" t="s">
        <v>503</v>
      </c>
    </row>
    <row r="322" spans="2:2">
      <c r="B322" s="10" t="s">
        <v>504</v>
      </c>
    </row>
    <row r="323" spans="2:2">
      <c r="B323" s="10" t="s">
        <v>505</v>
      </c>
    </row>
    <row r="324" spans="2:2">
      <c r="B324" s="10" t="s">
        <v>506</v>
      </c>
    </row>
    <row r="325" spans="2:2">
      <c r="B325" s="10" t="s">
        <v>507</v>
      </c>
    </row>
    <row r="326" spans="2:2">
      <c r="B326" s="10" t="s">
        <v>508</v>
      </c>
    </row>
    <row r="327" spans="2:2">
      <c r="B327" s="10" t="s">
        <v>509</v>
      </c>
    </row>
    <row r="328" spans="2:2">
      <c r="B328" s="10" t="s">
        <v>510</v>
      </c>
    </row>
    <row r="329" spans="2:2">
      <c r="B329" s="10" t="s">
        <v>511</v>
      </c>
    </row>
    <row r="330" spans="2:2">
      <c r="B330" s="10" t="s">
        <v>512</v>
      </c>
    </row>
    <row r="331" spans="2:2">
      <c r="B331" s="10" t="s">
        <v>513</v>
      </c>
    </row>
    <row r="332" spans="2:2">
      <c r="B332" s="10" t="s">
        <v>514</v>
      </c>
    </row>
    <row r="333" spans="2:2">
      <c r="B333" s="10" t="s">
        <v>515</v>
      </c>
    </row>
    <row r="334" spans="2:2">
      <c r="B334" s="10" t="s">
        <v>516</v>
      </c>
    </row>
    <row r="335" spans="2:2">
      <c r="B335" s="10" t="s">
        <v>517</v>
      </c>
    </row>
    <row r="336" spans="2:2">
      <c r="B336" s="10" t="s">
        <v>518</v>
      </c>
    </row>
    <row r="337" spans="2:2">
      <c r="B337" s="10" t="s">
        <v>519</v>
      </c>
    </row>
    <row r="338" spans="2:2">
      <c r="B338" s="10" t="s">
        <v>520</v>
      </c>
    </row>
    <row r="339" spans="2:2">
      <c r="B339" s="10" t="s">
        <v>521</v>
      </c>
    </row>
    <row r="340" spans="2:2">
      <c r="B340" s="10" t="s">
        <v>522</v>
      </c>
    </row>
    <row r="341" spans="2:2">
      <c r="B341" s="10" t="s">
        <v>523</v>
      </c>
    </row>
    <row r="342" spans="2:2">
      <c r="B342" s="10" t="s">
        <v>524</v>
      </c>
    </row>
    <row r="343" spans="2:2">
      <c r="B343" s="10" t="s">
        <v>525</v>
      </c>
    </row>
    <row r="344" spans="2:2">
      <c r="B344" s="10" t="s">
        <v>526</v>
      </c>
    </row>
    <row r="345" spans="2:2">
      <c r="B345" s="10" t="s">
        <v>527</v>
      </c>
    </row>
    <row r="346" spans="2:2">
      <c r="B346" s="10" t="s">
        <v>528</v>
      </c>
    </row>
    <row r="347" spans="2:2">
      <c r="B347" s="10" t="s">
        <v>529</v>
      </c>
    </row>
    <row r="348" spans="2:2">
      <c r="B348" s="10" t="s">
        <v>530</v>
      </c>
    </row>
    <row r="349" spans="2:2">
      <c r="B349" s="10" t="s">
        <v>531</v>
      </c>
    </row>
    <row r="350" spans="2:2">
      <c r="B350" s="10" t="s">
        <v>532</v>
      </c>
    </row>
    <row r="351" spans="2:2">
      <c r="B351" s="10" t="s">
        <v>533</v>
      </c>
    </row>
    <row r="352" spans="2:2">
      <c r="B352" s="10" t="s">
        <v>534</v>
      </c>
    </row>
    <row r="353" spans="2:2">
      <c r="B353" s="10" t="s">
        <v>535</v>
      </c>
    </row>
    <row r="354" spans="2:2">
      <c r="B354" s="10" t="s">
        <v>536</v>
      </c>
    </row>
    <row r="355" spans="2:2">
      <c r="B355" s="10" t="s">
        <v>537</v>
      </c>
    </row>
    <row r="356" spans="2:2">
      <c r="B356" s="10" t="s">
        <v>538</v>
      </c>
    </row>
    <row r="357" spans="2:2">
      <c r="B357" s="10" t="s">
        <v>539</v>
      </c>
    </row>
    <row r="358" spans="2:2">
      <c r="B358" s="10" t="s">
        <v>540</v>
      </c>
    </row>
    <row r="359" spans="2:2">
      <c r="B359" s="10" t="s">
        <v>541</v>
      </c>
    </row>
    <row r="360" spans="2:2">
      <c r="B360" s="10" t="s">
        <v>542</v>
      </c>
    </row>
    <row r="361" spans="2:2">
      <c r="B361" s="10" t="s">
        <v>543</v>
      </c>
    </row>
    <row r="362" spans="2:2">
      <c r="B362" s="10" t="s">
        <v>544</v>
      </c>
    </row>
    <row r="363" spans="2:2">
      <c r="B363" s="10" t="s">
        <v>545</v>
      </c>
    </row>
    <row r="364" spans="2:2">
      <c r="B364" s="10" t="s">
        <v>546</v>
      </c>
    </row>
    <row r="365" spans="2:2">
      <c r="B365" s="10" t="s">
        <v>547</v>
      </c>
    </row>
    <row r="366" spans="2:2">
      <c r="B366" s="10" t="s">
        <v>548</v>
      </c>
    </row>
    <row r="367" spans="2:2">
      <c r="B367" s="10" t="s">
        <v>549</v>
      </c>
    </row>
    <row r="368" spans="2:2">
      <c r="B368" s="10" t="s">
        <v>550</v>
      </c>
    </row>
    <row r="369" spans="2:2">
      <c r="B369" s="10" t="s">
        <v>551</v>
      </c>
    </row>
    <row r="370" spans="2:2">
      <c r="B370" s="10" t="s">
        <v>552</v>
      </c>
    </row>
    <row r="371" spans="2:2">
      <c r="B371" s="10" t="s">
        <v>553</v>
      </c>
    </row>
    <row r="372" spans="2:2">
      <c r="B372" s="10" t="s">
        <v>554</v>
      </c>
    </row>
    <row r="373" spans="2:2">
      <c r="B373" s="10" t="s">
        <v>555</v>
      </c>
    </row>
    <row r="374" spans="2:2">
      <c r="B374" s="10" t="s">
        <v>556</v>
      </c>
    </row>
    <row r="375" spans="2:2">
      <c r="B375" s="10" t="s">
        <v>557</v>
      </c>
    </row>
    <row r="376" spans="2:2">
      <c r="B376" s="10" t="s">
        <v>558</v>
      </c>
    </row>
    <row r="377" spans="2:2">
      <c r="B377" s="10" t="s">
        <v>559</v>
      </c>
    </row>
    <row r="378" spans="2:2">
      <c r="B378" s="10" t="s">
        <v>560</v>
      </c>
    </row>
    <row r="379" spans="2:2">
      <c r="B379" s="10" t="s">
        <v>561</v>
      </c>
    </row>
    <row r="380" spans="2:2">
      <c r="B380" s="10" t="s">
        <v>562</v>
      </c>
    </row>
    <row r="381" spans="2:2">
      <c r="B381" s="10" t="s">
        <v>563</v>
      </c>
    </row>
    <row r="382" spans="2:2">
      <c r="B382" s="10" t="s">
        <v>564</v>
      </c>
    </row>
    <row r="383" spans="2:2">
      <c r="B383" s="10" t="s">
        <v>565</v>
      </c>
    </row>
    <row r="384" spans="2:2">
      <c r="B384" s="10" t="s">
        <v>566</v>
      </c>
    </row>
    <row r="385" spans="2:2">
      <c r="B385" s="10" t="s">
        <v>567</v>
      </c>
    </row>
    <row r="386" spans="2:2">
      <c r="B386" s="10" t="s">
        <v>568</v>
      </c>
    </row>
    <row r="387" spans="2:2">
      <c r="B387" s="10" t="s">
        <v>569</v>
      </c>
    </row>
    <row r="388" spans="2:2">
      <c r="B388" s="10" t="s">
        <v>570</v>
      </c>
    </row>
    <row r="389" spans="2:2">
      <c r="B389" s="10" t="s">
        <v>571</v>
      </c>
    </row>
    <row r="390" spans="2:2">
      <c r="B390" s="10" t="s">
        <v>572</v>
      </c>
    </row>
    <row r="391" spans="2:2">
      <c r="B391" s="10" t="s">
        <v>573</v>
      </c>
    </row>
    <row r="392" spans="2:2">
      <c r="B392" s="10" t="s">
        <v>574</v>
      </c>
    </row>
    <row r="393" spans="2:2">
      <c r="B393" s="10" t="s">
        <v>575</v>
      </c>
    </row>
    <row r="394" spans="2:2">
      <c r="B394" s="10" t="s">
        <v>576</v>
      </c>
    </row>
    <row r="395" spans="2:2">
      <c r="B395" s="10" t="s">
        <v>577</v>
      </c>
    </row>
    <row r="396" spans="2:2">
      <c r="B396" s="10" t="s">
        <v>578</v>
      </c>
    </row>
    <row r="397" spans="2:2">
      <c r="B397" s="10" t="s">
        <v>579</v>
      </c>
    </row>
    <row r="398" spans="2:2">
      <c r="B398" s="10" t="s">
        <v>580</v>
      </c>
    </row>
    <row r="399" spans="2:2">
      <c r="B399" s="10" t="s">
        <v>581</v>
      </c>
    </row>
    <row r="400" spans="2:2">
      <c r="B400" s="10" t="s">
        <v>582</v>
      </c>
    </row>
    <row r="401" spans="2:2">
      <c r="B401" s="10" t="s">
        <v>583</v>
      </c>
    </row>
    <row r="402" spans="2:2">
      <c r="B402" s="10" t="s">
        <v>584</v>
      </c>
    </row>
    <row r="403" spans="2:2">
      <c r="B403" s="10" t="s">
        <v>585</v>
      </c>
    </row>
    <row r="404" spans="2:2">
      <c r="B404" s="10" t="s">
        <v>586</v>
      </c>
    </row>
    <row r="405" spans="2:2">
      <c r="B405" s="10" t="s">
        <v>587</v>
      </c>
    </row>
    <row r="406" spans="2:2">
      <c r="B406" s="10" t="s">
        <v>588</v>
      </c>
    </row>
    <row r="407" spans="2:2">
      <c r="B407" s="10" t="s">
        <v>589</v>
      </c>
    </row>
    <row r="408" spans="2:2">
      <c r="B408" s="10" t="s">
        <v>590</v>
      </c>
    </row>
    <row r="409" spans="2:2">
      <c r="B409" s="10" t="s">
        <v>591</v>
      </c>
    </row>
    <row r="410" spans="2:2">
      <c r="B410" s="10" t="s">
        <v>592</v>
      </c>
    </row>
    <row r="411" spans="2:2">
      <c r="B411" s="10" t="s">
        <v>593</v>
      </c>
    </row>
    <row r="412" spans="2:2">
      <c r="B412" s="10" t="s">
        <v>594</v>
      </c>
    </row>
    <row r="413" spans="2:2">
      <c r="B413" s="10" t="s">
        <v>595</v>
      </c>
    </row>
    <row r="414" spans="2:2">
      <c r="B414" s="10" t="s">
        <v>596</v>
      </c>
    </row>
    <row r="415" spans="2:2">
      <c r="B415" s="10" t="s">
        <v>597</v>
      </c>
    </row>
    <row r="416" spans="2:2">
      <c r="B416" s="10" t="s">
        <v>598</v>
      </c>
    </row>
    <row r="417" spans="2:2">
      <c r="B417" s="10" t="s">
        <v>599</v>
      </c>
    </row>
    <row r="418" spans="2:2">
      <c r="B418" s="10" t="s">
        <v>600</v>
      </c>
    </row>
    <row r="419" spans="2:2">
      <c r="B419" s="10" t="s">
        <v>601</v>
      </c>
    </row>
    <row r="420" spans="2:2">
      <c r="B420" s="10" t="s">
        <v>602</v>
      </c>
    </row>
    <row r="421" spans="2:2">
      <c r="B421" s="10" t="s">
        <v>603</v>
      </c>
    </row>
    <row r="422" spans="2:2">
      <c r="B422" s="10" t="s">
        <v>604</v>
      </c>
    </row>
    <row r="423" spans="2:2">
      <c r="B423" s="10" t="s">
        <v>605</v>
      </c>
    </row>
    <row r="424" spans="2:2">
      <c r="B424" s="10" t="s">
        <v>606</v>
      </c>
    </row>
    <row r="425" spans="2:2">
      <c r="B425" s="10" t="s">
        <v>607</v>
      </c>
    </row>
    <row r="426" spans="2:2">
      <c r="B426" s="10" t="s">
        <v>608</v>
      </c>
    </row>
    <row r="427" spans="2:2">
      <c r="B427" s="10" t="s">
        <v>609</v>
      </c>
    </row>
    <row r="428" spans="2:2">
      <c r="B428" s="10" t="s">
        <v>610</v>
      </c>
    </row>
    <row r="429" spans="2:2">
      <c r="B429" s="10" t="s">
        <v>611</v>
      </c>
    </row>
    <row r="430" spans="2:2">
      <c r="B430" s="10" t="s">
        <v>612</v>
      </c>
    </row>
    <row r="431" spans="2:2">
      <c r="B431" s="10" t="s">
        <v>613</v>
      </c>
    </row>
    <row r="432" spans="2:2">
      <c r="B432" s="10" t="s">
        <v>614</v>
      </c>
    </row>
    <row r="433" spans="2:2">
      <c r="B433" s="10" t="s">
        <v>615</v>
      </c>
    </row>
    <row r="434" spans="2:2">
      <c r="B434" s="10" t="s">
        <v>616</v>
      </c>
    </row>
    <row r="435" spans="2:2">
      <c r="B435" s="10" t="s">
        <v>617</v>
      </c>
    </row>
    <row r="436" spans="2:2">
      <c r="B436" s="10" t="s">
        <v>618</v>
      </c>
    </row>
    <row r="437" spans="2:2">
      <c r="B437" s="10" t="s">
        <v>619</v>
      </c>
    </row>
    <row r="438" spans="2:2">
      <c r="B438" s="10" t="s">
        <v>620</v>
      </c>
    </row>
    <row r="439" spans="2:2">
      <c r="B439" s="10" t="s">
        <v>621</v>
      </c>
    </row>
    <row r="440" spans="2:2">
      <c r="B440" s="10" t="s">
        <v>622</v>
      </c>
    </row>
    <row r="441" spans="2:2">
      <c r="B441" s="10" t="s">
        <v>623</v>
      </c>
    </row>
    <row r="442" spans="2:2">
      <c r="B442" s="10" t="s">
        <v>624</v>
      </c>
    </row>
    <row r="443" spans="2:2">
      <c r="B443" s="10" t="s">
        <v>625</v>
      </c>
    </row>
    <row r="444" spans="2:2">
      <c r="B444" s="10" t="s">
        <v>626</v>
      </c>
    </row>
    <row r="445" spans="2:2">
      <c r="B445" s="10" t="s">
        <v>627</v>
      </c>
    </row>
    <row r="446" spans="2:2">
      <c r="B446" s="10" t="s">
        <v>628</v>
      </c>
    </row>
    <row r="447" spans="2:2">
      <c r="B447" s="10" t="s">
        <v>629</v>
      </c>
    </row>
    <row r="448" spans="2:2">
      <c r="B448" s="10" t="s">
        <v>630</v>
      </c>
    </row>
    <row r="449" spans="2:2">
      <c r="B449" s="10" t="s">
        <v>631</v>
      </c>
    </row>
    <row r="450" spans="2:2">
      <c r="B450" s="10" t="s">
        <v>632</v>
      </c>
    </row>
    <row r="451" spans="2:2">
      <c r="B451" s="10" t="s">
        <v>633</v>
      </c>
    </row>
    <row r="452" spans="2:2">
      <c r="B452" s="10" t="s">
        <v>634</v>
      </c>
    </row>
    <row r="453" spans="2:2">
      <c r="B453" s="10" t="s">
        <v>635</v>
      </c>
    </row>
    <row r="454" spans="2:2">
      <c r="B454" s="10" t="s">
        <v>636</v>
      </c>
    </row>
    <row r="455" spans="2:2">
      <c r="B455" s="10" t="s">
        <v>637</v>
      </c>
    </row>
    <row r="456" spans="2:2">
      <c r="B456" s="10" t="s">
        <v>638</v>
      </c>
    </row>
    <row r="457" spans="2:2">
      <c r="B457" s="10" t="s">
        <v>639</v>
      </c>
    </row>
    <row r="458" spans="2:2">
      <c r="B458" s="10" t="s">
        <v>640</v>
      </c>
    </row>
    <row r="459" spans="2:2">
      <c r="B459" s="10" t="s">
        <v>641</v>
      </c>
    </row>
    <row r="460" spans="2:2">
      <c r="B460" s="10" t="s">
        <v>642</v>
      </c>
    </row>
    <row r="461" spans="2:2">
      <c r="B461" s="10" t="s">
        <v>643</v>
      </c>
    </row>
    <row r="462" spans="2:2">
      <c r="B462" s="10" t="s">
        <v>644</v>
      </c>
    </row>
    <row r="463" spans="2:2">
      <c r="B463" s="10" t="s">
        <v>645</v>
      </c>
    </row>
    <row r="464" spans="2:2">
      <c r="B464" s="10" t="s">
        <v>646</v>
      </c>
    </row>
    <row r="465" spans="2:2">
      <c r="B465" s="10" t="s">
        <v>647</v>
      </c>
    </row>
    <row r="466" spans="2:2">
      <c r="B466" s="10" t="s">
        <v>648</v>
      </c>
    </row>
    <row r="467" spans="2:2">
      <c r="B467" s="10" t="s">
        <v>649</v>
      </c>
    </row>
    <row r="468" spans="2:2">
      <c r="B468" s="10" t="s">
        <v>650</v>
      </c>
    </row>
    <row r="469" spans="2:2">
      <c r="B469" s="10" t="s">
        <v>651</v>
      </c>
    </row>
    <row r="470" spans="2:2">
      <c r="B470" s="10" t="s">
        <v>652</v>
      </c>
    </row>
    <row r="471" spans="2:2">
      <c r="B471" s="10" t="s">
        <v>653</v>
      </c>
    </row>
    <row r="472" spans="2:2">
      <c r="B472" s="10" t="s">
        <v>654</v>
      </c>
    </row>
    <row r="473" spans="2:2">
      <c r="B473" s="10" t="s">
        <v>655</v>
      </c>
    </row>
    <row r="474" spans="2:2">
      <c r="B474" s="10" t="s">
        <v>656</v>
      </c>
    </row>
    <row r="475" spans="2:2">
      <c r="B475" s="10" t="s">
        <v>657</v>
      </c>
    </row>
    <row r="476" spans="2:2">
      <c r="B476" s="10" t="s">
        <v>658</v>
      </c>
    </row>
    <row r="477" spans="2:2">
      <c r="B477" s="10" t="s">
        <v>659</v>
      </c>
    </row>
    <row r="478" spans="2:2">
      <c r="B478" s="10" t="s">
        <v>660</v>
      </c>
    </row>
    <row r="479" spans="2:2">
      <c r="B479" s="10" t="s">
        <v>661</v>
      </c>
    </row>
    <row r="480" spans="2:2">
      <c r="B480" s="10" t="s">
        <v>662</v>
      </c>
    </row>
    <row r="481" spans="2:2">
      <c r="B481" s="10" t="s">
        <v>663</v>
      </c>
    </row>
    <row r="482" spans="2:2">
      <c r="B482" s="10" t="s">
        <v>664</v>
      </c>
    </row>
    <row r="483" spans="2:2">
      <c r="B483" s="10" t="s">
        <v>665</v>
      </c>
    </row>
    <row r="484" spans="2:2">
      <c r="B484" s="10" t="s">
        <v>666</v>
      </c>
    </row>
    <row r="485" spans="2:2">
      <c r="B485" s="10" t="s">
        <v>667</v>
      </c>
    </row>
    <row r="486" spans="2:2">
      <c r="B486" s="10" t="s">
        <v>668</v>
      </c>
    </row>
    <row r="487" spans="2:2">
      <c r="B487" s="10" t="s">
        <v>669</v>
      </c>
    </row>
    <row r="488" spans="2:2">
      <c r="B488" s="10" t="s">
        <v>670</v>
      </c>
    </row>
    <row r="489" spans="2:2">
      <c r="B489" s="10" t="s">
        <v>671</v>
      </c>
    </row>
    <row r="490" spans="2:2">
      <c r="B490" s="10" t="s">
        <v>672</v>
      </c>
    </row>
    <row r="491" spans="2:2">
      <c r="B491" s="10" t="s">
        <v>673</v>
      </c>
    </row>
    <row r="492" spans="2:2">
      <c r="B492" s="10" t="s">
        <v>674</v>
      </c>
    </row>
    <row r="493" spans="2:2">
      <c r="B493" s="10" t="s">
        <v>675</v>
      </c>
    </row>
    <row r="494" spans="2:2">
      <c r="B494" s="10" t="s">
        <v>676</v>
      </c>
    </row>
    <row r="495" spans="2:2">
      <c r="B495" s="10" t="s">
        <v>677</v>
      </c>
    </row>
    <row r="496" spans="2:2">
      <c r="B496" s="10" t="s">
        <v>678</v>
      </c>
    </row>
    <row r="497" spans="2:2">
      <c r="B497" s="10" t="s">
        <v>679</v>
      </c>
    </row>
    <row r="498" spans="2:2">
      <c r="B498" s="10" t="s">
        <v>680</v>
      </c>
    </row>
    <row r="499" spans="2:2">
      <c r="B499" s="10" t="s">
        <v>681</v>
      </c>
    </row>
    <row r="500" spans="2:2">
      <c r="B500" s="10" t="s">
        <v>682</v>
      </c>
    </row>
    <row r="501" spans="2:2">
      <c r="B501" s="10" t="s">
        <v>683</v>
      </c>
    </row>
    <row r="502" spans="2:2">
      <c r="B502" s="10" t="s">
        <v>684</v>
      </c>
    </row>
    <row r="503" spans="2:2">
      <c r="B503" s="10" t="s">
        <v>685</v>
      </c>
    </row>
    <row r="504" spans="2:2">
      <c r="B504" s="10" t="s">
        <v>686</v>
      </c>
    </row>
    <row r="505" spans="2:2">
      <c r="B505" s="10" t="s">
        <v>687</v>
      </c>
    </row>
    <row r="506" spans="2:2">
      <c r="B506" s="10" t="s">
        <v>688</v>
      </c>
    </row>
    <row r="507" spans="2:2">
      <c r="B507" s="10" t="s">
        <v>689</v>
      </c>
    </row>
    <row r="508" spans="2:2">
      <c r="B508" s="10" t="s">
        <v>690</v>
      </c>
    </row>
    <row r="509" spans="2:2">
      <c r="B509" s="10" t="s">
        <v>691</v>
      </c>
    </row>
    <row r="510" spans="2:2">
      <c r="B510" s="10" t="s">
        <v>692</v>
      </c>
    </row>
    <row r="511" spans="2:2">
      <c r="B511" s="10" t="s">
        <v>693</v>
      </c>
    </row>
    <row r="512" spans="2:2">
      <c r="B512" s="10" t="s">
        <v>694</v>
      </c>
    </row>
    <row r="513" spans="2:2">
      <c r="B513" s="10" t="s">
        <v>695</v>
      </c>
    </row>
    <row r="514" spans="2:2">
      <c r="B514" s="10" t="s">
        <v>696</v>
      </c>
    </row>
    <row r="515" spans="2:2">
      <c r="B515" s="10" t="s">
        <v>697</v>
      </c>
    </row>
    <row r="516" spans="2:2">
      <c r="B516" s="10" t="s">
        <v>698</v>
      </c>
    </row>
    <row r="517" spans="2:2">
      <c r="B517" s="10" t="s">
        <v>699</v>
      </c>
    </row>
    <row r="518" spans="2:2">
      <c r="B518" s="10" t="s">
        <v>700</v>
      </c>
    </row>
    <row r="519" spans="2:2">
      <c r="B519" s="10" t="s">
        <v>701</v>
      </c>
    </row>
    <row r="520" spans="2:2">
      <c r="B520" s="10" t="s">
        <v>702</v>
      </c>
    </row>
    <row r="521" spans="2:2">
      <c r="B521" s="10" t="s">
        <v>703</v>
      </c>
    </row>
    <row r="522" spans="2:2">
      <c r="B522" s="10" t="s">
        <v>704</v>
      </c>
    </row>
    <row r="523" spans="2:2">
      <c r="B523" s="10" t="s">
        <v>705</v>
      </c>
    </row>
    <row r="524" spans="2:2">
      <c r="B524" s="10" t="s">
        <v>706</v>
      </c>
    </row>
    <row r="525" spans="2:2">
      <c r="B525" s="10" t="s">
        <v>707</v>
      </c>
    </row>
    <row r="526" spans="2:2">
      <c r="B526" s="10" t="s">
        <v>708</v>
      </c>
    </row>
    <row r="527" spans="2:2">
      <c r="B527" s="10" t="s">
        <v>709</v>
      </c>
    </row>
    <row r="528" spans="2:2">
      <c r="B528" s="10" t="s">
        <v>710</v>
      </c>
    </row>
    <row r="529" spans="2:2">
      <c r="B529" s="10" t="s">
        <v>711</v>
      </c>
    </row>
    <row r="530" spans="2:2">
      <c r="B530" s="10" t="s">
        <v>712</v>
      </c>
    </row>
    <row r="531" spans="2:2">
      <c r="B531" s="10" t="s">
        <v>713</v>
      </c>
    </row>
    <row r="532" spans="2:2">
      <c r="B532" s="10" t="s">
        <v>714</v>
      </c>
    </row>
    <row r="533" spans="2:2">
      <c r="B533" s="10" t="s">
        <v>715</v>
      </c>
    </row>
    <row r="534" spans="2:2">
      <c r="B534" s="10" t="s">
        <v>716</v>
      </c>
    </row>
    <row r="535" spans="2:2">
      <c r="B535" s="10" t="s">
        <v>717</v>
      </c>
    </row>
    <row r="536" spans="2:2">
      <c r="B536" s="10" t="s">
        <v>718</v>
      </c>
    </row>
    <row r="537" spans="2:2">
      <c r="B537" s="10" t="s">
        <v>719</v>
      </c>
    </row>
    <row r="538" spans="2:2">
      <c r="B538" s="10" t="s">
        <v>720</v>
      </c>
    </row>
    <row r="539" spans="2:2">
      <c r="B539" s="10" t="s">
        <v>721</v>
      </c>
    </row>
    <row r="540" spans="2:2">
      <c r="B540" s="10" t="s">
        <v>722</v>
      </c>
    </row>
    <row r="541" spans="2:2">
      <c r="B541" s="10" t="s">
        <v>723</v>
      </c>
    </row>
    <row r="542" spans="2:2">
      <c r="B542" s="10" t="s">
        <v>724</v>
      </c>
    </row>
    <row r="543" spans="2:2">
      <c r="B543" s="10" t="s">
        <v>725</v>
      </c>
    </row>
    <row r="544" spans="2:2">
      <c r="B544" s="10" t="s">
        <v>726</v>
      </c>
    </row>
    <row r="545" spans="2:2">
      <c r="B545" s="10" t="s">
        <v>727</v>
      </c>
    </row>
    <row r="546" spans="2:2">
      <c r="B546" s="10" t="s">
        <v>728</v>
      </c>
    </row>
    <row r="547" spans="2:2">
      <c r="B547" s="10" t="s">
        <v>729</v>
      </c>
    </row>
    <row r="548" spans="2:2">
      <c r="B548" s="10" t="s">
        <v>730</v>
      </c>
    </row>
    <row r="549" spans="2:2">
      <c r="B549" s="10" t="s">
        <v>731</v>
      </c>
    </row>
    <row r="550" spans="2:2">
      <c r="B550" s="10" t="s">
        <v>732</v>
      </c>
    </row>
    <row r="551" spans="2:2">
      <c r="B551" s="10" t="s">
        <v>733</v>
      </c>
    </row>
    <row r="552" spans="2:2">
      <c r="B552" s="10" t="s">
        <v>734</v>
      </c>
    </row>
    <row r="553" spans="2:2">
      <c r="B553" s="10" t="s">
        <v>735</v>
      </c>
    </row>
    <row r="554" spans="2:2">
      <c r="B554" s="10" t="s">
        <v>736</v>
      </c>
    </row>
    <row r="555" spans="2:2">
      <c r="B555" s="10" t="s">
        <v>737</v>
      </c>
    </row>
    <row r="556" spans="2:2">
      <c r="B556" s="10" t="s">
        <v>738</v>
      </c>
    </row>
    <row r="557" spans="2:2">
      <c r="B557" s="10" t="s">
        <v>739</v>
      </c>
    </row>
    <row r="558" spans="2:2">
      <c r="B558" s="10" t="s">
        <v>740</v>
      </c>
    </row>
    <row r="559" spans="2:2">
      <c r="B559" s="10" t="s">
        <v>741</v>
      </c>
    </row>
    <row r="560" spans="2:2">
      <c r="B560" s="10" t="s">
        <v>742</v>
      </c>
    </row>
    <row r="561" spans="2:2">
      <c r="B561" s="10" t="s">
        <v>743</v>
      </c>
    </row>
    <row r="562" spans="2:2">
      <c r="B562" s="10" t="s">
        <v>744</v>
      </c>
    </row>
    <row r="563" spans="2:2">
      <c r="B563" s="10" t="s">
        <v>745</v>
      </c>
    </row>
    <row r="564" spans="2:2">
      <c r="B564" s="10" t="s">
        <v>746</v>
      </c>
    </row>
    <row r="565" spans="2:2">
      <c r="B565" s="10" t="s">
        <v>747</v>
      </c>
    </row>
    <row r="566" spans="2:2">
      <c r="B566" s="10" t="s">
        <v>748</v>
      </c>
    </row>
    <row r="567" spans="2:2">
      <c r="B567" s="10" t="s">
        <v>749</v>
      </c>
    </row>
    <row r="568" spans="2:2">
      <c r="B568" s="10" t="s">
        <v>750</v>
      </c>
    </row>
    <row r="569" spans="2:2">
      <c r="B569" s="10" t="s">
        <v>751</v>
      </c>
    </row>
    <row r="570" spans="2:2">
      <c r="B570" s="10" t="s">
        <v>752</v>
      </c>
    </row>
    <row r="571" spans="2:2">
      <c r="B571" s="10" t="s">
        <v>753</v>
      </c>
    </row>
    <row r="572" spans="2:2">
      <c r="B572" s="10" t="s">
        <v>754</v>
      </c>
    </row>
    <row r="573" spans="2:2">
      <c r="B573" s="10" t="s">
        <v>755</v>
      </c>
    </row>
    <row r="574" spans="2:2">
      <c r="B574" s="10" t="s">
        <v>756</v>
      </c>
    </row>
    <row r="575" spans="2:2">
      <c r="B575" s="10" t="s">
        <v>757</v>
      </c>
    </row>
    <row r="576" spans="2:2">
      <c r="B576" s="10" t="s">
        <v>758</v>
      </c>
    </row>
    <row r="577" spans="2:2">
      <c r="B577" s="10" t="s">
        <v>759</v>
      </c>
    </row>
    <row r="578" spans="2:2">
      <c r="B578" s="10" t="s">
        <v>760</v>
      </c>
    </row>
    <row r="579" spans="2:2">
      <c r="B579" s="10" t="s">
        <v>761</v>
      </c>
    </row>
    <row r="580" spans="2:2">
      <c r="B580" s="10" t="s">
        <v>762</v>
      </c>
    </row>
    <row r="581" spans="2:2">
      <c r="B581" s="10" t="s">
        <v>763</v>
      </c>
    </row>
    <row r="582" spans="2:2">
      <c r="B582" s="10" t="s">
        <v>764</v>
      </c>
    </row>
    <row r="583" spans="2:2">
      <c r="B583" s="10" t="s">
        <v>765</v>
      </c>
    </row>
    <row r="584" spans="2:2">
      <c r="B584" s="10" t="s">
        <v>766</v>
      </c>
    </row>
    <row r="585" spans="2:2">
      <c r="B585" s="10" t="s">
        <v>767</v>
      </c>
    </row>
    <row r="586" spans="2:2">
      <c r="B586" s="10" t="s">
        <v>768</v>
      </c>
    </row>
    <row r="587" spans="2:2">
      <c r="B587" s="10" t="s">
        <v>769</v>
      </c>
    </row>
    <row r="588" spans="2:2">
      <c r="B588" s="10" t="s">
        <v>770</v>
      </c>
    </row>
    <row r="589" spans="2:2">
      <c r="B589" s="10" t="s">
        <v>771</v>
      </c>
    </row>
    <row r="590" spans="2:2">
      <c r="B590" s="10" t="s">
        <v>772</v>
      </c>
    </row>
    <row r="591" spans="2:2">
      <c r="B591" s="10" t="s">
        <v>773</v>
      </c>
    </row>
    <row r="592" spans="2:2">
      <c r="B592" s="10" t="s">
        <v>774</v>
      </c>
    </row>
    <row r="593" spans="2:2">
      <c r="B593" s="10" t="s">
        <v>775</v>
      </c>
    </row>
    <row r="594" spans="2:2">
      <c r="B594" s="10" t="s">
        <v>776</v>
      </c>
    </row>
    <row r="595" spans="2:2">
      <c r="B595" s="10" t="s">
        <v>777</v>
      </c>
    </row>
    <row r="596" spans="2:2">
      <c r="B596" s="10" t="s">
        <v>778</v>
      </c>
    </row>
    <row r="597" spans="2:2">
      <c r="B597" s="10" t="s">
        <v>779</v>
      </c>
    </row>
    <row r="598" spans="2:2">
      <c r="B598" s="10" t="s">
        <v>780</v>
      </c>
    </row>
    <row r="599" spans="2:2">
      <c r="B599" s="10" t="s">
        <v>781</v>
      </c>
    </row>
    <row r="600" spans="2:2">
      <c r="B600" s="10" t="s">
        <v>782</v>
      </c>
    </row>
    <row r="601" spans="2:2">
      <c r="B601" s="10" t="s">
        <v>783</v>
      </c>
    </row>
    <row r="602" spans="2:2">
      <c r="B602" s="10" t="s">
        <v>784</v>
      </c>
    </row>
    <row r="603" spans="2:2">
      <c r="B603" s="10" t="s">
        <v>785</v>
      </c>
    </row>
    <row r="604" spans="2:2">
      <c r="B604" s="10" t="s">
        <v>786</v>
      </c>
    </row>
    <row r="605" spans="2:2">
      <c r="B605" s="10" t="s">
        <v>787</v>
      </c>
    </row>
    <row r="606" spans="2:2">
      <c r="B606" s="10" t="s">
        <v>788</v>
      </c>
    </row>
    <row r="607" spans="2:2">
      <c r="B607" s="10" t="s">
        <v>789</v>
      </c>
    </row>
    <row r="608" spans="2:2">
      <c r="B608" s="10" t="s">
        <v>790</v>
      </c>
    </row>
    <row r="609" spans="2:2">
      <c r="B609" s="10" t="s">
        <v>791</v>
      </c>
    </row>
    <row r="610" spans="2:2">
      <c r="B610" s="10" t="s">
        <v>792</v>
      </c>
    </row>
    <row r="611" spans="2:2">
      <c r="B611" s="10" t="s">
        <v>793</v>
      </c>
    </row>
    <row r="612" spans="2:2">
      <c r="B612" s="10" t="s">
        <v>794</v>
      </c>
    </row>
    <row r="613" spans="2:2">
      <c r="B613" s="10" t="s">
        <v>795</v>
      </c>
    </row>
    <row r="614" spans="2:2">
      <c r="B614" s="10" t="s">
        <v>796</v>
      </c>
    </row>
    <row r="615" spans="2:2">
      <c r="B615" s="10" t="s">
        <v>797</v>
      </c>
    </row>
    <row r="616" spans="2:2">
      <c r="B616" s="10" t="s">
        <v>798</v>
      </c>
    </row>
    <row r="617" spans="2:2">
      <c r="B617" s="10" t="s">
        <v>799</v>
      </c>
    </row>
    <row r="618" spans="2:2">
      <c r="B618" s="10" t="s">
        <v>800</v>
      </c>
    </row>
    <row r="619" spans="2:2">
      <c r="B619" s="10" t="s">
        <v>801</v>
      </c>
    </row>
    <row r="620" spans="2:2">
      <c r="B620" s="10" t="s">
        <v>802</v>
      </c>
    </row>
    <row r="621" spans="2:2">
      <c r="B621" s="10" t="s">
        <v>803</v>
      </c>
    </row>
    <row r="622" spans="2:2">
      <c r="B622" s="10" t="s">
        <v>804</v>
      </c>
    </row>
    <row r="623" spans="2:2">
      <c r="B623" s="10" t="s">
        <v>805</v>
      </c>
    </row>
    <row r="624" spans="2:2">
      <c r="B624" s="10" t="s">
        <v>806</v>
      </c>
    </row>
    <row r="625" spans="2:2">
      <c r="B625" s="10" t="s">
        <v>807</v>
      </c>
    </row>
    <row r="626" spans="2:2">
      <c r="B626" s="10" t="s">
        <v>808</v>
      </c>
    </row>
    <row r="627" spans="2:2">
      <c r="B627" s="10" t="s">
        <v>809</v>
      </c>
    </row>
    <row r="628" spans="2:2">
      <c r="B628" s="10" t="s">
        <v>810</v>
      </c>
    </row>
    <row r="629" spans="2:2">
      <c r="B629" s="10" t="s">
        <v>811</v>
      </c>
    </row>
    <row r="630" spans="2:2">
      <c r="B630" s="10" t="s">
        <v>812</v>
      </c>
    </row>
    <row r="631" spans="2:2">
      <c r="B631" s="10" t="s">
        <v>813</v>
      </c>
    </row>
    <row r="632" spans="2:2">
      <c r="B632" s="10" t="s">
        <v>814</v>
      </c>
    </row>
    <row r="633" spans="2:2">
      <c r="B633" s="10" t="s">
        <v>815</v>
      </c>
    </row>
    <row r="634" spans="2:2">
      <c r="B634" s="10" t="s">
        <v>816</v>
      </c>
    </row>
    <row r="635" spans="2:2">
      <c r="B635" s="10" t="s">
        <v>817</v>
      </c>
    </row>
    <row r="636" spans="2:2">
      <c r="B636" s="10" t="s">
        <v>818</v>
      </c>
    </row>
    <row r="637" spans="2:2">
      <c r="B637" s="10" t="s">
        <v>819</v>
      </c>
    </row>
    <row r="638" spans="2:2">
      <c r="B638" s="10" t="s">
        <v>820</v>
      </c>
    </row>
    <row r="639" spans="2:2">
      <c r="B639" s="10" t="s">
        <v>821</v>
      </c>
    </row>
    <row r="640" spans="2:2">
      <c r="B640" s="10" t="s">
        <v>822</v>
      </c>
    </row>
    <row r="641" spans="2:2">
      <c r="B641" s="10" t="s">
        <v>823</v>
      </c>
    </row>
    <row r="642" spans="2:2">
      <c r="B642" s="10" t="s">
        <v>824</v>
      </c>
    </row>
    <row r="643" spans="2:2">
      <c r="B643" s="10" t="s">
        <v>825</v>
      </c>
    </row>
    <row r="644" spans="2:2">
      <c r="B644" s="10" t="s">
        <v>826</v>
      </c>
    </row>
    <row r="645" spans="2:2">
      <c r="B645" s="10" t="s">
        <v>827</v>
      </c>
    </row>
    <row r="646" spans="2:2">
      <c r="B646" s="10" t="s">
        <v>828</v>
      </c>
    </row>
    <row r="647" spans="2:2">
      <c r="B647" s="10" t="s">
        <v>829</v>
      </c>
    </row>
    <row r="648" spans="2:2">
      <c r="B648" s="10" t="s">
        <v>830</v>
      </c>
    </row>
    <row r="649" spans="2:2">
      <c r="B649" s="10" t="s">
        <v>831</v>
      </c>
    </row>
    <row r="650" spans="2:2">
      <c r="B650" s="10" t="s">
        <v>832</v>
      </c>
    </row>
    <row r="651" spans="2:2">
      <c r="B651" s="10" t="s">
        <v>833</v>
      </c>
    </row>
    <row r="652" spans="2:2">
      <c r="B652" s="10" t="s">
        <v>834</v>
      </c>
    </row>
    <row r="653" spans="2:2">
      <c r="B653" s="10" t="s">
        <v>835</v>
      </c>
    </row>
    <row r="654" spans="2:2">
      <c r="B654" s="10" t="s">
        <v>836</v>
      </c>
    </row>
    <row r="655" spans="2:2">
      <c r="B655" s="10" t="s">
        <v>837</v>
      </c>
    </row>
    <row r="656" spans="2:2">
      <c r="B656" s="10" t="s">
        <v>838</v>
      </c>
    </row>
    <row r="657" spans="2:2">
      <c r="B657" s="10" t="s">
        <v>839</v>
      </c>
    </row>
    <row r="658" spans="2:2">
      <c r="B658" s="10" t="s">
        <v>840</v>
      </c>
    </row>
    <row r="659" spans="2:2">
      <c r="B659" s="10" t="s">
        <v>841</v>
      </c>
    </row>
    <row r="660" spans="2:2">
      <c r="B660" s="10" t="s">
        <v>842</v>
      </c>
    </row>
    <row r="661" spans="2:2">
      <c r="B661" s="10" t="s">
        <v>843</v>
      </c>
    </row>
    <row r="662" spans="2:2">
      <c r="B662" s="10" t="s">
        <v>844</v>
      </c>
    </row>
    <row r="663" spans="2:2">
      <c r="B663" s="10" t="s">
        <v>845</v>
      </c>
    </row>
    <row r="664" spans="2:2">
      <c r="B664" s="10" t="s">
        <v>846</v>
      </c>
    </row>
    <row r="665" spans="2:2">
      <c r="B665" s="10" t="s">
        <v>847</v>
      </c>
    </row>
    <row r="666" spans="2:2">
      <c r="B666" s="10" t="s">
        <v>848</v>
      </c>
    </row>
    <row r="667" spans="2:2">
      <c r="B667" s="10" t="s">
        <v>849</v>
      </c>
    </row>
    <row r="668" spans="2:2">
      <c r="B668" s="10" t="s">
        <v>850</v>
      </c>
    </row>
    <row r="669" spans="2:2">
      <c r="B669" s="10" t="s">
        <v>851</v>
      </c>
    </row>
    <row r="670" spans="2:2">
      <c r="B670" s="10" t="s">
        <v>852</v>
      </c>
    </row>
    <row r="671" spans="2:2">
      <c r="B671" s="10" t="s">
        <v>853</v>
      </c>
    </row>
    <row r="672" spans="2:2">
      <c r="B672" s="10" t="s">
        <v>854</v>
      </c>
    </row>
    <row r="673" spans="2:2">
      <c r="B673" s="10" t="s">
        <v>855</v>
      </c>
    </row>
    <row r="674" spans="2:2">
      <c r="B674" s="10" t="s">
        <v>856</v>
      </c>
    </row>
    <row r="675" spans="2:2">
      <c r="B675" s="10" t="s">
        <v>857</v>
      </c>
    </row>
    <row r="676" spans="2:2">
      <c r="B676" s="10" t="s">
        <v>858</v>
      </c>
    </row>
    <row r="677" spans="2:2">
      <c r="B677" s="10" t="s">
        <v>859</v>
      </c>
    </row>
    <row r="678" spans="2:2">
      <c r="B678" s="10" t="s">
        <v>860</v>
      </c>
    </row>
    <row r="679" spans="2:2">
      <c r="B679" s="10" t="s">
        <v>861</v>
      </c>
    </row>
    <row r="680" spans="2:2">
      <c r="B680" s="10" t="s">
        <v>862</v>
      </c>
    </row>
    <row r="681" spans="2:2">
      <c r="B681" s="10" t="s">
        <v>863</v>
      </c>
    </row>
    <row r="682" spans="2:2">
      <c r="B682" s="10" t="s">
        <v>864</v>
      </c>
    </row>
    <row r="683" spans="2:2">
      <c r="B683" s="10" t="s">
        <v>865</v>
      </c>
    </row>
    <row r="684" spans="2:2">
      <c r="B684" s="10" t="s">
        <v>866</v>
      </c>
    </row>
    <row r="685" spans="2:2">
      <c r="B685" s="10" t="s">
        <v>867</v>
      </c>
    </row>
    <row r="686" spans="2:2">
      <c r="B686" s="10" t="s">
        <v>868</v>
      </c>
    </row>
    <row r="687" spans="2:2">
      <c r="B687" s="10" t="s">
        <v>869</v>
      </c>
    </row>
    <row r="688" spans="2:2">
      <c r="B688" s="10" t="s">
        <v>870</v>
      </c>
    </row>
    <row r="689" spans="2:2">
      <c r="B689" s="10" t="s">
        <v>871</v>
      </c>
    </row>
    <row r="690" spans="2:2">
      <c r="B690" s="10" t="s">
        <v>872</v>
      </c>
    </row>
    <row r="691" spans="2:2">
      <c r="B691" s="10" t="s">
        <v>873</v>
      </c>
    </row>
    <row r="692" spans="2:2">
      <c r="B692" s="10" t="s">
        <v>874</v>
      </c>
    </row>
    <row r="693" spans="2:2">
      <c r="B693" s="10" t="s">
        <v>875</v>
      </c>
    </row>
    <row r="694" spans="2:2">
      <c r="B694" s="10" t="s">
        <v>876</v>
      </c>
    </row>
    <row r="695" spans="2:2">
      <c r="B695" s="10" t="s">
        <v>877</v>
      </c>
    </row>
    <row r="696" spans="2:2">
      <c r="B696" s="10" t="s">
        <v>878</v>
      </c>
    </row>
    <row r="697" spans="2:2">
      <c r="B697" s="10" t="s">
        <v>879</v>
      </c>
    </row>
    <row r="698" spans="2:2">
      <c r="B698" s="10" t="s">
        <v>880</v>
      </c>
    </row>
    <row r="699" spans="2:2">
      <c r="B699" s="10" t="s">
        <v>881</v>
      </c>
    </row>
    <row r="700" spans="2:2">
      <c r="B700" s="10" t="s">
        <v>882</v>
      </c>
    </row>
    <row r="701" spans="2:2">
      <c r="B701" s="10" t="s">
        <v>883</v>
      </c>
    </row>
    <row r="702" spans="2:2">
      <c r="B702" s="10" t="s">
        <v>884</v>
      </c>
    </row>
    <row r="703" spans="2:2">
      <c r="B703" s="10" t="s">
        <v>885</v>
      </c>
    </row>
    <row r="704" spans="2:2">
      <c r="B704" s="10" t="s">
        <v>886</v>
      </c>
    </row>
    <row r="705" spans="2:2">
      <c r="B705" s="10" t="s">
        <v>887</v>
      </c>
    </row>
    <row r="706" spans="2:2">
      <c r="B706" s="10" t="s">
        <v>888</v>
      </c>
    </row>
    <row r="707" spans="2:2">
      <c r="B707" s="10" t="s">
        <v>889</v>
      </c>
    </row>
    <row r="708" spans="2:2">
      <c r="B708" s="10" t="s">
        <v>890</v>
      </c>
    </row>
    <row r="709" spans="2:2">
      <c r="B709" s="10" t="s">
        <v>891</v>
      </c>
    </row>
    <row r="710" spans="2:2">
      <c r="B710" s="10" t="s">
        <v>892</v>
      </c>
    </row>
    <row r="711" spans="2:2">
      <c r="B711" s="10" t="s">
        <v>893</v>
      </c>
    </row>
    <row r="712" spans="2:2">
      <c r="B712" s="10" t="s">
        <v>894</v>
      </c>
    </row>
    <row r="713" spans="2:2">
      <c r="B713" s="10" t="s">
        <v>895</v>
      </c>
    </row>
    <row r="714" spans="2:2">
      <c r="B714" s="10" t="s">
        <v>896</v>
      </c>
    </row>
    <row r="715" spans="2:2">
      <c r="B715" s="10" t="s">
        <v>897</v>
      </c>
    </row>
    <row r="716" spans="2:2">
      <c r="B716" s="10" t="s">
        <v>898</v>
      </c>
    </row>
    <row r="717" spans="2:2">
      <c r="B717" s="10" t="s">
        <v>899</v>
      </c>
    </row>
    <row r="718" spans="2:2">
      <c r="B718" s="10" t="s">
        <v>900</v>
      </c>
    </row>
    <row r="719" spans="2:2">
      <c r="B719" s="10" t="s">
        <v>901</v>
      </c>
    </row>
    <row r="720" spans="2:2">
      <c r="B720" s="10" t="s">
        <v>902</v>
      </c>
    </row>
    <row r="721" spans="2:2">
      <c r="B721" s="10" t="s">
        <v>903</v>
      </c>
    </row>
    <row r="722" spans="2:2">
      <c r="B722" s="10" t="s">
        <v>904</v>
      </c>
    </row>
    <row r="723" spans="2:2">
      <c r="B723" s="10" t="s">
        <v>905</v>
      </c>
    </row>
    <row r="724" spans="2:2">
      <c r="B724" s="10" t="s">
        <v>906</v>
      </c>
    </row>
    <row r="725" spans="2:2">
      <c r="B725" s="10" t="s">
        <v>907</v>
      </c>
    </row>
    <row r="726" spans="2:2">
      <c r="B726" s="10" t="s">
        <v>908</v>
      </c>
    </row>
    <row r="727" spans="2:2">
      <c r="B727" s="10" t="s">
        <v>909</v>
      </c>
    </row>
    <row r="728" spans="2:2">
      <c r="B728" s="10" t="s">
        <v>910</v>
      </c>
    </row>
    <row r="729" spans="2:2">
      <c r="B729" s="10" t="s">
        <v>911</v>
      </c>
    </row>
    <row r="730" spans="2:2">
      <c r="B730" s="10" t="s">
        <v>912</v>
      </c>
    </row>
    <row r="731" spans="2:2">
      <c r="B731" s="10" t="s">
        <v>913</v>
      </c>
    </row>
    <row r="732" spans="2:2">
      <c r="B732" s="10" t="s">
        <v>914</v>
      </c>
    </row>
    <row r="733" spans="2:2">
      <c r="B733" s="10" t="s">
        <v>915</v>
      </c>
    </row>
    <row r="734" spans="2:2">
      <c r="B734" s="10" t="s">
        <v>916</v>
      </c>
    </row>
    <row r="735" spans="2:2">
      <c r="B735" s="10" t="s">
        <v>917</v>
      </c>
    </row>
    <row r="736" spans="2:2">
      <c r="B736" s="10" t="s">
        <v>918</v>
      </c>
    </row>
    <row r="737" spans="2:2">
      <c r="B737" s="10" t="s">
        <v>919</v>
      </c>
    </row>
    <row r="738" spans="2:2">
      <c r="B738" s="10" t="s">
        <v>920</v>
      </c>
    </row>
    <row r="739" spans="2:2">
      <c r="B739" s="10" t="s">
        <v>921</v>
      </c>
    </row>
    <row r="740" spans="2:2">
      <c r="B740" s="10" t="s">
        <v>922</v>
      </c>
    </row>
    <row r="741" spans="2:2">
      <c r="B741" s="10" t="s">
        <v>923</v>
      </c>
    </row>
    <row r="742" spans="2:2">
      <c r="B742" s="10" t="s">
        <v>924</v>
      </c>
    </row>
    <row r="743" spans="2:2">
      <c r="B743" s="10" t="s">
        <v>925</v>
      </c>
    </row>
    <row r="744" spans="2:2">
      <c r="B744" s="10" t="s">
        <v>926</v>
      </c>
    </row>
    <row r="745" spans="2:2">
      <c r="B745" s="10" t="s">
        <v>927</v>
      </c>
    </row>
    <row r="746" spans="2:2">
      <c r="B746" s="10" t="s">
        <v>928</v>
      </c>
    </row>
    <row r="747" spans="2:2">
      <c r="B747" s="10" t="s">
        <v>929</v>
      </c>
    </row>
    <row r="748" spans="2:2">
      <c r="B748" s="10" t="s">
        <v>930</v>
      </c>
    </row>
    <row r="749" spans="2:2">
      <c r="B749" s="10" t="s">
        <v>931</v>
      </c>
    </row>
    <row r="750" spans="2:2">
      <c r="B750" s="10" t="s">
        <v>932</v>
      </c>
    </row>
    <row r="751" spans="2:2">
      <c r="B751" s="10" t="s">
        <v>933</v>
      </c>
    </row>
    <row r="752" spans="2:2">
      <c r="B752" s="10" t="s">
        <v>934</v>
      </c>
    </row>
    <row r="753" spans="2:2">
      <c r="B753" s="10" t="s">
        <v>935</v>
      </c>
    </row>
    <row r="754" spans="2:2">
      <c r="B754" s="10" t="s">
        <v>936</v>
      </c>
    </row>
    <row r="755" spans="2:2">
      <c r="B755" s="10" t="s">
        <v>937</v>
      </c>
    </row>
    <row r="756" spans="2:2">
      <c r="B756" s="10" t="s">
        <v>938</v>
      </c>
    </row>
    <row r="757" spans="2:2">
      <c r="B757" s="10" t="s">
        <v>939</v>
      </c>
    </row>
    <row r="758" spans="2:2">
      <c r="B758" s="10" t="s">
        <v>940</v>
      </c>
    </row>
    <row r="759" spans="2:2">
      <c r="B759" s="10" t="s">
        <v>941</v>
      </c>
    </row>
    <row r="760" spans="2:2">
      <c r="B760" s="10" t="s">
        <v>942</v>
      </c>
    </row>
    <row r="761" spans="2:2">
      <c r="B761" s="10" t="s">
        <v>943</v>
      </c>
    </row>
    <row r="762" spans="2:2">
      <c r="B762" s="10" t="s">
        <v>944</v>
      </c>
    </row>
    <row r="763" spans="2:2">
      <c r="B763" s="10" t="s">
        <v>945</v>
      </c>
    </row>
    <row r="764" spans="2:2">
      <c r="B764" s="10" t="s">
        <v>946</v>
      </c>
    </row>
    <row r="765" spans="2:2">
      <c r="B765" s="10" t="s">
        <v>947</v>
      </c>
    </row>
    <row r="766" spans="2:2">
      <c r="B766" s="10" t="s">
        <v>948</v>
      </c>
    </row>
    <row r="767" spans="2:2">
      <c r="B767" s="10" t="s">
        <v>949</v>
      </c>
    </row>
    <row r="768" spans="2:2">
      <c r="B768" s="10" t="s">
        <v>950</v>
      </c>
    </row>
    <row r="769" spans="2:2">
      <c r="B769" s="10" t="s">
        <v>951</v>
      </c>
    </row>
    <row r="770" spans="2:2">
      <c r="B770" s="10" t="s">
        <v>952</v>
      </c>
    </row>
    <row r="771" spans="2:2">
      <c r="B771" s="10" t="s">
        <v>953</v>
      </c>
    </row>
    <row r="772" spans="2:2">
      <c r="B772" s="10" t="s">
        <v>954</v>
      </c>
    </row>
    <row r="773" spans="2:2">
      <c r="B773" s="10" t="s">
        <v>955</v>
      </c>
    </row>
    <row r="774" spans="2:2">
      <c r="B774" s="10" t="s">
        <v>956</v>
      </c>
    </row>
    <row r="775" spans="2:2">
      <c r="B775" s="10" t="s">
        <v>957</v>
      </c>
    </row>
    <row r="776" spans="2:2">
      <c r="B776" s="10" t="s">
        <v>958</v>
      </c>
    </row>
    <row r="777" spans="2:2">
      <c r="B777" s="10" t="s">
        <v>959</v>
      </c>
    </row>
    <row r="778" spans="2:2">
      <c r="B778" s="10" t="s">
        <v>960</v>
      </c>
    </row>
    <row r="779" spans="2:2">
      <c r="B779" s="10" t="s">
        <v>961</v>
      </c>
    </row>
    <row r="780" spans="2:2">
      <c r="B780" s="10" t="s">
        <v>962</v>
      </c>
    </row>
    <row r="781" spans="2:2">
      <c r="B781" s="10" t="s">
        <v>963</v>
      </c>
    </row>
    <row r="782" spans="2:2">
      <c r="B782" s="10" t="s">
        <v>964</v>
      </c>
    </row>
    <row r="783" spans="2:2">
      <c r="B783" s="10" t="s">
        <v>965</v>
      </c>
    </row>
    <row r="784" spans="2:2">
      <c r="B784" s="10" t="s">
        <v>966</v>
      </c>
    </row>
    <row r="785" spans="2:2">
      <c r="B785" s="10" t="s">
        <v>967</v>
      </c>
    </row>
    <row r="786" spans="2:2">
      <c r="B786" s="10" t="s">
        <v>968</v>
      </c>
    </row>
    <row r="787" spans="2:2">
      <c r="B787" s="10" t="s">
        <v>969</v>
      </c>
    </row>
    <row r="788" spans="2:2">
      <c r="B788" s="10" t="s">
        <v>970</v>
      </c>
    </row>
    <row r="789" spans="2:2">
      <c r="B789" s="10" t="s">
        <v>971</v>
      </c>
    </row>
    <row r="790" spans="2:2">
      <c r="B790" s="10" t="s">
        <v>972</v>
      </c>
    </row>
    <row r="791" spans="2:2">
      <c r="B791" s="10" t="s">
        <v>973</v>
      </c>
    </row>
    <row r="792" spans="2:2">
      <c r="B792" s="10" t="s">
        <v>974</v>
      </c>
    </row>
    <row r="793" spans="2:2">
      <c r="B793" s="10" t="s">
        <v>975</v>
      </c>
    </row>
    <row r="794" spans="2:2">
      <c r="B794" s="10" t="s">
        <v>976</v>
      </c>
    </row>
    <row r="795" spans="2:2">
      <c r="B795" s="10" t="s">
        <v>977</v>
      </c>
    </row>
    <row r="796" spans="2:2">
      <c r="B796" s="10" t="s">
        <v>978</v>
      </c>
    </row>
    <row r="797" spans="2:2">
      <c r="B797" s="10" t="s">
        <v>979</v>
      </c>
    </row>
    <row r="798" spans="2:2">
      <c r="B798" s="10" t="s">
        <v>980</v>
      </c>
    </row>
    <row r="799" spans="2:2">
      <c r="B799" s="10" t="s">
        <v>981</v>
      </c>
    </row>
    <row r="800" spans="2:2">
      <c r="B800" s="10" t="s">
        <v>982</v>
      </c>
    </row>
    <row r="801" spans="2:2">
      <c r="B801" s="10" t="s">
        <v>983</v>
      </c>
    </row>
    <row r="802" spans="2:2">
      <c r="B802" s="10" t="s">
        <v>984</v>
      </c>
    </row>
    <row r="803" spans="2:2">
      <c r="B803" s="10" t="s">
        <v>985</v>
      </c>
    </row>
    <row r="804" spans="2:2">
      <c r="B804" s="10" t="s">
        <v>986</v>
      </c>
    </row>
    <row r="805" spans="2:2">
      <c r="B805" s="10" t="s">
        <v>987</v>
      </c>
    </row>
    <row r="806" spans="2:2">
      <c r="B806" s="10" t="s">
        <v>988</v>
      </c>
    </row>
    <row r="807" spans="2:2">
      <c r="B807" s="10" t="s">
        <v>989</v>
      </c>
    </row>
    <row r="808" spans="2:2">
      <c r="B808" s="10" t="s">
        <v>990</v>
      </c>
    </row>
    <row r="809" spans="2:2">
      <c r="B809" s="10" t="s">
        <v>991</v>
      </c>
    </row>
    <row r="810" spans="2:2">
      <c r="B810" s="10" t="s">
        <v>992</v>
      </c>
    </row>
    <row r="811" spans="2:2">
      <c r="B811" s="10" t="s">
        <v>993</v>
      </c>
    </row>
    <row r="812" spans="2:2">
      <c r="B812" s="10" t="s">
        <v>994</v>
      </c>
    </row>
    <row r="813" spans="2:2">
      <c r="B813" s="10" t="s">
        <v>995</v>
      </c>
    </row>
    <row r="814" spans="2:2">
      <c r="B814" s="10" t="s">
        <v>996</v>
      </c>
    </row>
    <row r="815" spans="2:2">
      <c r="B815" s="10" t="s">
        <v>997</v>
      </c>
    </row>
    <row r="816" spans="2:2">
      <c r="B816" s="10" t="s">
        <v>998</v>
      </c>
    </row>
    <row r="817" spans="2:2">
      <c r="B817" s="10" t="s">
        <v>999</v>
      </c>
    </row>
    <row r="818" spans="2:2">
      <c r="B818" s="10" t="s">
        <v>1000</v>
      </c>
    </row>
    <row r="819" spans="2:2">
      <c r="B819" s="10" t="s">
        <v>1001</v>
      </c>
    </row>
    <row r="820" spans="2:2">
      <c r="B820" s="10" t="s">
        <v>1002</v>
      </c>
    </row>
    <row r="821" spans="2:2">
      <c r="B821" s="10" t="s">
        <v>1003</v>
      </c>
    </row>
    <row r="822" spans="2:2">
      <c r="B822" s="10" t="s">
        <v>1004</v>
      </c>
    </row>
    <row r="823" spans="2:2">
      <c r="B823" s="10" t="s">
        <v>1005</v>
      </c>
    </row>
    <row r="824" spans="2:2">
      <c r="B824" s="10" t="s">
        <v>1006</v>
      </c>
    </row>
    <row r="825" spans="2:2">
      <c r="B825" s="10" t="s">
        <v>1007</v>
      </c>
    </row>
    <row r="826" spans="2:2">
      <c r="B826" s="10" t="s">
        <v>1008</v>
      </c>
    </row>
    <row r="827" spans="2:2">
      <c r="B827" s="10" t="s">
        <v>1009</v>
      </c>
    </row>
    <row r="828" spans="2:2">
      <c r="B828" s="10" t="s">
        <v>1010</v>
      </c>
    </row>
    <row r="829" spans="2:2">
      <c r="B829" s="10" t="s">
        <v>1011</v>
      </c>
    </row>
    <row r="830" spans="2:2">
      <c r="B830" s="10" t="s">
        <v>1012</v>
      </c>
    </row>
    <row r="831" spans="2:2">
      <c r="B831" s="10" t="s">
        <v>1013</v>
      </c>
    </row>
    <row r="832" spans="2:2">
      <c r="B832" s="10" t="s">
        <v>1014</v>
      </c>
    </row>
    <row r="833" spans="2:2">
      <c r="B833" s="10" t="s">
        <v>1015</v>
      </c>
    </row>
    <row r="834" spans="2:2">
      <c r="B834" s="10" t="s">
        <v>1016</v>
      </c>
    </row>
    <row r="835" spans="2:2">
      <c r="B835" s="10" t="s">
        <v>1017</v>
      </c>
    </row>
    <row r="836" spans="2:2">
      <c r="B836" s="10" t="s">
        <v>1018</v>
      </c>
    </row>
    <row r="837" spans="2:2">
      <c r="B837" s="10" t="s">
        <v>1019</v>
      </c>
    </row>
    <row r="838" spans="2:2">
      <c r="B838" s="10" t="s">
        <v>1020</v>
      </c>
    </row>
    <row r="839" spans="2:2">
      <c r="B839" s="10" t="s">
        <v>1021</v>
      </c>
    </row>
    <row r="840" spans="2:2">
      <c r="B840" s="10" t="s">
        <v>1022</v>
      </c>
    </row>
    <row r="841" spans="2:2">
      <c r="B841" s="10" t="s">
        <v>1023</v>
      </c>
    </row>
    <row r="842" spans="2:2">
      <c r="B842" s="10" t="s">
        <v>1024</v>
      </c>
    </row>
    <row r="843" spans="2:2">
      <c r="B843" s="10" t="s">
        <v>1025</v>
      </c>
    </row>
    <row r="844" spans="2:2">
      <c r="B844" s="10" t="s">
        <v>1026</v>
      </c>
    </row>
    <row r="845" spans="2:2">
      <c r="B845" s="10" t="s">
        <v>1027</v>
      </c>
    </row>
    <row r="846" spans="2:2">
      <c r="B846" s="10" t="s">
        <v>1028</v>
      </c>
    </row>
    <row r="847" spans="2:2">
      <c r="B847" s="10" t="s">
        <v>1029</v>
      </c>
    </row>
    <row r="848" spans="2:2">
      <c r="B848" s="10" t="s">
        <v>1030</v>
      </c>
    </row>
    <row r="849" spans="2:2">
      <c r="B849" s="10" t="s">
        <v>1031</v>
      </c>
    </row>
    <row r="850" spans="2:2">
      <c r="B850" s="10" t="s">
        <v>1032</v>
      </c>
    </row>
    <row r="851" spans="2:2">
      <c r="B851" s="10" t="s">
        <v>1033</v>
      </c>
    </row>
    <row r="852" spans="2:2">
      <c r="B852" s="10" t="s">
        <v>1034</v>
      </c>
    </row>
    <row r="853" spans="2:2">
      <c r="B853" s="10" t="s">
        <v>1035</v>
      </c>
    </row>
    <row r="854" spans="2:2">
      <c r="B854" s="10" t="s">
        <v>1036</v>
      </c>
    </row>
    <row r="855" spans="2:2">
      <c r="B855" s="10" t="s">
        <v>1037</v>
      </c>
    </row>
    <row r="856" spans="2:2">
      <c r="B856" s="10" t="s">
        <v>1038</v>
      </c>
    </row>
    <row r="857" spans="2:2">
      <c r="B857" s="10" t="s">
        <v>1039</v>
      </c>
    </row>
    <row r="858" spans="2:2">
      <c r="B858" s="10" t="s">
        <v>1040</v>
      </c>
    </row>
    <row r="859" spans="2:2">
      <c r="B859" s="10" t="s">
        <v>1041</v>
      </c>
    </row>
    <row r="860" spans="2:2">
      <c r="B860" s="10" t="s">
        <v>1042</v>
      </c>
    </row>
    <row r="861" spans="2:2">
      <c r="B861" s="10" t="s">
        <v>1043</v>
      </c>
    </row>
    <row r="862" spans="2:2">
      <c r="B862" s="10" t="s">
        <v>1044</v>
      </c>
    </row>
    <row r="863" spans="2:2">
      <c r="B863" s="10" t="s">
        <v>1045</v>
      </c>
    </row>
    <row r="864" spans="2:2">
      <c r="B864" s="10" t="s">
        <v>1046</v>
      </c>
    </row>
    <row r="865" spans="2:2">
      <c r="B865" s="10" t="s">
        <v>1047</v>
      </c>
    </row>
    <row r="866" spans="2:2">
      <c r="B866" s="10" t="s">
        <v>1048</v>
      </c>
    </row>
    <row r="867" spans="2:2">
      <c r="B867" s="10" t="s">
        <v>1049</v>
      </c>
    </row>
    <row r="868" spans="2:2">
      <c r="B868" s="10" t="s">
        <v>1050</v>
      </c>
    </row>
    <row r="869" spans="2:2">
      <c r="B869" s="10" t="s">
        <v>1051</v>
      </c>
    </row>
    <row r="870" spans="2:2">
      <c r="B870" s="10" t="s">
        <v>1052</v>
      </c>
    </row>
    <row r="871" spans="2:2">
      <c r="B871" s="10" t="s">
        <v>1053</v>
      </c>
    </row>
    <row r="872" spans="2:2">
      <c r="B872" s="10" t="s">
        <v>1054</v>
      </c>
    </row>
    <row r="873" spans="2:2">
      <c r="B873" s="10" t="s">
        <v>1055</v>
      </c>
    </row>
    <row r="874" spans="2:2">
      <c r="B874" s="10" t="s">
        <v>1056</v>
      </c>
    </row>
    <row r="875" spans="2:2">
      <c r="B875" s="10" t="s">
        <v>1057</v>
      </c>
    </row>
    <row r="876" spans="2:2">
      <c r="B876" s="10" t="s">
        <v>1058</v>
      </c>
    </row>
    <row r="877" spans="2:2">
      <c r="B877" s="10" t="s">
        <v>1059</v>
      </c>
    </row>
    <row r="878" spans="2:2">
      <c r="B878" s="10" t="s">
        <v>1060</v>
      </c>
    </row>
    <row r="879" spans="2:2">
      <c r="B879" s="10" t="s">
        <v>1061</v>
      </c>
    </row>
    <row r="880" spans="2:2">
      <c r="B880" s="10" t="s">
        <v>1062</v>
      </c>
    </row>
    <row r="881" spans="2:2">
      <c r="B881" s="10" t="s">
        <v>1063</v>
      </c>
    </row>
    <row r="882" spans="2:2">
      <c r="B882" s="10" t="s">
        <v>1064</v>
      </c>
    </row>
    <row r="883" spans="2:2">
      <c r="B883" s="10" t="s">
        <v>1065</v>
      </c>
    </row>
    <row r="884" spans="2:2">
      <c r="B884" s="10" t="s">
        <v>1066</v>
      </c>
    </row>
    <row r="885" spans="2:2">
      <c r="B885" s="10" t="s">
        <v>1067</v>
      </c>
    </row>
    <row r="886" spans="2:2">
      <c r="B886" s="10" t="s">
        <v>1068</v>
      </c>
    </row>
    <row r="887" spans="2:2">
      <c r="B887" s="10" t="s">
        <v>1069</v>
      </c>
    </row>
    <row r="888" spans="2:2">
      <c r="B888" s="10" t="s">
        <v>1070</v>
      </c>
    </row>
    <row r="889" spans="2:2">
      <c r="B889" s="10" t="s">
        <v>1071</v>
      </c>
    </row>
    <row r="890" spans="2:2">
      <c r="B890" s="10" t="s">
        <v>1072</v>
      </c>
    </row>
    <row r="891" spans="2:2">
      <c r="B891" s="10" t="s">
        <v>1073</v>
      </c>
    </row>
    <row r="892" spans="2:2">
      <c r="B892" s="10" t="s">
        <v>1074</v>
      </c>
    </row>
    <row r="893" spans="2:2">
      <c r="B893" s="10" t="s">
        <v>1075</v>
      </c>
    </row>
    <row r="894" spans="2:2">
      <c r="B894" s="10" t="s">
        <v>1076</v>
      </c>
    </row>
    <row r="895" spans="2:2">
      <c r="B895" s="10" t="s">
        <v>1077</v>
      </c>
    </row>
    <row r="896" spans="2:2">
      <c r="B896" s="10" t="s">
        <v>1078</v>
      </c>
    </row>
    <row r="897" spans="2:2">
      <c r="B897" s="10" t="s">
        <v>1079</v>
      </c>
    </row>
    <row r="898" spans="2:2">
      <c r="B898" s="10" t="s">
        <v>1080</v>
      </c>
    </row>
    <row r="899" spans="2:2">
      <c r="B899" s="10" t="s">
        <v>1081</v>
      </c>
    </row>
    <row r="900" spans="2:2">
      <c r="B900" s="10" t="s">
        <v>1082</v>
      </c>
    </row>
    <row r="901" spans="2:2">
      <c r="B901" s="10" t="s">
        <v>1083</v>
      </c>
    </row>
    <row r="902" spans="2:2">
      <c r="B902" s="10" t="s">
        <v>1084</v>
      </c>
    </row>
    <row r="903" spans="2:2">
      <c r="B903" s="10" t="s">
        <v>1085</v>
      </c>
    </row>
    <row r="904" spans="2:2">
      <c r="B904" s="10" t="s">
        <v>1086</v>
      </c>
    </row>
    <row r="905" spans="2:2">
      <c r="B905" s="10" t="s">
        <v>1087</v>
      </c>
    </row>
    <row r="906" spans="2:2">
      <c r="B906" s="10" t="s">
        <v>1088</v>
      </c>
    </row>
    <row r="907" spans="2:2">
      <c r="B907" s="10" t="s">
        <v>1089</v>
      </c>
    </row>
    <row r="908" spans="2:2">
      <c r="B908" s="10" t="s">
        <v>1090</v>
      </c>
    </row>
    <row r="909" spans="2:2">
      <c r="B909" s="10" t="s">
        <v>1091</v>
      </c>
    </row>
    <row r="910" spans="2:2">
      <c r="B910" s="10" t="s">
        <v>1092</v>
      </c>
    </row>
    <row r="911" spans="2:2">
      <c r="B911" s="10" t="s">
        <v>1093</v>
      </c>
    </row>
    <row r="912" spans="2:2">
      <c r="B912" s="10" t="s">
        <v>1094</v>
      </c>
    </row>
    <row r="913" spans="2:2">
      <c r="B913" s="10" t="s">
        <v>1095</v>
      </c>
    </row>
    <row r="914" spans="2:2">
      <c r="B914" s="10" t="s">
        <v>1096</v>
      </c>
    </row>
    <row r="915" spans="2:2">
      <c r="B915" s="10" t="s">
        <v>1097</v>
      </c>
    </row>
    <row r="916" spans="2:2">
      <c r="B916" s="10" t="s">
        <v>1098</v>
      </c>
    </row>
    <row r="917" spans="2:2">
      <c r="B917" s="10" t="s">
        <v>1099</v>
      </c>
    </row>
    <row r="918" spans="2:2">
      <c r="B918" s="10" t="s">
        <v>1100</v>
      </c>
    </row>
    <row r="919" spans="2:2">
      <c r="B919" s="10" t="s">
        <v>1101</v>
      </c>
    </row>
    <row r="920" spans="2:2">
      <c r="B920" s="10" t="s">
        <v>1102</v>
      </c>
    </row>
    <row r="921" spans="2:2">
      <c r="B921" s="10" t="s">
        <v>1103</v>
      </c>
    </row>
    <row r="922" spans="2:2">
      <c r="B922" s="10" t="s">
        <v>1104</v>
      </c>
    </row>
    <row r="923" spans="2:2">
      <c r="B923" s="10" t="s">
        <v>1105</v>
      </c>
    </row>
    <row r="924" spans="2:2">
      <c r="B924" s="10" t="s">
        <v>1106</v>
      </c>
    </row>
    <row r="925" spans="2:2">
      <c r="B925" s="10" t="s">
        <v>1107</v>
      </c>
    </row>
    <row r="926" spans="2:2">
      <c r="B926" s="10" t="s">
        <v>1108</v>
      </c>
    </row>
    <row r="927" spans="2:2">
      <c r="B927" s="10" t="s">
        <v>1109</v>
      </c>
    </row>
    <row r="928" spans="2:2">
      <c r="B928" s="10" t="s">
        <v>1110</v>
      </c>
    </row>
    <row r="929" spans="2:2">
      <c r="B929" s="10" t="s">
        <v>1111</v>
      </c>
    </row>
    <row r="930" spans="2:2">
      <c r="B930" s="10" t="s">
        <v>1112</v>
      </c>
    </row>
    <row r="931" spans="2:2">
      <c r="B931" s="10" t="s">
        <v>1113</v>
      </c>
    </row>
    <row r="932" spans="2:2">
      <c r="B932" s="10" t="s">
        <v>1114</v>
      </c>
    </row>
    <row r="933" spans="2:2">
      <c r="B933" s="10" t="s">
        <v>1115</v>
      </c>
    </row>
    <row r="934" spans="2:2">
      <c r="B934" s="10" t="s">
        <v>1116</v>
      </c>
    </row>
    <row r="935" spans="2:2">
      <c r="B935" s="10" t="s">
        <v>1117</v>
      </c>
    </row>
    <row r="936" spans="2:2">
      <c r="B936" s="10" t="s">
        <v>1118</v>
      </c>
    </row>
    <row r="937" spans="2:2">
      <c r="B937" s="10" t="s">
        <v>1119</v>
      </c>
    </row>
    <row r="938" spans="2:2">
      <c r="B938" s="10" t="s">
        <v>1120</v>
      </c>
    </row>
    <row r="939" spans="2:2">
      <c r="B939" s="10" t="s">
        <v>1121</v>
      </c>
    </row>
    <row r="940" spans="2:2">
      <c r="B940" s="10" t="s">
        <v>1122</v>
      </c>
    </row>
    <row r="941" spans="2:2">
      <c r="B941" s="10" t="s">
        <v>1123</v>
      </c>
    </row>
    <row r="942" spans="2:2">
      <c r="B942" s="10" t="s">
        <v>1124</v>
      </c>
    </row>
    <row r="943" spans="2:2">
      <c r="B943" s="10" t="s">
        <v>1125</v>
      </c>
    </row>
    <row r="944" spans="2:2">
      <c r="B944" s="10" t="s">
        <v>1126</v>
      </c>
    </row>
    <row r="945" spans="2:2">
      <c r="B945" s="10" t="s">
        <v>1127</v>
      </c>
    </row>
    <row r="946" spans="2:2">
      <c r="B946" s="10" t="s">
        <v>1128</v>
      </c>
    </row>
    <row r="947" spans="2:2">
      <c r="B947" s="10" t="s">
        <v>1129</v>
      </c>
    </row>
    <row r="948" spans="2:2">
      <c r="B948" s="10" t="s">
        <v>1130</v>
      </c>
    </row>
    <row r="949" spans="2:2">
      <c r="B949" s="10" t="s">
        <v>1131</v>
      </c>
    </row>
    <row r="950" spans="2:2">
      <c r="B950" s="10" t="s">
        <v>1132</v>
      </c>
    </row>
    <row r="951" spans="2:2">
      <c r="B951" s="10" t="s">
        <v>1133</v>
      </c>
    </row>
    <row r="952" spans="2:2">
      <c r="B952" s="10" t="s">
        <v>1134</v>
      </c>
    </row>
    <row r="953" spans="2:2">
      <c r="B953" s="10" t="s">
        <v>1135</v>
      </c>
    </row>
    <row r="954" spans="2:2">
      <c r="B954" s="10" t="s">
        <v>1136</v>
      </c>
    </row>
    <row r="955" spans="2:2">
      <c r="B955" s="10" t="s">
        <v>1137</v>
      </c>
    </row>
    <row r="956" spans="2:2">
      <c r="B956" s="10" t="s">
        <v>1138</v>
      </c>
    </row>
    <row r="957" spans="2:2">
      <c r="B957" s="10" t="s">
        <v>1139</v>
      </c>
    </row>
    <row r="958" spans="2:2">
      <c r="B958" s="10" t="s">
        <v>1140</v>
      </c>
    </row>
    <row r="959" spans="2:2">
      <c r="B959" s="10" t="s">
        <v>1141</v>
      </c>
    </row>
    <row r="960" spans="2:2">
      <c r="B960" s="10" t="s">
        <v>1142</v>
      </c>
    </row>
    <row r="961" spans="2:2">
      <c r="B961" s="10" t="s">
        <v>1143</v>
      </c>
    </row>
    <row r="962" spans="2:2">
      <c r="B962" s="10" t="s">
        <v>1144</v>
      </c>
    </row>
    <row r="963" spans="2:2">
      <c r="B963" s="10" t="s">
        <v>1145</v>
      </c>
    </row>
    <row r="964" spans="2:2">
      <c r="B964" s="10" t="s">
        <v>1146</v>
      </c>
    </row>
    <row r="965" spans="2:2">
      <c r="B965" s="10" t="s">
        <v>1147</v>
      </c>
    </row>
    <row r="966" spans="2:2">
      <c r="B966" s="10" t="s">
        <v>1148</v>
      </c>
    </row>
    <row r="967" spans="2:2">
      <c r="B967" s="10" t="s">
        <v>1149</v>
      </c>
    </row>
    <row r="968" spans="2:2">
      <c r="B968" s="10" t="s">
        <v>1150</v>
      </c>
    </row>
    <row r="969" spans="2:2">
      <c r="B969" s="10" t="s">
        <v>1151</v>
      </c>
    </row>
    <row r="970" spans="2:2">
      <c r="B970" s="10" t="s">
        <v>1152</v>
      </c>
    </row>
    <row r="971" spans="2:2">
      <c r="B971" s="10" t="s">
        <v>1153</v>
      </c>
    </row>
    <row r="972" spans="2:2">
      <c r="B972" s="10" t="s">
        <v>1154</v>
      </c>
    </row>
    <row r="973" spans="2:2">
      <c r="B973" s="10" t="s">
        <v>1155</v>
      </c>
    </row>
    <row r="974" spans="2:2">
      <c r="B974" s="10" t="s">
        <v>1156</v>
      </c>
    </row>
    <row r="975" spans="2:2">
      <c r="B975" s="10" t="s">
        <v>1157</v>
      </c>
    </row>
    <row r="976" spans="2:2">
      <c r="B976" s="10" t="s">
        <v>1158</v>
      </c>
    </row>
    <row r="977" spans="2:2">
      <c r="B977" s="10" t="s">
        <v>1159</v>
      </c>
    </row>
    <row r="978" spans="2:2">
      <c r="B978" s="10" t="s">
        <v>1160</v>
      </c>
    </row>
    <row r="979" spans="2:2">
      <c r="B979" s="10" t="s">
        <v>1161</v>
      </c>
    </row>
    <row r="980" spans="2:2">
      <c r="B980" s="10" t="s">
        <v>1162</v>
      </c>
    </row>
    <row r="981" spans="2:2">
      <c r="B981" s="10" t="s">
        <v>1163</v>
      </c>
    </row>
    <row r="982" spans="2:2">
      <c r="B982" s="10" t="s">
        <v>1164</v>
      </c>
    </row>
    <row r="983" spans="2:2">
      <c r="B983" s="10" t="s">
        <v>1165</v>
      </c>
    </row>
    <row r="984" spans="2:2">
      <c r="B984" s="10" t="s">
        <v>1166</v>
      </c>
    </row>
    <row r="985" spans="2:2">
      <c r="B985" s="10" t="s">
        <v>1167</v>
      </c>
    </row>
    <row r="986" spans="2:2">
      <c r="B986" s="10" t="s">
        <v>1168</v>
      </c>
    </row>
    <row r="987" spans="2:2">
      <c r="B987" s="10" t="s">
        <v>1169</v>
      </c>
    </row>
    <row r="988" spans="2:2">
      <c r="B988" s="10" t="s">
        <v>1170</v>
      </c>
    </row>
    <row r="989" spans="2:2">
      <c r="B989" s="10" t="s">
        <v>1171</v>
      </c>
    </row>
    <row r="990" spans="2:2">
      <c r="B990" s="10" t="s">
        <v>1172</v>
      </c>
    </row>
    <row r="991" spans="2:2">
      <c r="B991" s="10" t="s">
        <v>1173</v>
      </c>
    </row>
    <row r="992" spans="2:2">
      <c r="B992" s="10" t="s">
        <v>1174</v>
      </c>
    </row>
    <row r="993" spans="2:2">
      <c r="B993" s="10" t="s">
        <v>1175</v>
      </c>
    </row>
    <row r="994" spans="2:2">
      <c r="B994" s="10" t="s">
        <v>1176</v>
      </c>
    </row>
    <row r="995" spans="2:2">
      <c r="B995" s="10" t="s">
        <v>1177</v>
      </c>
    </row>
    <row r="996" spans="2:2">
      <c r="B996" s="10" t="s">
        <v>1178</v>
      </c>
    </row>
    <row r="997" spans="2:2">
      <c r="B997" s="10" t="s">
        <v>1179</v>
      </c>
    </row>
    <row r="998" spans="2:2">
      <c r="B998" s="10" t="s">
        <v>1180</v>
      </c>
    </row>
    <row r="999" spans="2:2">
      <c r="B999" s="10" t="s">
        <v>1181</v>
      </c>
    </row>
    <row r="1000" spans="2:2">
      <c r="B1000" s="10" t="s">
        <v>1182</v>
      </c>
    </row>
    <row r="1001" spans="2:2">
      <c r="B1001" s="10" t="s">
        <v>1183</v>
      </c>
    </row>
    <row r="1002" spans="2:2">
      <c r="B1002" s="10" t="s">
        <v>1184</v>
      </c>
    </row>
    <row r="1003" spans="2:2">
      <c r="B1003" s="10" t="s">
        <v>1185</v>
      </c>
    </row>
    <row r="1004" spans="2:2">
      <c r="B1004" s="10" t="s">
        <v>1186</v>
      </c>
    </row>
    <row r="1005" spans="2:2">
      <c r="B1005" s="10" t="s">
        <v>1187</v>
      </c>
    </row>
    <row r="1006" spans="2:2">
      <c r="B1006" s="10" t="s">
        <v>1188</v>
      </c>
    </row>
    <row r="1007" spans="2:2">
      <c r="B1007" s="10" t="s">
        <v>1189</v>
      </c>
    </row>
    <row r="1008" spans="2:2">
      <c r="B1008" s="10" t="s">
        <v>1190</v>
      </c>
    </row>
    <row r="1009" spans="2:2">
      <c r="B1009" s="10" t="s">
        <v>1191</v>
      </c>
    </row>
    <row r="1010" spans="2:2">
      <c r="B1010" s="10" t="s">
        <v>1192</v>
      </c>
    </row>
    <row r="1011" spans="2:2">
      <c r="B1011" s="10" t="s">
        <v>1193</v>
      </c>
    </row>
    <row r="1012" spans="2:2">
      <c r="B1012" s="10" t="s">
        <v>1194</v>
      </c>
    </row>
    <row r="1013" spans="2:2">
      <c r="B1013" s="10" t="s">
        <v>1195</v>
      </c>
    </row>
    <row r="1014" spans="2:2">
      <c r="B1014" s="10" t="s">
        <v>1196</v>
      </c>
    </row>
    <row r="1015" spans="2:2">
      <c r="B1015" s="10" t="s">
        <v>1197</v>
      </c>
    </row>
    <row r="1016" spans="2:2">
      <c r="B1016" s="10" t="s">
        <v>1198</v>
      </c>
    </row>
    <row r="1017" spans="2:2">
      <c r="B1017" s="10" t="s">
        <v>1199</v>
      </c>
    </row>
    <row r="1018" spans="2:2">
      <c r="B1018" s="10" t="s">
        <v>1200</v>
      </c>
    </row>
    <row r="1019" spans="2:2">
      <c r="B1019" s="10" t="s">
        <v>1201</v>
      </c>
    </row>
    <row r="1020" spans="2:2">
      <c r="B1020" s="10" t="s">
        <v>1202</v>
      </c>
    </row>
    <row r="1021" spans="2:2">
      <c r="B1021" s="10" t="s">
        <v>1203</v>
      </c>
    </row>
    <row r="1022" spans="2:2">
      <c r="B1022" s="10" t="s">
        <v>1204</v>
      </c>
    </row>
    <row r="1023" spans="2:2">
      <c r="B1023" s="10" t="s">
        <v>1205</v>
      </c>
    </row>
    <row r="1024" spans="2:2">
      <c r="B1024" s="10" t="s">
        <v>1206</v>
      </c>
    </row>
    <row r="1025" spans="2:2">
      <c r="B1025" s="10" t="s">
        <v>1207</v>
      </c>
    </row>
    <row r="1026" spans="2:2">
      <c r="B1026" s="10" t="s">
        <v>1208</v>
      </c>
    </row>
    <row r="1027" spans="2:2">
      <c r="B1027" s="10" t="s">
        <v>1209</v>
      </c>
    </row>
    <row r="1028" spans="2:2">
      <c r="B1028" s="10" t="s">
        <v>1210</v>
      </c>
    </row>
    <row r="1029" spans="2:2">
      <c r="B1029" s="10" t="s">
        <v>1211</v>
      </c>
    </row>
    <row r="1030" spans="2:2">
      <c r="B1030" s="10" t="s">
        <v>1212</v>
      </c>
    </row>
    <row r="1031" spans="2:2">
      <c r="B1031" s="10" t="s">
        <v>1213</v>
      </c>
    </row>
    <row r="1032" spans="2:2">
      <c r="B1032" s="10" t="s">
        <v>1214</v>
      </c>
    </row>
    <row r="1033" spans="2:2">
      <c r="B1033" s="10" t="s">
        <v>1215</v>
      </c>
    </row>
    <row r="1034" spans="2:2">
      <c r="B1034" s="10" t="s">
        <v>1216</v>
      </c>
    </row>
    <row r="1035" spans="2:2">
      <c r="B1035" s="10" t="s">
        <v>1217</v>
      </c>
    </row>
    <row r="1036" spans="2:2">
      <c r="B1036" s="10" t="s">
        <v>1218</v>
      </c>
    </row>
    <row r="1037" spans="2:2">
      <c r="B1037" s="10" t="s">
        <v>1219</v>
      </c>
    </row>
    <row r="1038" spans="2:2">
      <c r="B1038" s="10" t="s">
        <v>1220</v>
      </c>
    </row>
    <row r="1039" spans="2:2">
      <c r="B1039" s="10" t="s">
        <v>1221</v>
      </c>
    </row>
    <row r="1040" spans="2:2">
      <c r="B1040" s="10" t="s">
        <v>1222</v>
      </c>
    </row>
    <row r="1041" spans="2:2">
      <c r="B1041" s="10" t="s">
        <v>1223</v>
      </c>
    </row>
    <row r="1042" spans="2:2">
      <c r="B1042" s="10" t="s">
        <v>1224</v>
      </c>
    </row>
    <row r="1043" spans="2:2">
      <c r="B1043" s="10" t="s">
        <v>1225</v>
      </c>
    </row>
    <row r="1044" spans="2:2">
      <c r="B1044" s="10" t="s">
        <v>1226</v>
      </c>
    </row>
    <row r="1045" spans="2:2">
      <c r="B1045" s="10" t="s">
        <v>1227</v>
      </c>
    </row>
    <row r="1046" spans="2:2">
      <c r="B1046" s="10" t="s">
        <v>1228</v>
      </c>
    </row>
    <row r="1047" spans="2:2">
      <c r="B1047" s="10" t="s">
        <v>1229</v>
      </c>
    </row>
    <row r="1048" spans="2:2">
      <c r="B1048" s="10" t="s">
        <v>1230</v>
      </c>
    </row>
    <row r="1049" spans="2:2">
      <c r="B1049" s="10" t="s">
        <v>1231</v>
      </c>
    </row>
    <row r="1050" spans="2:2">
      <c r="B1050" s="10" t="s">
        <v>1232</v>
      </c>
    </row>
    <row r="1051" spans="2:2">
      <c r="B1051" s="10" t="s">
        <v>1233</v>
      </c>
    </row>
    <row r="1052" spans="2:2">
      <c r="B1052" s="10" t="s">
        <v>1234</v>
      </c>
    </row>
    <row r="1053" spans="2:2">
      <c r="B1053" s="10" t="s">
        <v>1235</v>
      </c>
    </row>
    <row r="1054" spans="2:2">
      <c r="B1054" s="10" t="s">
        <v>1236</v>
      </c>
    </row>
    <row r="1055" spans="2:2">
      <c r="B1055" s="10" t="s">
        <v>1237</v>
      </c>
    </row>
    <row r="1056" spans="2:2">
      <c r="B1056" s="10" t="s">
        <v>1238</v>
      </c>
    </row>
    <row r="1057" spans="2:2">
      <c r="B1057" s="10" t="s">
        <v>1239</v>
      </c>
    </row>
    <row r="1058" spans="2:2">
      <c r="B1058" s="10" t="s">
        <v>1240</v>
      </c>
    </row>
    <row r="1059" spans="2:2">
      <c r="B1059" s="10" t="s">
        <v>1241</v>
      </c>
    </row>
    <row r="1060" spans="2:2">
      <c r="B1060" s="10" t="s">
        <v>1242</v>
      </c>
    </row>
    <row r="1061" spans="2:2">
      <c r="B1061" s="10" t="s">
        <v>1243</v>
      </c>
    </row>
    <row r="1062" spans="2:2">
      <c r="B1062" s="10" t="s">
        <v>1244</v>
      </c>
    </row>
    <row r="1063" spans="2:2">
      <c r="B1063" s="10" t="s">
        <v>1245</v>
      </c>
    </row>
    <row r="1064" spans="2:2">
      <c r="B1064" s="10" t="s">
        <v>1246</v>
      </c>
    </row>
    <row r="1065" spans="2:2">
      <c r="B1065" s="10" t="s">
        <v>1247</v>
      </c>
    </row>
    <row r="1066" spans="2:2">
      <c r="B1066" s="10" t="s">
        <v>1248</v>
      </c>
    </row>
    <row r="1067" spans="2:2">
      <c r="B1067" s="10" t="s">
        <v>1249</v>
      </c>
    </row>
    <row r="1068" spans="2:2">
      <c r="B1068" s="10" t="s">
        <v>1250</v>
      </c>
    </row>
    <row r="1069" spans="2:2">
      <c r="B1069" s="10" t="s">
        <v>1251</v>
      </c>
    </row>
    <row r="1070" spans="2:2">
      <c r="B1070" s="10" t="s">
        <v>1252</v>
      </c>
    </row>
    <row r="1071" spans="2:2">
      <c r="B1071" s="10" t="s">
        <v>1253</v>
      </c>
    </row>
    <row r="1072" spans="2:2">
      <c r="B1072" s="10" t="s">
        <v>1254</v>
      </c>
    </row>
    <row r="1073" spans="2:2">
      <c r="B1073" s="10" t="s">
        <v>1255</v>
      </c>
    </row>
    <row r="1074" spans="2:2">
      <c r="B1074" s="10" t="s">
        <v>1256</v>
      </c>
    </row>
    <row r="1075" spans="2:2">
      <c r="B1075" s="10" t="s">
        <v>1257</v>
      </c>
    </row>
    <row r="1076" spans="2:2">
      <c r="B1076" s="10" t="s">
        <v>1258</v>
      </c>
    </row>
    <row r="1077" spans="2:2">
      <c r="B1077" s="10" t="s">
        <v>1259</v>
      </c>
    </row>
    <row r="1078" spans="2:2">
      <c r="B1078" s="10" t="s">
        <v>1260</v>
      </c>
    </row>
    <row r="1079" spans="2:2">
      <c r="B1079" s="10" t="s">
        <v>1261</v>
      </c>
    </row>
    <row r="1080" spans="2:2">
      <c r="B1080" s="10" t="s">
        <v>1262</v>
      </c>
    </row>
    <row r="1081" spans="2:2">
      <c r="B1081" s="10" t="s">
        <v>1263</v>
      </c>
    </row>
    <row r="1082" spans="2:2">
      <c r="B1082" s="10" t="s">
        <v>1264</v>
      </c>
    </row>
    <row r="1083" spans="2:2">
      <c r="B1083" s="10" t="s">
        <v>1265</v>
      </c>
    </row>
    <row r="1084" spans="2:2">
      <c r="B1084" s="10" t="s">
        <v>1266</v>
      </c>
    </row>
    <row r="1085" spans="2:2">
      <c r="B1085" s="10" t="s">
        <v>1267</v>
      </c>
    </row>
    <row r="1086" spans="2:2">
      <c r="B1086" s="10" t="s">
        <v>1268</v>
      </c>
    </row>
    <row r="1087" spans="2:2">
      <c r="B1087" s="10" t="s">
        <v>1269</v>
      </c>
    </row>
    <row r="1088" spans="2:2">
      <c r="B1088" s="10" t="s">
        <v>1270</v>
      </c>
    </row>
    <row r="1089" spans="2:2">
      <c r="B1089" s="10" t="s">
        <v>1271</v>
      </c>
    </row>
    <row r="1090" spans="2:2">
      <c r="B1090" s="10" t="s">
        <v>1272</v>
      </c>
    </row>
    <row r="1091" spans="2:2">
      <c r="B1091" s="10" t="s">
        <v>1273</v>
      </c>
    </row>
    <row r="1092" spans="2:2">
      <c r="B1092" s="10" t="s">
        <v>1274</v>
      </c>
    </row>
    <row r="1093" spans="2:2">
      <c r="B1093" s="10" t="s">
        <v>1275</v>
      </c>
    </row>
    <row r="1094" spans="2:2">
      <c r="B1094" s="10" t="s">
        <v>1276</v>
      </c>
    </row>
    <row r="1095" spans="2:2">
      <c r="B1095" s="10" t="s">
        <v>1277</v>
      </c>
    </row>
    <row r="1096" spans="2:2">
      <c r="B1096" s="10" t="s">
        <v>1278</v>
      </c>
    </row>
    <row r="1097" spans="2:2">
      <c r="B1097" s="10" t="s">
        <v>1279</v>
      </c>
    </row>
    <row r="1098" spans="2:2">
      <c r="B1098" s="10" t="s">
        <v>1280</v>
      </c>
    </row>
    <row r="1099" spans="2:2">
      <c r="B1099" s="10" t="s">
        <v>1281</v>
      </c>
    </row>
    <row r="1100" spans="2:2">
      <c r="B1100" s="10" t="s">
        <v>1282</v>
      </c>
    </row>
    <row r="1101" spans="2:2">
      <c r="B1101" s="10" t="s">
        <v>1283</v>
      </c>
    </row>
    <row r="1102" spans="2:2">
      <c r="B1102" s="10" t="s">
        <v>1284</v>
      </c>
    </row>
    <row r="1103" spans="2:2">
      <c r="B1103" s="10" t="s">
        <v>1285</v>
      </c>
    </row>
    <row r="1104" spans="2:2">
      <c r="B1104" s="10" t="s">
        <v>1286</v>
      </c>
    </row>
    <row r="1105" spans="2:2">
      <c r="B1105" s="10" t="s">
        <v>1287</v>
      </c>
    </row>
    <row r="1106" spans="2:2">
      <c r="B1106" s="10" t="s">
        <v>1288</v>
      </c>
    </row>
    <row r="1107" spans="2:2">
      <c r="B1107" s="10" t="s">
        <v>1289</v>
      </c>
    </row>
    <row r="1108" spans="2:2">
      <c r="B1108" s="10" t="s">
        <v>1290</v>
      </c>
    </row>
    <row r="1109" spans="2:2">
      <c r="B1109" s="10" t="s">
        <v>1291</v>
      </c>
    </row>
    <row r="1110" spans="2:2">
      <c r="B1110" s="10" t="s">
        <v>1292</v>
      </c>
    </row>
    <row r="1111" spans="2:2">
      <c r="B1111" s="10" t="s">
        <v>1293</v>
      </c>
    </row>
    <row r="1112" spans="2:2">
      <c r="B1112" s="10" t="s">
        <v>1294</v>
      </c>
    </row>
    <row r="1113" spans="2:2">
      <c r="B1113" s="10" t="s">
        <v>1295</v>
      </c>
    </row>
    <row r="1114" spans="2:2">
      <c r="B1114" s="10" t="s">
        <v>1296</v>
      </c>
    </row>
    <row r="1115" spans="2:2">
      <c r="B1115" s="10" t="s">
        <v>1297</v>
      </c>
    </row>
    <row r="1116" spans="2:2">
      <c r="B1116" s="10" t="s">
        <v>1298</v>
      </c>
    </row>
    <row r="1117" spans="2:2">
      <c r="B1117" s="10" t="s">
        <v>1299</v>
      </c>
    </row>
    <row r="1118" spans="2:2">
      <c r="B1118" s="10" t="s">
        <v>1300</v>
      </c>
    </row>
    <row r="1119" spans="2:2">
      <c r="B1119" s="10" t="s">
        <v>1301</v>
      </c>
    </row>
    <row r="1120" spans="2:2">
      <c r="B1120" s="10" t="s">
        <v>1302</v>
      </c>
    </row>
    <row r="1121" spans="2:2">
      <c r="B1121" s="10" t="s">
        <v>1303</v>
      </c>
    </row>
    <row r="1122" spans="2:2">
      <c r="B1122" s="10" t="s">
        <v>1304</v>
      </c>
    </row>
    <row r="1123" spans="2:2">
      <c r="B1123" s="10" t="s">
        <v>1305</v>
      </c>
    </row>
    <row r="1124" spans="2:2">
      <c r="B1124" s="10" t="s">
        <v>1306</v>
      </c>
    </row>
    <row r="1125" spans="2:2">
      <c r="B1125" s="10" t="s">
        <v>1307</v>
      </c>
    </row>
    <row r="1126" spans="2:2">
      <c r="B1126" s="10" t="s">
        <v>1308</v>
      </c>
    </row>
    <row r="1127" spans="2:2">
      <c r="B1127" s="10" t="s">
        <v>1309</v>
      </c>
    </row>
    <row r="1128" spans="2:2">
      <c r="B1128" s="10" t="s">
        <v>1310</v>
      </c>
    </row>
    <row r="1129" spans="2:2">
      <c r="B1129" s="10" t="s">
        <v>1311</v>
      </c>
    </row>
    <row r="1130" spans="2:2">
      <c r="B1130" s="10" t="s">
        <v>1312</v>
      </c>
    </row>
    <row r="1131" spans="2:2">
      <c r="B1131" s="10" t="s">
        <v>1313</v>
      </c>
    </row>
    <row r="1132" spans="2:2">
      <c r="B1132" s="10" t="s">
        <v>1314</v>
      </c>
    </row>
    <row r="1133" spans="2:2">
      <c r="B1133" s="10" t="s">
        <v>1315</v>
      </c>
    </row>
    <row r="1134" spans="2:2">
      <c r="B1134" s="10" t="s">
        <v>1316</v>
      </c>
    </row>
    <row r="1135" spans="2:2">
      <c r="B1135" s="10" t="s">
        <v>1317</v>
      </c>
    </row>
    <row r="1136" spans="2:2">
      <c r="B1136" s="10" t="s">
        <v>1318</v>
      </c>
    </row>
    <row r="1137" spans="2:2">
      <c r="B1137" s="10" t="s">
        <v>1319</v>
      </c>
    </row>
    <row r="1138" spans="2:2">
      <c r="B1138" s="10" t="s">
        <v>1320</v>
      </c>
    </row>
    <row r="1139" spans="2:2">
      <c r="B1139" s="10" t="s">
        <v>1321</v>
      </c>
    </row>
    <row r="1140" spans="2:2">
      <c r="B1140" s="10" t="s">
        <v>1322</v>
      </c>
    </row>
    <row r="1141" spans="2:2">
      <c r="B1141" s="10" t="s">
        <v>1323</v>
      </c>
    </row>
    <row r="1142" spans="2:2">
      <c r="B1142" s="10" t="s">
        <v>1324</v>
      </c>
    </row>
    <row r="1143" spans="2:2">
      <c r="B1143" s="10" t="s">
        <v>1325</v>
      </c>
    </row>
    <row r="1144" spans="2:2">
      <c r="B1144" s="10" t="s">
        <v>1326</v>
      </c>
    </row>
    <row r="1145" spans="2:2">
      <c r="B1145" s="10" t="s">
        <v>1327</v>
      </c>
    </row>
    <row r="1146" spans="2:2">
      <c r="B1146" s="10" t="s">
        <v>1328</v>
      </c>
    </row>
    <row r="1147" spans="2:2">
      <c r="B1147" s="10" t="s">
        <v>1329</v>
      </c>
    </row>
    <row r="1148" spans="2:2">
      <c r="B1148" s="10" t="s">
        <v>1330</v>
      </c>
    </row>
    <row r="1149" spans="2:2">
      <c r="B1149" s="10" t="s">
        <v>1331</v>
      </c>
    </row>
    <row r="1150" spans="2:2">
      <c r="B1150" s="10" t="s">
        <v>1332</v>
      </c>
    </row>
    <row r="1151" spans="2:2">
      <c r="B1151" s="10" t="s">
        <v>1333</v>
      </c>
    </row>
    <row r="1152" spans="2:2">
      <c r="B1152" s="10" t="s">
        <v>1334</v>
      </c>
    </row>
    <row r="1153" spans="2:2">
      <c r="B1153" s="10" t="s">
        <v>1335</v>
      </c>
    </row>
    <row r="1154" spans="2:2">
      <c r="B1154" s="10" t="s">
        <v>1336</v>
      </c>
    </row>
    <row r="1155" spans="2:2">
      <c r="B1155" s="10" t="s">
        <v>1337</v>
      </c>
    </row>
    <row r="1156" spans="2:2">
      <c r="B1156" s="10" t="s">
        <v>1338</v>
      </c>
    </row>
    <row r="1157" spans="2:2">
      <c r="B1157" s="10" t="s">
        <v>1339</v>
      </c>
    </row>
    <row r="1158" spans="2:2">
      <c r="B1158" s="10" t="s">
        <v>1340</v>
      </c>
    </row>
    <row r="1159" spans="2:2">
      <c r="B1159" s="10" t="s">
        <v>1341</v>
      </c>
    </row>
    <row r="1160" spans="2:2">
      <c r="B1160" s="10" t="s">
        <v>1342</v>
      </c>
    </row>
    <row r="1161" spans="2:2">
      <c r="B1161" s="10" t="s">
        <v>1343</v>
      </c>
    </row>
    <row r="1162" spans="2:2">
      <c r="B1162" s="10" t="s">
        <v>1344</v>
      </c>
    </row>
    <row r="1163" spans="2:2">
      <c r="B1163" s="10" t="s">
        <v>1345</v>
      </c>
    </row>
    <row r="1164" spans="2:2">
      <c r="B1164" s="10" t="s">
        <v>1346</v>
      </c>
    </row>
    <row r="1165" spans="2:2">
      <c r="B1165" s="10" t="s">
        <v>1347</v>
      </c>
    </row>
    <row r="1166" spans="2:2">
      <c r="B1166" s="10" t="s">
        <v>1348</v>
      </c>
    </row>
    <row r="1167" spans="2:2">
      <c r="B1167" s="10" t="s">
        <v>1349</v>
      </c>
    </row>
    <row r="1168" spans="2:2">
      <c r="B1168" s="10" t="s">
        <v>1350</v>
      </c>
    </row>
    <row r="1169" spans="2:2">
      <c r="B1169" s="10" t="s">
        <v>1351</v>
      </c>
    </row>
    <row r="1170" spans="2:2">
      <c r="B1170" s="10" t="s">
        <v>1352</v>
      </c>
    </row>
    <row r="1171" spans="2:2">
      <c r="B1171" s="10" t="s">
        <v>1353</v>
      </c>
    </row>
    <row r="1172" spans="2:2">
      <c r="B1172" s="10" t="s">
        <v>1354</v>
      </c>
    </row>
    <row r="1173" spans="2:2">
      <c r="B1173" s="10" t="s">
        <v>1355</v>
      </c>
    </row>
    <row r="1174" spans="2:2">
      <c r="B1174" s="10" t="s">
        <v>1356</v>
      </c>
    </row>
    <row r="1175" spans="2:2">
      <c r="B1175" s="10" t="s">
        <v>1357</v>
      </c>
    </row>
    <row r="1176" spans="2:2">
      <c r="B1176" s="10" t="s">
        <v>1358</v>
      </c>
    </row>
    <row r="1177" spans="2:2">
      <c r="B1177" s="10" t="s">
        <v>1359</v>
      </c>
    </row>
    <row r="1178" spans="2:2">
      <c r="B1178" s="10" t="s">
        <v>1360</v>
      </c>
    </row>
    <row r="1179" spans="2:2">
      <c r="B1179" s="10" t="s">
        <v>1361</v>
      </c>
    </row>
    <row r="1180" spans="2:2">
      <c r="B1180" s="10" t="s">
        <v>1362</v>
      </c>
    </row>
    <row r="1181" spans="2:2">
      <c r="B1181" s="10" t="s">
        <v>1363</v>
      </c>
    </row>
    <row r="1182" spans="2:2">
      <c r="B1182" s="10" t="s">
        <v>1364</v>
      </c>
    </row>
    <row r="1183" spans="2:2">
      <c r="B1183" s="10" t="s">
        <v>1365</v>
      </c>
    </row>
    <row r="1184" spans="2:2">
      <c r="B1184" s="10" t="s">
        <v>1366</v>
      </c>
    </row>
    <row r="1185" spans="2:2">
      <c r="B1185" s="10" t="s">
        <v>1367</v>
      </c>
    </row>
    <row r="1186" spans="2:2">
      <c r="B1186" s="10" t="s">
        <v>1368</v>
      </c>
    </row>
    <row r="1187" spans="2:2">
      <c r="B1187" s="10" t="s">
        <v>1369</v>
      </c>
    </row>
    <row r="1188" spans="2:2">
      <c r="B1188" s="10" t="s">
        <v>1370</v>
      </c>
    </row>
    <row r="1189" spans="2:2">
      <c r="B1189" s="10" t="s">
        <v>1371</v>
      </c>
    </row>
    <row r="1190" spans="2:2">
      <c r="B1190" s="10" t="s">
        <v>1372</v>
      </c>
    </row>
    <row r="1191" spans="2:2">
      <c r="B1191" s="10" t="s">
        <v>1373</v>
      </c>
    </row>
    <row r="1192" spans="2:2">
      <c r="B1192" s="10" t="s">
        <v>1374</v>
      </c>
    </row>
    <row r="1193" spans="2:2">
      <c r="B1193" s="10" t="s">
        <v>1375</v>
      </c>
    </row>
    <row r="1194" spans="2:2">
      <c r="B1194" s="10" t="s">
        <v>1376</v>
      </c>
    </row>
    <row r="1195" spans="2:2">
      <c r="B1195" s="10" t="s">
        <v>1377</v>
      </c>
    </row>
    <row r="1196" spans="2:2">
      <c r="B1196" s="10" t="s">
        <v>1378</v>
      </c>
    </row>
    <row r="1197" spans="2:2">
      <c r="B1197" s="10" t="s">
        <v>1379</v>
      </c>
    </row>
    <row r="1198" spans="2:2">
      <c r="B1198" s="10" t="s">
        <v>1380</v>
      </c>
    </row>
    <row r="1199" spans="2:2">
      <c r="B1199" s="10" t="s">
        <v>1381</v>
      </c>
    </row>
    <row r="1200" spans="2:2">
      <c r="B1200" s="10" t="s">
        <v>1382</v>
      </c>
    </row>
    <row r="1201" spans="2:2">
      <c r="B1201" s="10" t="s">
        <v>1383</v>
      </c>
    </row>
    <row r="1202" spans="2:2">
      <c r="B1202" s="10" t="s">
        <v>1384</v>
      </c>
    </row>
    <row r="1203" spans="2:2">
      <c r="B1203" s="10" t="s">
        <v>1385</v>
      </c>
    </row>
    <row r="1204" spans="2:2">
      <c r="B1204" s="10" t="s">
        <v>1386</v>
      </c>
    </row>
    <row r="1205" spans="2:2">
      <c r="B1205" s="10" t="s">
        <v>1387</v>
      </c>
    </row>
    <row r="1206" spans="2:2">
      <c r="B1206" s="10" t="s">
        <v>1388</v>
      </c>
    </row>
    <row r="1207" spans="2:2">
      <c r="B1207" s="10" t="s">
        <v>1389</v>
      </c>
    </row>
    <row r="1208" spans="2:2">
      <c r="B1208" s="10" t="s">
        <v>1390</v>
      </c>
    </row>
    <row r="1209" spans="2:2">
      <c r="B1209" s="10" t="s">
        <v>1391</v>
      </c>
    </row>
    <row r="1210" spans="2:2">
      <c r="B1210" s="10" t="s">
        <v>1392</v>
      </c>
    </row>
    <row r="1211" spans="2:2">
      <c r="B1211" s="10" t="s">
        <v>1393</v>
      </c>
    </row>
    <row r="1212" spans="2:2">
      <c r="B1212" s="10" t="s">
        <v>1394</v>
      </c>
    </row>
    <row r="1213" spans="2:2">
      <c r="B1213" s="10" t="s">
        <v>1395</v>
      </c>
    </row>
    <row r="1214" spans="2:2">
      <c r="B1214" s="10" t="s">
        <v>1396</v>
      </c>
    </row>
    <row r="1215" spans="2:2">
      <c r="B1215" s="10" t="s">
        <v>1397</v>
      </c>
    </row>
    <row r="1216" spans="2:2">
      <c r="B1216" s="10" t="s">
        <v>1398</v>
      </c>
    </row>
    <row r="1217" spans="2:2">
      <c r="B1217" s="10" t="s">
        <v>1399</v>
      </c>
    </row>
    <row r="1218" spans="2:2">
      <c r="B1218" s="10" t="s">
        <v>1400</v>
      </c>
    </row>
    <row r="1219" spans="2:2">
      <c r="B1219" s="10" t="s">
        <v>1401</v>
      </c>
    </row>
    <row r="1220" spans="2:2">
      <c r="B1220" s="10" t="s">
        <v>1402</v>
      </c>
    </row>
    <row r="1221" spans="2:2">
      <c r="B1221" s="10" t="s">
        <v>1403</v>
      </c>
    </row>
    <row r="1222" spans="2:2">
      <c r="B1222" s="10" t="s">
        <v>1404</v>
      </c>
    </row>
    <row r="1223" spans="2:2">
      <c r="B1223" s="10" t="s">
        <v>1405</v>
      </c>
    </row>
    <row r="1224" spans="2:2">
      <c r="B1224" s="10" t="s">
        <v>1406</v>
      </c>
    </row>
    <row r="1225" spans="2:2">
      <c r="B1225" s="10" t="s">
        <v>1407</v>
      </c>
    </row>
    <row r="1226" spans="2:2">
      <c r="B1226" s="10" t="s">
        <v>1408</v>
      </c>
    </row>
    <row r="1227" spans="2:2">
      <c r="B1227" s="10" t="s">
        <v>1409</v>
      </c>
    </row>
    <row r="1228" spans="2:2">
      <c r="B1228" s="10" t="s">
        <v>1410</v>
      </c>
    </row>
    <row r="1229" spans="2:2">
      <c r="B1229" s="10" t="s">
        <v>1411</v>
      </c>
    </row>
    <row r="1230" spans="2:2">
      <c r="B1230" s="10" t="s">
        <v>1412</v>
      </c>
    </row>
    <row r="1231" spans="2:2">
      <c r="B1231" s="10" t="s">
        <v>1413</v>
      </c>
    </row>
    <row r="1232" spans="2:2">
      <c r="B1232" s="10" t="s">
        <v>1414</v>
      </c>
    </row>
    <row r="1233" spans="2:2">
      <c r="B1233" s="10" t="s">
        <v>1415</v>
      </c>
    </row>
    <row r="1234" spans="2:2">
      <c r="B1234" s="10" t="s">
        <v>1416</v>
      </c>
    </row>
    <row r="1235" spans="2:2">
      <c r="B1235" s="10" t="s">
        <v>1417</v>
      </c>
    </row>
    <row r="1236" spans="2:2">
      <c r="B1236" s="10" t="s">
        <v>1418</v>
      </c>
    </row>
    <row r="1237" spans="2:2">
      <c r="B1237" s="10" t="s">
        <v>1419</v>
      </c>
    </row>
    <row r="1238" spans="2:2">
      <c r="B1238" s="10" t="s">
        <v>1420</v>
      </c>
    </row>
    <row r="1239" spans="2:2">
      <c r="B1239" s="10" t="s">
        <v>1421</v>
      </c>
    </row>
    <row r="1240" spans="2:2">
      <c r="B1240" s="10" t="s">
        <v>1422</v>
      </c>
    </row>
    <row r="1241" spans="2:2">
      <c r="B1241" s="10" t="s">
        <v>1423</v>
      </c>
    </row>
    <row r="1242" spans="2:2">
      <c r="B1242" s="10" t="s">
        <v>1424</v>
      </c>
    </row>
    <row r="1243" spans="2:2">
      <c r="B1243" s="10" t="s">
        <v>1425</v>
      </c>
    </row>
    <row r="1244" spans="2:2">
      <c r="B1244" s="10" t="s">
        <v>1426</v>
      </c>
    </row>
    <row r="1245" spans="2:2">
      <c r="B1245" s="10" t="s">
        <v>1427</v>
      </c>
    </row>
    <row r="1246" spans="2:2">
      <c r="B1246" s="10" t="s">
        <v>1428</v>
      </c>
    </row>
    <row r="1247" spans="2:2">
      <c r="B1247" s="10" t="s">
        <v>1429</v>
      </c>
    </row>
    <row r="1248" spans="2:2">
      <c r="B1248" s="10" t="s">
        <v>1430</v>
      </c>
    </row>
    <row r="1249" spans="2:2">
      <c r="B1249" s="10" t="s">
        <v>1431</v>
      </c>
    </row>
    <row r="1250" spans="2:2">
      <c r="B1250" s="10" t="s">
        <v>1432</v>
      </c>
    </row>
    <row r="1251" spans="2:2">
      <c r="B1251" s="10" t="s">
        <v>1433</v>
      </c>
    </row>
    <row r="1252" spans="2:2">
      <c r="B1252" s="10" t="s">
        <v>1434</v>
      </c>
    </row>
    <row r="1253" spans="2:2">
      <c r="B1253" s="10" t="s">
        <v>1435</v>
      </c>
    </row>
    <row r="1254" spans="2:2">
      <c r="B1254" s="10" t="s">
        <v>1436</v>
      </c>
    </row>
    <row r="1255" spans="2:2">
      <c r="B1255" s="10" t="s">
        <v>1437</v>
      </c>
    </row>
    <row r="1256" spans="2:2">
      <c r="B1256" s="10" t="s">
        <v>1438</v>
      </c>
    </row>
    <row r="1257" spans="2:2">
      <c r="B1257" s="10" t="s">
        <v>1439</v>
      </c>
    </row>
    <row r="1258" spans="2:2">
      <c r="B1258" s="10" t="s">
        <v>1440</v>
      </c>
    </row>
    <row r="1259" spans="2:2">
      <c r="B1259" s="10" t="s">
        <v>1441</v>
      </c>
    </row>
    <row r="1260" spans="2:2">
      <c r="B1260" s="10" t="s">
        <v>1442</v>
      </c>
    </row>
    <row r="1261" spans="2:2">
      <c r="B1261" s="10" t="s">
        <v>1443</v>
      </c>
    </row>
    <row r="1262" spans="2:2">
      <c r="B1262" s="10" t="s">
        <v>1444</v>
      </c>
    </row>
    <row r="1263" spans="2:2">
      <c r="B1263" s="10" t="s">
        <v>1445</v>
      </c>
    </row>
    <row r="1264" spans="2:2">
      <c r="B1264" s="10" t="s">
        <v>1446</v>
      </c>
    </row>
    <row r="1265" spans="2:2">
      <c r="B1265" s="10" t="s">
        <v>1447</v>
      </c>
    </row>
    <row r="1266" spans="2:2">
      <c r="B1266" s="10" t="s">
        <v>1448</v>
      </c>
    </row>
    <row r="1267" spans="2:2">
      <c r="B1267" s="10" t="s">
        <v>1449</v>
      </c>
    </row>
    <row r="1268" spans="2:2">
      <c r="B1268" s="10" t="s">
        <v>1450</v>
      </c>
    </row>
    <row r="1269" spans="2:2">
      <c r="B1269" s="10" t="s">
        <v>1451</v>
      </c>
    </row>
    <row r="1270" spans="2:2">
      <c r="B1270" s="10" t="s">
        <v>1452</v>
      </c>
    </row>
    <row r="1271" spans="2:2">
      <c r="B1271" s="10" t="s">
        <v>1453</v>
      </c>
    </row>
    <row r="1272" spans="2:2">
      <c r="B1272" s="10" t="s">
        <v>1454</v>
      </c>
    </row>
    <row r="1273" spans="2:2">
      <c r="B1273" s="10" t="s">
        <v>1455</v>
      </c>
    </row>
    <row r="1274" spans="2:2">
      <c r="B1274" s="10" t="s">
        <v>1456</v>
      </c>
    </row>
    <row r="1275" spans="2:2">
      <c r="B1275" s="10" t="s">
        <v>1457</v>
      </c>
    </row>
    <row r="1276" spans="2:2">
      <c r="B1276" s="10" t="s">
        <v>1458</v>
      </c>
    </row>
    <row r="1277" spans="2:2">
      <c r="B1277" s="10" t="s">
        <v>1459</v>
      </c>
    </row>
    <row r="1278" spans="2:2">
      <c r="B1278" s="10" t="s">
        <v>1460</v>
      </c>
    </row>
    <row r="1279" spans="2:2">
      <c r="B1279" s="10" t="s">
        <v>1461</v>
      </c>
    </row>
    <row r="1280" spans="2:2">
      <c r="B1280" s="10" t="s">
        <v>1462</v>
      </c>
    </row>
    <row r="1281" spans="2:2">
      <c r="B1281" s="10" t="s">
        <v>1463</v>
      </c>
    </row>
    <row r="1282" spans="2:2">
      <c r="B1282" s="10" t="s">
        <v>1464</v>
      </c>
    </row>
    <row r="1283" spans="2:2">
      <c r="B1283" s="10" t="s">
        <v>1465</v>
      </c>
    </row>
    <row r="1284" spans="2:2">
      <c r="B1284" s="10" t="s">
        <v>1466</v>
      </c>
    </row>
    <row r="1285" spans="2:2">
      <c r="B1285" s="10" t="s">
        <v>1467</v>
      </c>
    </row>
    <row r="1286" spans="2:2">
      <c r="B1286" s="10" t="s">
        <v>1468</v>
      </c>
    </row>
    <row r="1287" spans="2:2">
      <c r="B1287" s="10" t="s">
        <v>1469</v>
      </c>
    </row>
    <row r="1288" spans="2:2">
      <c r="B1288" s="10" t="s">
        <v>1470</v>
      </c>
    </row>
    <row r="1289" spans="2:2">
      <c r="B1289" s="10" t="s">
        <v>1471</v>
      </c>
    </row>
    <row r="1290" spans="2:2">
      <c r="B1290" s="10" t="s">
        <v>1472</v>
      </c>
    </row>
    <row r="1291" spans="2:2">
      <c r="B1291" s="10" t="s">
        <v>1473</v>
      </c>
    </row>
    <row r="1292" spans="2:2">
      <c r="B1292" s="10" t="s">
        <v>1474</v>
      </c>
    </row>
    <row r="1293" spans="2:2">
      <c r="B1293" s="10" t="s">
        <v>1475</v>
      </c>
    </row>
    <row r="1294" spans="2:2">
      <c r="B1294" s="10" t="s">
        <v>1476</v>
      </c>
    </row>
    <row r="1295" spans="2:2">
      <c r="B1295" s="10" t="s">
        <v>1477</v>
      </c>
    </row>
    <row r="1296" spans="2:2">
      <c r="B1296" s="10" t="s">
        <v>1478</v>
      </c>
    </row>
    <row r="1297" spans="2:2">
      <c r="B1297" s="10" t="s">
        <v>1479</v>
      </c>
    </row>
    <row r="1298" spans="2:2">
      <c r="B1298" s="10" t="s">
        <v>1480</v>
      </c>
    </row>
    <row r="1299" spans="2:2">
      <c r="B1299" s="10" t="s">
        <v>1481</v>
      </c>
    </row>
    <row r="1300" spans="2:2">
      <c r="B1300" s="10" t="s">
        <v>1482</v>
      </c>
    </row>
    <row r="1301" spans="2:2">
      <c r="B1301" s="10" t="s">
        <v>1483</v>
      </c>
    </row>
    <row r="1302" spans="2:2">
      <c r="B1302" s="10" t="s">
        <v>1484</v>
      </c>
    </row>
    <row r="1303" spans="2:2">
      <c r="B1303" s="10" t="s">
        <v>1485</v>
      </c>
    </row>
    <row r="1304" spans="2:2">
      <c r="B1304" s="10" t="s">
        <v>1486</v>
      </c>
    </row>
    <row r="1305" spans="2:2">
      <c r="B1305" s="10" t="s">
        <v>1487</v>
      </c>
    </row>
    <row r="1306" spans="2:2">
      <c r="B1306" s="10" t="s">
        <v>1488</v>
      </c>
    </row>
    <row r="1307" spans="2:2">
      <c r="B1307" s="10" t="s">
        <v>1489</v>
      </c>
    </row>
    <row r="1308" spans="2:2">
      <c r="B1308" s="10" t="s">
        <v>1490</v>
      </c>
    </row>
    <row r="1309" spans="2:2">
      <c r="B1309" s="10" t="s">
        <v>1491</v>
      </c>
    </row>
    <row r="1310" spans="2:2">
      <c r="B1310" s="10" t="s">
        <v>1492</v>
      </c>
    </row>
    <row r="1311" spans="2:2">
      <c r="B1311" s="10" t="s">
        <v>1493</v>
      </c>
    </row>
    <row r="1312" spans="2:2">
      <c r="B1312" s="10" t="s">
        <v>1494</v>
      </c>
    </row>
    <row r="1313" spans="2:2">
      <c r="B1313" s="10" t="s">
        <v>1495</v>
      </c>
    </row>
    <row r="1314" spans="2:2">
      <c r="B1314" s="10" t="s">
        <v>1496</v>
      </c>
    </row>
    <row r="1315" spans="2:2">
      <c r="B1315" s="10" t="s">
        <v>1497</v>
      </c>
    </row>
    <row r="1316" spans="2:2">
      <c r="B1316" s="10" t="s">
        <v>1498</v>
      </c>
    </row>
    <row r="1317" spans="2:2">
      <c r="B1317" s="10" t="s">
        <v>1499</v>
      </c>
    </row>
    <row r="1318" spans="2:2">
      <c r="B1318" s="10" t="s">
        <v>1500</v>
      </c>
    </row>
    <row r="1319" spans="2:2">
      <c r="B1319" s="10" t="s">
        <v>1501</v>
      </c>
    </row>
    <row r="1320" spans="2:2">
      <c r="B1320" s="10" t="s">
        <v>1502</v>
      </c>
    </row>
    <row r="1321" spans="2:2">
      <c r="B1321" s="10" t="s">
        <v>1503</v>
      </c>
    </row>
    <row r="1322" spans="2:2">
      <c r="B1322" s="10" t="s">
        <v>1504</v>
      </c>
    </row>
    <row r="1323" spans="2:2">
      <c r="B1323" s="10" t="s">
        <v>1505</v>
      </c>
    </row>
    <row r="1324" spans="2:2">
      <c r="B1324" s="10" t="s">
        <v>1506</v>
      </c>
    </row>
    <row r="1325" spans="2:2">
      <c r="B1325" s="10" t="s">
        <v>1507</v>
      </c>
    </row>
    <row r="1326" spans="2:2">
      <c r="B1326" s="10" t="s">
        <v>1508</v>
      </c>
    </row>
    <row r="1327" spans="2:2">
      <c r="B1327" s="10" t="s">
        <v>1509</v>
      </c>
    </row>
    <row r="1328" spans="2:2">
      <c r="B1328" s="10" t="s">
        <v>1510</v>
      </c>
    </row>
    <row r="1329" spans="2:2">
      <c r="B1329" s="10" t="s">
        <v>1511</v>
      </c>
    </row>
    <row r="1330" spans="2:2">
      <c r="B1330" s="10" t="s">
        <v>1512</v>
      </c>
    </row>
    <row r="1331" spans="2:2">
      <c r="B1331" s="10" t="s">
        <v>1513</v>
      </c>
    </row>
    <row r="1332" spans="2:2">
      <c r="B1332" s="10" t="s">
        <v>1514</v>
      </c>
    </row>
    <row r="1333" spans="2:2">
      <c r="B1333" s="10" t="s">
        <v>1515</v>
      </c>
    </row>
    <row r="1334" spans="2:2">
      <c r="B1334" s="10" t="s">
        <v>1516</v>
      </c>
    </row>
    <row r="1335" spans="2:2">
      <c r="B1335" s="10" t="s">
        <v>1517</v>
      </c>
    </row>
    <row r="1336" spans="2:2">
      <c r="B1336" s="10" t="s">
        <v>1518</v>
      </c>
    </row>
    <row r="1337" spans="2:2">
      <c r="B1337" s="10" t="s">
        <v>1519</v>
      </c>
    </row>
    <row r="1338" spans="2:2">
      <c r="B1338" s="10" t="s">
        <v>1520</v>
      </c>
    </row>
    <row r="1339" spans="2:2">
      <c r="B1339" s="10" t="s">
        <v>1521</v>
      </c>
    </row>
    <row r="1340" spans="2:2">
      <c r="B1340" s="10" t="s">
        <v>1522</v>
      </c>
    </row>
    <row r="1341" spans="2:2">
      <c r="B1341" s="10" t="s">
        <v>1523</v>
      </c>
    </row>
    <row r="1342" spans="2:2">
      <c r="B1342" s="10" t="s">
        <v>1524</v>
      </c>
    </row>
    <row r="1343" spans="2:2">
      <c r="B1343" s="10" t="s">
        <v>1525</v>
      </c>
    </row>
    <row r="1344" spans="2:2">
      <c r="B1344" s="10" t="s">
        <v>1526</v>
      </c>
    </row>
    <row r="1345" spans="2:2">
      <c r="B1345" s="10" t="s">
        <v>1527</v>
      </c>
    </row>
    <row r="1346" spans="2:2">
      <c r="B1346" s="10" t="s">
        <v>1528</v>
      </c>
    </row>
    <row r="1347" spans="2:2">
      <c r="B1347" s="10" t="s">
        <v>1529</v>
      </c>
    </row>
    <row r="1348" spans="2:2">
      <c r="B1348" s="10" t="s">
        <v>1530</v>
      </c>
    </row>
    <row r="1349" spans="2:2">
      <c r="B1349" s="10" t="s">
        <v>1531</v>
      </c>
    </row>
    <row r="1350" spans="2:2">
      <c r="B1350" s="10" t="s">
        <v>1532</v>
      </c>
    </row>
    <row r="1351" spans="2:2">
      <c r="B1351" s="10" t="s">
        <v>1533</v>
      </c>
    </row>
    <row r="1352" spans="2:2">
      <c r="B1352" s="10" t="s">
        <v>1534</v>
      </c>
    </row>
    <row r="1353" spans="2:2">
      <c r="B1353" s="10" t="s">
        <v>1535</v>
      </c>
    </row>
    <row r="1354" spans="2:2">
      <c r="B1354" s="10" t="s">
        <v>1536</v>
      </c>
    </row>
    <row r="1355" spans="2:2">
      <c r="B1355" s="10" t="s">
        <v>1537</v>
      </c>
    </row>
    <row r="1356" spans="2:2">
      <c r="B1356" s="10" t="s">
        <v>1538</v>
      </c>
    </row>
    <row r="1357" spans="2:2">
      <c r="B1357" s="10" t="s">
        <v>1539</v>
      </c>
    </row>
    <row r="1358" spans="2:2">
      <c r="B1358" s="10" t="s">
        <v>1540</v>
      </c>
    </row>
    <row r="1359" spans="2:2">
      <c r="B1359" s="10" t="s">
        <v>1541</v>
      </c>
    </row>
    <row r="1360" spans="2:2">
      <c r="B1360" s="10" t="s">
        <v>1542</v>
      </c>
    </row>
    <row r="1361" spans="2:2">
      <c r="B1361" s="10" t="s">
        <v>1543</v>
      </c>
    </row>
    <row r="1362" spans="2:2">
      <c r="B1362" s="10" t="s">
        <v>1544</v>
      </c>
    </row>
    <row r="1363" spans="2:2">
      <c r="B1363" s="10" t="s">
        <v>1545</v>
      </c>
    </row>
    <row r="1364" spans="2:2">
      <c r="B1364" s="10" t="s">
        <v>1546</v>
      </c>
    </row>
    <row r="1365" spans="2:2">
      <c r="B1365" s="10" t="s">
        <v>1547</v>
      </c>
    </row>
    <row r="1366" spans="2:2">
      <c r="B1366" s="10" t="s">
        <v>1548</v>
      </c>
    </row>
    <row r="1367" spans="2:2">
      <c r="B1367" s="10" t="s">
        <v>1549</v>
      </c>
    </row>
    <row r="1368" spans="2:2">
      <c r="B1368" s="10" t="s">
        <v>1550</v>
      </c>
    </row>
    <row r="1369" spans="2:2">
      <c r="B1369" s="10" t="s">
        <v>1551</v>
      </c>
    </row>
    <row r="1370" spans="2:2">
      <c r="B1370" s="10" t="s">
        <v>1552</v>
      </c>
    </row>
    <row r="1371" spans="2:2">
      <c r="B1371" s="10" t="s">
        <v>1553</v>
      </c>
    </row>
    <row r="1372" spans="2:2">
      <c r="B1372" s="10" t="s">
        <v>1554</v>
      </c>
    </row>
    <row r="1373" spans="2:2">
      <c r="B1373" s="10" t="s">
        <v>1555</v>
      </c>
    </row>
    <row r="1374" spans="2:2">
      <c r="B1374" s="10" t="s">
        <v>1556</v>
      </c>
    </row>
    <row r="1375" spans="2:2">
      <c r="B1375" s="10" t="s">
        <v>1557</v>
      </c>
    </row>
    <row r="1376" spans="2:2">
      <c r="B1376" s="10" t="s">
        <v>1558</v>
      </c>
    </row>
    <row r="1377" spans="2:2">
      <c r="B1377" s="10" t="s">
        <v>1559</v>
      </c>
    </row>
    <row r="1378" spans="2:2">
      <c r="B1378" s="10" t="s">
        <v>1560</v>
      </c>
    </row>
    <row r="1379" spans="2:2">
      <c r="B1379" s="10" t="s">
        <v>1561</v>
      </c>
    </row>
    <row r="1380" spans="2:2">
      <c r="B1380" s="10" t="s">
        <v>1562</v>
      </c>
    </row>
    <row r="1381" spans="2:2">
      <c r="B1381" s="10" t="s">
        <v>1563</v>
      </c>
    </row>
    <row r="1382" spans="2:2">
      <c r="B1382" s="10" t="s">
        <v>1564</v>
      </c>
    </row>
    <row r="1383" spans="2:2">
      <c r="B1383" s="10" t="s">
        <v>1565</v>
      </c>
    </row>
    <row r="1384" spans="2:2">
      <c r="B1384" s="10" t="s">
        <v>1566</v>
      </c>
    </row>
    <row r="1385" spans="2:2">
      <c r="B1385" s="10" t="s">
        <v>1567</v>
      </c>
    </row>
    <row r="1386" spans="2:2">
      <c r="B1386" s="10" t="s">
        <v>1568</v>
      </c>
    </row>
    <row r="1387" spans="2:2">
      <c r="B1387" s="10" t="s">
        <v>1569</v>
      </c>
    </row>
    <row r="1388" spans="2:2">
      <c r="B1388" s="10" t="s">
        <v>1570</v>
      </c>
    </row>
    <row r="1389" spans="2:2">
      <c r="B1389" s="10" t="s">
        <v>1571</v>
      </c>
    </row>
    <row r="1390" spans="2:2">
      <c r="B1390" s="10" t="s">
        <v>1572</v>
      </c>
    </row>
    <row r="1391" spans="2:2">
      <c r="B1391" s="10" t="s">
        <v>1573</v>
      </c>
    </row>
    <row r="1392" spans="2:2">
      <c r="B1392" s="10" t="s">
        <v>1574</v>
      </c>
    </row>
    <row r="1393" spans="2:2">
      <c r="B1393" s="10" t="s">
        <v>1575</v>
      </c>
    </row>
    <row r="1394" spans="2:2">
      <c r="B1394" s="10" t="s">
        <v>1576</v>
      </c>
    </row>
    <row r="1395" spans="2:2">
      <c r="B1395" s="10" t="s">
        <v>1577</v>
      </c>
    </row>
    <row r="1396" spans="2:2">
      <c r="B1396" s="10" t="s">
        <v>1578</v>
      </c>
    </row>
    <row r="1397" spans="2:2">
      <c r="B1397" s="10" t="s">
        <v>1579</v>
      </c>
    </row>
    <row r="1398" spans="2:2">
      <c r="B1398" s="10" t="s">
        <v>1580</v>
      </c>
    </row>
    <row r="1399" spans="2:2">
      <c r="B1399" s="10" t="s">
        <v>1581</v>
      </c>
    </row>
    <row r="1400" spans="2:2">
      <c r="B1400" s="10" t="s">
        <v>1582</v>
      </c>
    </row>
    <row r="1401" spans="2:2">
      <c r="B1401" s="10" t="s">
        <v>1583</v>
      </c>
    </row>
    <row r="1402" spans="2:2">
      <c r="B1402" s="10" t="s">
        <v>1584</v>
      </c>
    </row>
    <row r="1403" spans="2:2">
      <c r="B1403" s="10" t="s">
        <v>1585</v>
      </c>
    </row>
    <row r="1404" spans="2:2">
      <c r="B1404" s="10" t="s">
        <v>1586</v>
      </c>
    </row>
    <row r="1405" spans="2:2">
      <c r="B1405" s="10" t="s">
        <v>1587</v>
      </c>
    </row>
    <row r="1406" spans="2:2">
      <c r="B1406" s="10" t="s">
        <v>1588</v>
      </c>
    </row>
    <row r="1407" spans="2:2">
      <c r="B1407" s="10" t="s">
        <v>1589</v>
      </c>
    </row>
    <row r="1408" spans="2:2">
      <c r="B1408" s="10" t="s">
        <v>1590</v>
      </c>
    </row>
    <row r="1409" spans="2:2">
      <c r="B1409" s="10" t="s">
        <v>1591</v>
      </c>
    </row>
    <row r="1410" spans="2:2">
      <c r="B1410" s="10" t="s">
        <v>1592</v>
      </c>
    </row>
    <row r="1411" spans="2:2">
      <c r="B1411" s="10" t="s">
        <v>1593</v>
      </c>
    </row>
    <row r="1412" spans="2:2">
      <c r="B1412" s="10" t="s">
        <v>1594</v>
      </c>
    </row>
    <row r="1413" spans="2:2">
      <c r="B1413" s="10" t="s">
        <v>1595</v>
      </c>
    </row>
    <row r="1414" spans="2:2">
      <c r="B1414" s="10" t="s">
        <v>1596</v>
      </c>
    </row>
    <row r="1415" spans="2:2">
      <c r="B1415" s="10" t="s">
        <v>1597</v>
      </c>
    </row>
    <row r="1416" spans="2:2">
      <c r="B1416" s="10" t="s">
        <v>1598</v>
      </c>
    </row>
    <row r="1417" spans="2:2">
      <c r="B1417" s="10" t="s">
        <v>1599</v>
      </c>
    </row>
    <row r="1418" spans="2:2">
      <c r="B1418" s="10" t="s">
        <v>1600</v>
      </c>
    </row>
    <row r="1419" spans="2:2">
      <c r="B1419" s="10" t="s">
        <v>1601</v>
      </c>
    </row>
    <row r="1420" spans="2:2">
      <c r="B1420" s="10" t="s">
        <v>1602</v>
      </c>
    </row>
    <row r="1421" spans="2:2">
      <c r="B1421" s="10" t="s">
        <v>1603</v>
      </c>
    </row>
    <row r="1422" spans="2:2">
      <c r="B1422" s="10" t="s">
        <v>1604</v>
      </c>
    </row>
    <row r="1423" spans="2:2">
      <c r="B1423" s="10" t="s">
        <v>1605</v>
      </c>
    </row>
    <row r="1424" spans="2:2">
      <c r="B1424" s="10" t="s">
        <v>1606</v>
      </c>
    </row>
    <row r="1425" spans="2:2">
      <c r="B1425" s="10" t="s">
        <v>1607</v>
      </c>
    </row>
    <row r="1426" spans="2:2">
      <c r="B1426" s="10" t="s">
        <v>1608</v>
      </c>
    </row>
    <row r="1427" spans="2:2">
      <c r="B1427" s="10" t="s">
        <v>1609</v>
      </c>
    </row>
    <row r="1428" spans="2:2">
      <c r="B1428" s="10" t="s">
        <v>1610</v>
      </c>
    </row>
    <row r="1429" spans="2:2">
      <c r="B1429" s="10" t="s">
        <v>1611</v>
      </c>
    </row>
    <row r="1430" spans="2:2">
      <c r="B1430" s="10" t="s">
        <v>1612</v>
      </c>
    </row>
    <row r="1431" spans="2:2">
      <c r="B1431" s="10" t="s">
        <v>1613</v>
      </c>
    </row>
    <row r="1432" spans="2:2">
      <c r="B1432" s="10" t="s">
        <v>1614</v>
      </c>
    </row>
    <row r="1433" spans="2:2">
      <c r="B1433" s="10" t="s">
        <v>1615</v>
      </c>
    </row>
    <row r="1434" spans="2:2">
      <c r="B1434" s="10" t="s">
        <v>1616</v>
      </c>
    </row>
    <row r="1435" spans="2:2">
      <c r="B1435" s="10" t="s">
        <v>1617</v>
      </c>
    </row>
    <row r="1436" spans="2:2">
      <c r="B1436" s="10" t="s">
        <v>1618</v>
      </c>
    </row>
    <row r="1437" spans="2:2">
      <c r="B1437" s="10" t="s">
        <v>1619</v>
      </c>
    </row>
    <row r="1438" spans="2:2">
      <c r="B1438" s="10" t="s">
        <v>1620</v>
      </c>
    </row>
    <row r="1439" spans="2:2">
      <c r="B1439" s="10" t="s">
        <v>1621</v>
      </c>
    </row>
    <row r="1440" spans="2:2">
      <c r="B1440" s="10" t="s">
        <v>1622</v>
      </c>
    </row>
    <row r="1441" spans="2:2">
      <c r="B1441" s="10" t="s">
        <v>1623</v>
      </c>
    </row>
    <row r="1442" spans="2:2">
      <c r="B1442" s="10" t="s">
        <v>1624</v>
      </c>
    </row>
    <row r="1443" spans="2:2">
      <c r="B1443" s="10" t="s">
        <v>1625</v>
      </c>
    </row>
    <row r="1444" spans="2:2">
      <c r="B1444" s="10" t="s">
        <v>1626</v>
      </c>
    </row>
    <row r="1445" spans="2:2">
      <c r="B1445" s="10" t="s">
        <v>1627</v>
      </c>
    </row>
    <row r="1446" spans="2:2">
      <c r="B1446" s="10" t="s">
        <v>1628</v>
      </c>
    </row>
    <row r="1447" spans="2:2">
      <c r="B1447" s="10" t="s">
        <v>1629</v>
      </c>
    </row>
    <row r="1448" spans="2:2">
      <c r="B1448" s="10" t="s">
        <v>1630</v>
      </c>
    </row>
    <row r="1449" spans="2:2">
      <c r="B1449" s="10" t="s">
        <v>1631</v>
      </c>
    </row>
    <row r="1450" spans="2:2">
      <c r="B1450" s="10" t="s">
        <v>1632</v>
      </c>
    </row>
    <row r="1451" spans="2:2">
      <c r="B1451" s="10" t="s">
        <v>1633</v>
      </c>
    </row>
    <row r="1452" spans="2:2">
      <c r="B1452" s="10" t="s">
        <v>1634</v>
      </c>
    </row>
    <row r="1453" spans="2:2">
      <c r="B1453" s="10" t="s">
        <v>1635</v>
      </c>
    </row>
    <row r="1454" spans="2:2">
      <c r="B1454" s="10" t="s">
        <v>1636</v>
      </c>
    </row>
    <row r="1455" spans="2:2">
      <c r="B1455" s="10" t="s">
        <v>1637</v>
      </c>
    </row>
    <row r="1456" spans="2:2">
      <c r="B1456" s="10" t="s">
        <v>1638</v>
      </c>
    </row>
    <row r="1457" spans="2:2">
      <c r="B1457" s="10" t="s">
        <v>1639</v>
      </c>
    </row>
    <row r="1458" spans="2:2">
      <c r="B1458" s="10" t="s">
        <v>1640</v>
      </c>
    </row>
    <row r="1459" spans="2:2">
      <c r="B1459" s="10" t="s">
        <v>1641</v>
      </c>
    </row>
    <row r="1460" spans="2:2">
      <c r="B1460" s="10" t="s">
        <v>1642</v>
      </c>
    </row>
    <row r="1461" spans="2:2">
      <c r="B1461" s="10" t="s">
        <v>1643</v>
      </c>
    </row>
    <row r="1462" spans="2:2">
      <c r="B1462" s="10" t="s">
        <v>1644</v>
      </c>
    </row>
    <row r="1463" spans="2:2">
      <c r="B1463" s="10" t="s">
        <v>1645</v>
      </c>
    </row>
    <row r="1464" spans="2:2">
      <c r="B1464" s="10" t="s">
        <v>1646</v>
      </c>
    </row>
    <row r="1465" spans="2:2">
      <c r="B1465" s="10" t="s">
        <v>1647</v>
      </c>
    </row>
    <row r="1466" spans="2:2">
      <c r="B1466" s="10" t="s">
        <v>1648</v>
      </c>
    </row>
    <row r="1467" spans="2:2">
      <c r="B1467" s="10" t="s">
        <v>1649</v>
      </c>
    </row>
    <row r="1468" spans="2:2">
      <c r="B1468" s="10" t="s">
        <v>1650</v>
      </c>
    </row>
    <row r="1469" spans="2:2">
      <c r="B1469" s="10" t="s">
        <v>1651</v>
      </c>
    </row>
    <row r="1470" spans="2:2">
      <c r="B1470" s="10" t="s">
        <v>1652</v>
      </c>
    </row>
    <row r="1471" spans="2:2">
      <c r="B1471" s="10" t="s">
        <v>1653</v>
      </c>
    </row>
    <row r="1472" spans="2:2">
      <c r="B1472" s="10" t="s">
        <v>1654</v>
      </c>
    </row>
    <row r="1473" spans="2:2">
      <c r="B1473" s="10" t="s">
        <v>1655</v>
      </c>
    </row>
    <row r="1474" spans="2:2">
      <c r="B1474" s="10" t="s">
        <v>1656</v>
      </c>
    </row>
    <row r="1475" spans="2:2">
      <c r="B1475" s="10" t="s">
        <v>1657</v>
      </c>
    </row>
    <row r="1476" spans="2:2">
      <c r="B1476" s="10" t="s">
        <v>1658</v>
      </c>
    </row>
    <row r="1477" spans="2:2">
      <c r="B1477" s="10" t="s">
        <v>1659</v>
      </c>
    </row>
    <row r="1478" spans="2:2">
      <c r="B1478" s="10" t="s">
        <v>1660</v>
      </c>
    </row>
    <row r="1479" spans="2:2">
      <c r="B1479" s="10" t="s">
        <v>1661</v>
      </c>
    </row>
    <row r="1480" spans="2:2">
      <c r="B1480" s="10" t="s">
        <v>1662</v>
      </c>
    </row>
    <row r="1481" spans="2:2">
      <c r="B1481" s="10" t="s">
        <v>1663</v>
      </c>
    </row>
    <row r="1482" spans="2:2">
      <c r="B1482" s="10" t="s">
        <v>1664</v>
      </c>
    </row>
    <row r="1483" spans="2:2">
      <c r="B1483" s="10" t="s">
        <v>1665</v>
      </c>
    </row>
    <row r="1484" spans="2:2">
      <c r="B1484" s="10" t="s">
        <v>1666</v>
      </c>
    </row>
    <row r="1485" spans="2:2">
      <c r="B1485" s="10" t="s">
        <v>1667</v>
      </c>
    </row>
    <row r="1486" spans="2:2">
      <c r="B1486" s="10" t="s">
        <v>1668</v>
      </c>
    </row>
    <row r="1487" spans="2:2">
      <c r="B1487" s="10" t="s">
        <v>1669</v>
      </c>
    </row>
    <row r="1488" spans="2:2">
      <c r="B1488" s="10" t="s">
        <v>1670</v>
      </c>
    </row>
    <row r="1489" spans="2:2">
      <c r="B1489" s="10" t="s">
        <v>1671</v>
      </c>
    </row>
    <row r="1490" spans="2:2">
      <c r="B1490" s="10" t="s">
        <v>1672</v>
      </c>
    </row>
    <row r="1491" spans="2:2">
      <c r="B1491" s="10" t="s">
        <v>1673</v>
      </c>
    </row>
    <row r="1492" spans="2:2">
      <c r="B1492" s="10" t="s">
        <v>1674</v>
      </c>
    </row>
    <row r="1493" spans="2:2">
      <c r="B1493" s="10" t="s">
        <v>1675</v>
      </c>
    </row>
    <row r="1494" spans="2:2">
      <c r="B1494" s="10" t="s">
        <v>1676</v>
      </c>
    </row>
    <row r="1495" spans="2:2">
      <c r="B1495" s="10" t="s">
        <v>1677</v>
      </c>
    </row>
    <row r="1496" spans="2:2">
      <c r="B1496" s="10" t="s">
        <v>1678</v>
      </c>
    </row>
    <row r="1497" spans="2:2">
      <c r="B1497" s="10" t="s">
        <v>1679</v>
      </c>
    </row>
    <row r="1498" spans="2:2">
      <c r="B1498" s="10" t="s">
        <v>1680</v>
      </c>
    </row>
    <row r="1499" spans="2:2">
      <c r="B1499" s="10" t="s">
        <v>1681</v>
      </c>
    </row>
    <row r="1500" spans="2:2">
      <c r="B1500" s="10" t="s">
        <v>1682</v>
      </c>
    </row>
    <row r="1501" spans="2:2">
      <c r="B1501" s="10" t="s">
        <v>1683</v>
      </c>
    </row>
    <row r="1502" spans="2:2">
      <c r="B1502" s="10" t="s">
        <v>1684</v>
      </c>
    </row>
    <row r="1503" spans="2:2">
      <c r="B1503" s="10" t="s">
        <v>1685</v>
      </c>
    </row>
    <row r="1504" spans="2:2">
      <c r="B1504" s="10" t="s">
        <v>1686</v>
      </c>
    </row>
    <row r="1505" spans="2:2">
      <c r="B1505" s="10" t="s">
        <v>1687</v>
      </c>
    </row>
    <row r="1506" spans="2:2">
      <c r="B1506" s="10" t="s">
        <v>1688</v>
      </c>
    </row>
    <row r="1507" spans="2:2">
      <c r="B1507" s="10" t="s">
        <v>1689</v>
      </c>
    </row>
    <row r="1508" spans="2:2">
      <c r="B1508" s="10" t="s">
        <v>1690</v>
      </c>
    </row>
    <row r="1509" spans="2:2">
      <c r="B1509" s="10" t="s">
        <v>1691</v>
      </c>
    </row>
    <row r="1510" spans="2:2">
      <c r="B1510" s="10" t="s">
        <v>1692</v>
      </c>
    </row>
    <row r="1511" spans="2:2">
      <c r="B1511" s="10" t="s">
        <v>1693</v>
      </c>
    </row>
    <row r="1512" spans="2:2">
      <c r="B1512" s="10" t="s">
        <v>1694</v>
      </c>
    </row>
    <row r="1513" spans="2:2">
      <c r="B1513" s="10" t="s">
        <v>1695</v>
      </c>
    </row>
    <row r="1514" spans="2:2">
      <c r="B1514" s="10" t="s">
        <v>1696</v>
      </c>
    </row>
    <row r="1515" spans="2:2">
      <c r="B1515" s="10" t="s">
        <v>1697</v>
      </c>
    </row>
    <row r="1516" spans="2:2">
      <c r="B1516" s="10" t="s">
        <v>1698</v>
      </c>
    </row>
    <row r="1517" spans="2:2">
      <c r="B1517" s="10" t="s">
        <v>1699</v>
      </c>
    </row>
    <row r="1518" spans="2:2">
      <c r="B1518" s="10" t="s">
        <v>1700</v>
      </c>
    </row>
    <row r="1519" spans="2:2">
      <c r="B1519" s="10" t="s">
        <v>1701</v>
      </c>
    </row>
    <row r="1520" spans="2:2">
      <c r="B1520" s="10" t="s">
        <v>1702</v>
      </c>
    </row>
    <row r="1521" spans="2:2">
      <c r="B1521" s="10" t="s">
        <v>1703</v>
      </c>
    </row>
    <row r="1522" spans="2:2">
      <c r="B1522" s="10" t="s">
        <v>1704</v>
      </c>
    </row>
    <row r="1523" spans="2:2">
      <c r="B1523" s="10" t="s">
        <v>1705</v>
      </c>
    </row>
    <row r="1524" spans="2:2">
      <c r="B1524" s="10" t="s">
        <v>1706</v>
      </c>
    </row>
    <row r="1525" spans="2:2">
      <c r="B1525" s="10" t="s">
        <v>1707</v>
      </c>
    </row>
    <row r="1526" spans="2:2">
      <c r="B1526" s="10" t="s">
        <v>1708</v>
      </c>
    </row>
    <row r="1527" spans="2:2">
      <c r="B1527" s="10" t="s">
        <v>1709</v>
      </c>
    </row>
    <row r="1528" spans="2:2">
      <c r="B1528" s="10" t="s">
        <v>1710</v>
      </c>
    </row>
    <row r="1529" spans="2:2">
      <c r="B1529" s="10" t="s">
        <v>1711</v>
      </c>
    </row>
    <row r="1530" spans="2:2">
      <c r="B1530" s="10" t="s">
        <v>1712</v>
      </c>
    </row>
    <row r="1531" spans="2:2">
      <c r="B1531" s="10" t="s">
        <v>1713</v>
      </c>
    </row>
    <row r="1532" spans="2:2">
      <c r="B1532" s="10" t="s">
        <v>1714</v>
      </c>
    </row>
    <row r="1533" spans="2:2">
      <c r="B1533" s="10" t="s">
        <v>1715</v>
      </c>
    </row>
    <row r="1534" spans="2:2">
      <c r="B1534" s="10" t="s">
        <v>1716</v>
      </c>
    </row>
    <row r="1535" spans="2:2">
      <c r="B1535" s="10" t="s">
        <v>1717</v>
      </c>
    </row>
    <row r="1536" spans="2:2">
      <c r="B1536" s="10" t="s">
        <v>1718</v>
      </c>
    </row>
    <row r="1537" spans="2:2">
      <c r="B1537" s="10" t="s">
        <v>1719</v>
      </c>
    </row>
    <row r="1538" spans="2:2">
      <c r="B1538" s="10" t="s">
        <v>1720</v>
      </c>
    </row>
    <row r="1539" spans="2:2">
      <c r="B1539" s="10" t="s">
        <v>1721</v>
      </c>
    </row>
    <row r="1540" spans="2:2">
      <c r="B1540" s="10" t="s">
        <v>1722</v>
      </c>
    </row>
    <row r="1541" spans="2:2">
      <c r="B1541" s="10" t="s">
        <v>1723</v>
      </c>
    </row>
    <row r="1542" spans="2:2">
      <c r="B1542" s="10" t="s">
        <v>1724</v>
      </c>
    </row>
    <row r="1543" spans="2:2">
      <c r="B1543" s="10" t="s">
        <v>1725</v>
      </c>
    </row>
    <row r="1544" spans="2:2">
      <c r="B1544" s="10" t="s">
        <v>1726</v>
      </c>
    </row>
    <row r="1545" spans="2:2">
      <c r="B1545" s="10" t="s">
        <v>1727</v>
      </c>
    </row>
    <row r="1546" spans="2:2">
      <c r="B1546" s="10" t="s">
        <v>1728</v>
      </c>
    </row>
    <row r="1547" spans="2:2">
      <c r="B1547" s="10" t="s">
        <v>1729</v>
      </c>
    </row>
    <row r="1548" spans="2:2">
      <c r="B1548" s="10" t="s">
        <v>1730</v>
      </c>
    </row>
    <row r="1549" spans="2:2">
      <c r="B1549" s="10" t="s">
        <v>1731</v>
      </c>
    </row>
    <row r="1550" spans="2:2">
      <c r="B1550" s="10" t="s">
        <v>1732</v>
      </c>
    </row>
    <row r="1551" spans="2:2">
      <c r="B1551" s="10" t="s">
        <v>1733</v>
      </c>
    </row>
    <row r="1552" spans="2:2">
      <c r="B1552" s="10" t="s">
        <v>1734</v>
      </c>
    </row>
    <row r="1553" spans="2:2">
      <c r="B1553" s="10" t="s">
        <v>1735</v>
      </c>
    </row>
    <row r="1554" spans="2:2">
      <c r="B1554" s="10" t="s">
        <v>1736</v>
      </c>
    </row>
    <row r="1555" spans="2:2">
      <c r="B1555" s="10" t="s">
        <v>1737</v>
      </c>
    </row>
    <row r="1556" spans="2:2">
      <c r="B1556" s="10" t="s">
        <v>1738</v>
      </c>
    </row>
    <row r="1557" spans="2:2">
      <c r="B1557" s="10" t="s">
        <v>1739</v>
      </c>
    </row>
    <row r="1558" spans="2:2">
      <c r="B1558" s="10" t="s">
        <v>1740</v>
      </c>
    </row>
    <row r="1559" spans="2:2">
      <c r="B1559" s="10" t="s">
        <v>1741</v>
      </c>
    </row>
    <row r="1560" spans="2:2">
      <c r="B1560" s="10" t="s">
        <v>1742</v>
      </c>
    </row>
    <row r="1561" spans="2:2">
      <c r="B1561" s="10" t="s">
        <v>1743</v>
      </c>
    </row>
    <row r="1562" spans="2:2">
      <c r="B1562" s="10" t="s">
        <v>1744</v>
      </c>
    </row>
    <row r="1563" spans="2:2">
      <c r="B1563" s="10" t="s">
        <v>1745</v>
      </c>
    </row>
    <row r="1564" spans="2:2">
      <c r="B1564" s="10" t="s">
        <v>1746</v>
      </c>
    </row>
    <row r="1565" spans="2:2">
      <c r="B1565" s="10" t="s">
        <v>1747</v>
      </c>
    </row>
    <row r="1566" spans="2:2">
      <c r="B1566" s="10" t="s">
        <v>1748</v>
      </c>
    </row>
    <row r="1567" spans="2:2">
      <c r="B1567" s="10" t="s">
        <v>1749</v>
      </c>
    </row>
    <row r="1568" spans="2:2">
      <c r="B1568" s="10" t="s">
        <v>1750</v>
      </c>
    </row>
    <row r="1569" spans="2:2">
      <c r="B1569" s="10" t="s">
        <v>1751</v>
      </c>
    </row>
    <row r="1570" spans="2:2">
      <c r="B1570" s="10" t="s">
        <v>1752</v>
      </c>
    </row>
    <row r="1571" spans="2:2">
      <c r="B1571" s="10" t="s">
        <v>1753</v>
      </c>
    </row>
    <row r="1572" spans="2:2">
      <c r="B1572" s="10" t="s">
        <v>1754</v>
      </c>
    </row>
    <row r="1573" spans="2:2">
      <c r="B1573" s="10" t="s">
        <v>1755</v>
      </c>
    </row>
    <row r="1574" spans="2:2">
      <c r="B1574" s="10" t="s">
        <v>1756</v>
      </c>
    </row>
    <row r="1575" spans="2:2">
      <c r="B1575" s="10" t="s">
        <v>1757</v>
      </c>
    </row>
    <row r="1576" spans="2:2">
      <c r="B1576" s="10" t="s">
        <v>1758</v>
      </c>
    </row>
    <row r="1577" spans="2:2">
      <c r="B1577" s="10" t="s">
        <v>1759</v>
      </c>
    </row>
    <row r="1578" spans="2:2">
      <c r="B1578" s="10" t="s">
        <v>1760</v>
      </c>
    </row>
    <row r="1579" spans="2:2">
      <c r="B1579" s="10" t="s">
        <v>1761</v>
      </c>
    </row>
    <row r="1580" spans="2:2">
      <c r="B1580" s="10" t="s">
        <v>1762</v>
      </c>
    </row>
    <row r="1581" spans="2:2">
      <c r="B1581" s="10" t="s">
        <v>1763</v>
      </c>
    </row>
    <row r="1582" spans="2:2">
      <c r="B1582" s="10" t="s">
        <v>1764</v>
      </c>
    </row>
    <row r="1583" spans="2:2">
      <c r="B1583" s="10" t="s">
        <v>1765</v>
      </c>
    </row>
    <row r="1584" spans="2:2">
      <c r="B1584" s="10" t="s">
        <v>1766</v>
      </c>
    </row>
    <row r="1585" spans="2:2">
      <c r="B1585" s="10" t="s">
        <v>1767</v>
      </c>
    </row>
    <row r="1586" spans="2:2">
      <c r="B1586" s="10" t="s">
        <v>1768</v>
      </c>
    </row>
    <row r="1587" spans="2:2">
      <c r="B1587" s="10" t="s">
        <v>1769</v>
      </c>
    </row>
    <row r="1588" spans="2:2">
      <c r="B1588" s="10" t="s">
        <v>1770</v>
      </c>
    </row>
    <row r="1589" spans="2:2">
      <c r="B1589" s="10" t="s">
        <v>1771</v>
      </c>
    </row>
    <row r="1590" spans="2:2">
      <c r="B1590" s="10" t="s">
        <v>1772</v>
      </c>
    </row>
    <row r="1591" spans="2:2">
      <c r="B1591" s="10" t="s">
        <v>1773</v>
      </c>
    </row>
    <row r="1592" spans="2:2">
      <c r="B1592" s="10" t="s">
        <v>1774</v>
      </c>
    </row>
    <row r="1593" spans="2:2">
      <c r="B1593" s="10" t="s">
        <v>1775</v>
      </c>
    </row>
    <row r="1594" spans="2:2">
      <c r="B1594" s="10" t="s">
        <v>1776</v>
      </c>
    </row>
    <row r="1595" spans="2:2">
      <c r="B1595" s="10" t="s">
        <v>1777</v>
      </c>
    </row>
    <row r="1596" spans="2:2">
      <c r="B1596" s="10" t="s">
        <v>1778</v>
      </c>
    </row>
    <row r="1597" spans="2:2">
      <c r="B1597" s="10" t="s">
        <v>1779</v>
      </c>
    </row>
    <row r="1598" spans="2:2">
      <c r="B1598" s="10" t="s">
        <v>1780</v>
      </c>
    </row>
    <row r="1599" spans="2:2">
      <c r="B1599" s="10" t="s">
        <v>1781</v>
      </c>
    </row>
    <row r="1600" spans="2:2">
      <c r="B1600" s="10" t="s">
        <v>1782</v>
      </c>
    </row>
    <row r="1601" spans="2:2">
      <c r="B1601" s="10" t="s">
        <v>1783</v>
      </c>
    </row>
    <row r="1602" spans="2:2">
      <c r="B1602" s="10" t="s">
        <v>1784</v>
      </c>
    </row>
    <row r="1603" spans="2:2">
      <c r="B1603" s="10" t="s">
        <v>1785</v>
      </c>
    </row>
    <row r="1604" spans="2:2">
      <c r="B1604" s="10" t="s">
        <v>1786</v>
      </c>
    </row>
    <row r="1605" spans="2:2">
      <c r="B1605" s="10" t="s">
        <v>1787</v>
      </c>
    </row>
    <row r="1606" spans="2:2">
      <c r="B1606" s="10" t="s">
        <v>1788</v>
      </c>
    </row>
    <row r="1607" spans="2:2">
      <c r="B1607" s="10" t="s">
        <v>1789</v>
      </c>
    </row>
    <row r="1608" spans="2:2">
      <c r="B1608" s="10" t="s">
        <v>1790</v>
      </c>
    </row>
    <row r="1609" spans="2:2">
      <c r="B1609" s="10" t="s">
        <v>1791</v>
      </c>
    </row>
    <row r="1610" spans="2:2">
      <c r="B1610" s="10" t="s">
        <v>1792</v>
      </c>
    </row>
    <row r="1611" spans="2:2">
      <c r="B1611" s="10" t="s">
        <v>1793</v>
      </c>
    </row>
    <row r="1612" spans="2:2">
      <c r="B1612" s="10" t="s">
        <v>1794</v>
      </c>
    </row>
    <row r="1613" spans="2:2">
      <c r="B1613" s="10" t="s">
        <v>1795</v>
      </c>
    </row>
    <row r="1614" spans="2:2">
      <c r="B1614" s="10" t="s">
        <v>1796</v>
      </c>
    </row>
    <row r="1615" spans="2:2">
      <c r="B1615" s="10" t="s">
        <v>1797</v>
      </c>
    </row>
    <row r="1616" spans="2:2">
      <c r="B1616" s="10" t="s">
        <v>1798</v>
      </c>
    </row>
    <row r="1617" spans="2:2">
      <c r="B1617" s="10" t="s">
        <v>1799</v>
      </c>
    </row>
    <row r="1618" spans="2:2">
      <c r="B1618" s="10" t="s">
        <v>1800</v>
      </c>
    </row>
    <row r="1619" spans="2:2">
      <c r="B1619" s="10" t="s">
        <v>1801</v>
      </c>
    </row>
    <row r="1620" spans="2:2">
      <c r="B1620" s="10" t="s">
        <v>1802</v>
      </c>
    </row>
    <row r="1621" spans="2:2">
      <c r="B1621" s="10" t="s">
        <v>1803</v>
      </c>
    </row>
    <row r="1622" spans="2:2">
      <c r="B1622" s="10" t="s">
        <v>1804</v>
      </c>
    </row>
    <row r="1623" spans="2:2">
      <c r="B1623" s="10" t="s">
        <v>1805</v>
      </c>
    </row>
    <row r="1624" spans="2:2">
      <c r="B1624" s="10" t="s">
        <v>1806</v>
      </c>
    </row>
    <row r="1625" spans="2:2">
      <c r="B1625" s="10" t="s">
        <v>1807</v>
      </c>
    </row>
    <row r="1626" spans="2:2">
      <c r="B1626" s="10" t="s">
        <v>1808</v>
      </c>
    </row>
    <row r="1627" spans="2:2">
      <c r="B1627" s="10" t="s">
        <v>1809</v>
      </c>
    </row>
    <row r="1628" spans="2:2">
      <c r="B1628" s="10" t="s">
        <v>1810</v>
      </c>
    </row>
    <row r="1629" spans="2:2">
      <c r="B1629" s="10" t="s">
        <v>1811</v>
      </c>
    </row>
    <row r="1630" spans="2:2">
      <c r="B1630" s="10" t="s">
        <v>1812</v>
      </c>
    </row>
    <row r="1631" spans="2:2">
      <c r="B1631" s="10" t="s">
        <v>1813</v>
      </c>
    </row>
    <row r="1632" spans="2:2">
      <c r="B1632" s="10" t="s">
        <v>1814</v>
      </c>
    </row>
    <row r="1633" spans="2:2">
      <c r="B1633" s="10" t="s">
        <v>1815</v>
      </c>
    </row>
    <row r="1634" spans="2:2">
      <c r="B1634" s="10" t="s">
        <v>1816</v>
      </c>
    </row>
    <row r="1635" spans="2:2">
      <c r="B1635" s="10" t="s">
        <v>1817</v>
      </c>
    </row>
    <row r="1636" spans="2:2">
      <c r="B1636" s="10" t="s">
        <v>1818</v>
      </c>
    </row>
    <row r="1637" spans="2:2">
      <c r="B1637" s="10" t="s">
        <v>1819</v>
      </c>
    </row>
    <row r="1638" spans="2:2">
      <c r="B1638" s="10" t="s">
        <v>1820</v>
      </c>
    </row>
    <row r="1639" spans="2:2">
      <c r="B1639" s="10" t="s">
        <v>1821</v>
      </c>
    </row>
    <row r="1640" spans="2:2">
      <c r="B1640" s="10" t="s">
        <v>1822</v>
      </c>
    </row>
    <row r="1641" spans="2:2">
      <c r="B1641" s="10" t="s">
        <v>1823</v>
      </c>
    </row>
    <row r="1642" spans="2:2">
      <c r="B1642" s="10" t="s">
        <v>1824</v>
      </c>
    </row>
    <row r="1643" spans="2:2">
      <c r="B1643" s="10" t="s">
        <v>1825</v>
      </c>
    </row>
    <row r="1644" spans="2:2">
      <c r="B1644" s="10" t="s">
        <v>1826</v>
      </c>
    </row>
    <row r="1645" spans="2:2">
      <c r="B1645" s="10" t="s">
        <v>1827</v>
      </c>
    </row>
    <row r="1646" spans="2:2">
      <c r="B1646" s="10" t="s">
        <v>1828</v>
      </c>
    </row>
    <row r="1647" spans="2:2">
      <c r="B1647" s="10" t="s">
        <v>1829</v>
      </c>
    </row>
    <row r="1648" spans="2:2">
      <c r="B1648" s="10" t="s">
        <v>1830</v>
      </c>
    </row>
    <row r="1649" spans="2:2">
      <c r="B1649" s="10" t="s">
        <v>1831</v>
      </c>
    </row>
    <row r="1650" spans="2:2">
      <c r="B1650" s="10" t="s">
        <v>1832</v>
      </c>
    </row>
    <row r="1651" spans="2:2">
      <c r="B1651" s="10" t="s">
        <v>1833</v>
      </c>
    </row>
    <row r="1652" spans="2:2">
      <c r="B1652" s="10" t="s">
        <v>1834</v>
      </c>
    </row>
    <row r="1653" spans="2:2">
      <c r="B1653" s="10" t="s">
        <v>1835</v>
      </c>
    </row>
    <row r="1654" spans="2:2">
      <c r="B1654" s="10" t="s">
        <v>1836</v>
      </c>
    </row>
    <row r="1655" spans="2:2">
      <c r="B1655" s="10" t="s">
        <v>1837</v>
      </c>
    </row>
    <row r="1656" spans="2:2">
      <c r="B1656" s="10" t="s">
        <v>1838</v>
      </c>
    </row>
    <row r="1657" spans="2:2">
      <c r="B1657" s="10" t="s">
        <v>1839</v>
      </c>
    </row>
    <row r="1658" spans="2:2">
      <c r="B1658" s="10" t="s">
        <v>1840</v>
      </c>
    </row>
    <row r="1659" spans="2:2">
      <c r="B1659" s="10" t="s">
        <v>1841</v>
      </c>
    </row>
    <row r="1660" spans="2:2">
      <c r="B1660" s="10" t="s">
        <v>1842</v>
      </c>
    </row>
    <row r="1661" spans="2:2">
      <c r="B1661" s="10" t="s">
        <v>1843</v>
      </c>
    </row>
    <row r="1662" spans="2:2">
      <c r="B1662" s="10" t="s">
        <v>1844</v>
      </c>
    </row>
    <row r="1663" spans="2:2">
      <c r="B1663" s="10" t="s">
        <v>1845</v>
      </c>
    </row>
    <row r="1664" spans="2:2">
      <c r="B1664" s="10" t="s">
        <v>1846</v>
      </c>
    </row>
    <row r="1665" spans="2:2">
      <c r="B1665" s="10" t="s">
        <v>1847</v>
      </c>
    </row>
    <row r="1666" spans="2:2">
      <c r="B1666" s="10" t="s">
        <v>1848</v>
      </c>
    </row>
    <row r="1667" spans="2:2">
      <c r="B1667" s="10" t="s">
        <v>1849</v>
      </c>
    </row>
    <row r="1668" spans="2:2">
      <c r="B1668" s="10" t="s">
        <v>1850</v>
      </c>
    </row>
    <row r="1669" spans="2:2">
      <c r="B1669" s="10" t="s">
        <v>1851</v>
      </c>
    </row>
    <row r="1670" spans="2:2">
      <c r="B1670" s="10" t="s">
        <v>1852</v>
      </c>
    </row>
    <row r="1671" spans="2:2">
      <c r="B1671" s="10" t="s">
        <v>1853</v>
      </c>
    </row>
    <row r="1672" spans="2:2">
      <c r="B1672" s="10" t="s">
        <v>1854</v>
      </c>
    </row>
    <row r="1673" spans="2:2">
      <c r="B1673" s="10" t="s">
        <v>1855</v>
      </c>
    </row>
    <row r="1674" spans="2:2">
      <c r="B1674" s="10" t="s">
        <v>1856</v>
      </c>
    </row>
    <row r="1675" spans="2:2">
      <c r="B1675" s="10" t="s">
        <v>1857</v>
      </c>
    </row>
    <row r="1676" spans="2:2">
      <c r="B1676" s="10" t="s">
        <v>1858</v>
      </c>
    </row>
    <row r="1677" spans="2:2">
      <c r="B1677" s="10" t="s">
        <v>1859</v>
      </c>
    </row>
    <row r="1678" spans="2:2">
      <c r="B1678" s="10" t="s">
        <v>1860</v>
      </c>
    </row>
    <row r="1679" spans="2:2">
      <c r="B1679" s="10" t="s">
        <v>1861</v>
      </c>
    </row>
    <row r="1680" spans="2:2">
      <c r="B1680" s="10" t="s">
        <v>1862</v>
      </c>
    </row>
    <row r="1681" spans="2:2">
      <c r="B1681" s="10" t="s">
        <v>1863</v>
      </c>
    </row>
    <row r="1682" spans="2:2">
      <c r="B1682" s="10" t="s">
        <v>1864</v>
      </c>
    </row>
    <row r="1683" spans="2:2">
      <c r="B1683" s="10" t="s">
        <v>1865</v>
      </c>
    </row>
    <row r="1684" spans="2:2">
      <c r="B1684" s="10" t="s">
        <v>1866</v>
      </c>
    </row>
    <row r="1685" spans="2:2">
      <c r="B1685" s="10" t="s">
        <v>1867</v>
      </c>
    </row>
    <row r="1686" spans="2:2">
      <c r="B1686" s="10" t="s">
        <v>1868</v>
      </c>
    </row>
    <row r="1687" spans="2:2">
      <c r="B1687" s="10" t="s">
        <v>1869</v>
      </c>
    </row>
    <row r="1688" spans="2:2">
      <c r="B1688" s="10" t="s">
        <v>1870</v>
      </c>
    </row>
    <row r="1689" spans="2:2">
      <c r="B1689" s="10" t="s">
        <v>1871</v>
      </c>
    </row>
    <row r="1690" spans="2:2">
      <c r="B1690" s="10" t="s">
        <v>1872</v>
      </c>
    </row>
    <row r="1691" spans="2:2">
      <c r="B1691" s="10" t="s">
        <v>1873</v>
      </c>
    </row>
    <row r="1692" spans="2:2">
      <c r="B1692" s="10" t="s">
        <v>1874</v>
      </c>
    </row>
    <row r="1693" spans="2:2">
      <c r="B1693" s="10" t="s">
        <v>1875</v>
      </c>
    </row>
    <row r="1694" spans="2:2">
      <c r="B1694" s="10" t="s">
        <v>1876</v>
      </c>
    </row>
    <row r="1695" spans="2:2">
      <c r="B1695" s="10" t="s">
        <v>1877</v>
      </c>
    </row>
    <row r="1696" spans="2:2">
      <c r="B1696" s="10" t="s">
        <v>1878</v>
      </c>
    </row>
    <row r="1697" spans="2:2">
      <c r="B1697" s="10" t="s">
        <v>1879</v>
      </c>
    </row>
    <row r="1698" spans="2:2">
      <c r="B1698" s="10" t="s">
        <v>1880</v>
      </c>
    </row>
    <row r="1699" spans="2:2">
      <c r="B1699" s="10" t="s">
        <v>1881</v>
      </c>
    </row>
    <row r="1700" spans="2:2">
      <c r="B1700" s="10" t="s">
        <v>1882</v>
      </c>
    </row>
    <row r="1701" spans="2:2">
      <c r="B1701" s="10" t="s">
        <v>1883</v>
      </c>
    </row>
    <row r="1702" spans="2:2">
      <c r="B1702" s="10" t="s">
        <v>1884</v>
      </c>
    </row>
    <row r="1703" spans="2:2">
      <c r="B1703" s="10" t="s">
        <v>1885</v>
      </c>
    </row>
    <row r="1704" spans="2:2">
      <c r="B1704" s="10" t="s">
        <v>1886</v>
      </c>
    </row>
    <row r="1705" spans="2:2">
      <c r="B1705" s="10" t="s">
        <v>1887</v>
      </c>
    </row>
    <row r="1706" spans="2:2">
      <c r="B1706" s="10" t="s">
        <v>1888</v>
      </c>
    </row>
    <row r="1707" spans="2:2">
      <c r="B1707" s="10" t="s">
        <v>1889</v>
      </c>
    </row>
    <row r="1708" spans="2:2">
      <c r="B1708" s="10" t="s">
        <v>1890</v>
      </c>
    </row>
    <row r="1709" spans="2:2">
      <c r="B1709" s="10" t="s">
        <v>1891</v>
      </c>
    </row>
    <row r="1710" spans="2:2">
      <c r="B1710" s="10" t="s">
        <v>1892</v>
      </c>
    </row>
    <row r="1711" spans="2:2">
      <c r="B1711" s="10" t="s">
        <v>1893</v>
      </c>
    </row>
    <row r="1712" spans="2:2">
      <c r="B1712" s="10" t="s">
        <v>1894</v>
      </c>
    </row>
    <row r="1713" spans="2:2">
      <c r="B1713" s="10" t="s">
        <v>1895</v>
      </c>
    </row>
    <row r="1714" spans="2:2">
      <c r="B1714" s="10" t="s">
        <v>1896</v>
      </c>
    </row>
    <row r="1715" spans="2:2">
      <c r="B1715" s="10" t="s">
        <v>1897</v>
      </c>
    </row>
    <row r="1716" spans="2:2">
      <c r="B1716" s="10" t="s">
        <v>1898</v>
      </c>
    </row>
    <row r="1717" spans="2:2">
      <c r="B1717" s="10" t="s">
        <v>1899</v>
      </c>
    </row>
    <row r="1718" spans="2:2">
      <c r="B1718" s="10" t="s">
        <v>1900</v>
      </c>
    </row>
    <row r="1719" spans="2:2">
      <c r="B1719" s="10" t="s">
        <v>1901</v>
      </c>
    </row>
    <row r="1720" spans="2:2">
      <c r="B1720" s="10" t="s">
        <v>1902</v>
      </c>
    </row>
    <row r="1721" spans="2:2">
      <c r="B1721" s="10" t="s">
        <v>1903</v>
      </c>
    </row>
    <row r="1722" spans="2:2">
      <c r="B1722" s="10" t="s">
        <v>1904</v>
      </c>
    </row>
    <row r="1723" spans="2:2">
      <c r="B1723" s="10" t="s">
        <v>1905</v>
      </c>
    </row>
    <row r="1724" spans="2:2">
      <c r="B1724" s="10" t="s">
        <v>1906</v>
      </c>
    </row>
    <row r="1725" spans="2:2">
      <c r="B1725" s="10" t="s">
        <v>1907</v>
      </c>
    </row>
    <row r="1726" spans="2:2">
      <c r="B1726" s="10" t="s">
        <v>1908</v>
      </c>
    </row>
    <row r="1727" spans="2:2">
      <c r="B1727" s="10" t="s">
        <v>1909</v>
      </c>
    </row>
    <row r="1728" spans="2:2">
      <c r="B1728" s="10" t="s">
        <v>1910</v>
      </c>
    </row>
    <row r="1729" spans="2:2">
      <c r="B1729" s="10" t="s">
        <v>1911</v>
      </c>
    </row>
    <row r="1730" spans="2:2">
      <c r="B1730" s="10" t="s">
        <v>1912</v>
      </c>
    </row>
    <row r="1731" spans="2:2">
      <c r="B1731" s="10" t="s">
        <v>1913</v>
      </c>
    </row>
    <row r="1732" spans="2:2">
      <c r="B1732" s="10" t="s">
        <v>1914</v>
      </c>
    </row>
    <row r="1733" spans="2:2">
      <c r="B1733" s="10" t="s">
        <v>1915</v>
      </c>
    </row>
    <row r="1734" spans="2:2">
      <c r="B1734" s="10" t="s">
        <v>1916</v>
      </c>
    </row>
    <row r="1735" spans="2:2">
      <c r="B1735" s="10" t="s">
        <v>1917</v>
      </c>
    </row>
    <row r="1736" spans="2:2">
      <c r="B1736" s="10" t="s">
        <v>1918</v>
      </c>
    </row>
    <row r="1737" spans="2:2">
      <c r="B1737" s="10" t="s">
        <v>1919</v>
      </c>
    </row>
    <row r="1738" spans="2:2">
      <c r="B1738" s="10" t="s">
        <v>1920</v>
      </c>
    </row>
    <row r="1739" spans="2:2">
      <c r="B1739" s="10" t="s">
        <v>1921</v>
      </c>
    </row>
    <row r="1740" spans="2:2">
      <c r="B1740" s="10" t="s">
        <v>1922</v>
      </c>
    </row>
    <row r="1741" spans="2:2">
      <c r="B1741" s="10" t="s">
        <v>1923</v>
      </c>
    </row>
    <row r="1742" spans="2:2">
      <c r="B1742" s="10" t="s">
        <v>1924</v>
      </c>
    </row>
    <row r="1743" spans="2:2">
      <c r="B1743" s="10" t="s">
        <v>1925</v>
      </c>
    </row>
    <row r="1744" spans="2:2">
      <c r="B1744" s="10" t="s">
        <v>1926</v>
      </c>
    </row>
    <row r="1745" spans="2:2">
      <c r="B1745" s="10" t="s">
        <v>1927</v>
      </c>
    </row>
    <row r="1746" spans="2:2">
      <c r="B1746" s="10" t="s">
        <v>1928</v>
      </c>
    </row>
    <row r="1747" spans="2:2">
      <c r="B1747" s="10" t="s">
        <v>1929</v>
      </c>
    </row>
    <row r="1748" spans="2:2">
      <c r="B1748" s="10" t="s">
        <v>1930</v>
      </c>
    </row>
    <row r="1749" spans="2:2">
      <c r="B1749" s="10" t="s">
        <v>1931</v>
      </c>
    </row>
    <row r="1750" spans="2:2">
      <c r="B1750" s="10" t="s">
        <v>1932</v>
      </c>
    </row>
    <row r="1751" spans="2:2">
      <c r="B1751" s="10" t="s">
        <v>1933</v>
      </c>
    </row>
    <row r="1752" spans="2:2">
      <c r="B1752" s="10" t="s">
        <v>1934</v>
      </c>
    </row>
    <row r="1753" spans="2:2">
      <c r="B1753" s="10" t="s">
        <v>1935</v>
      </c>
    </row>
    <row r="1754" spans="2:2">
      <c r="B1754" s="10" t="s">
        <v>1936</v>
      </c>
    </row>
    <row r="1755" spans="2:2">
      <c r="B1755" s="10" t="s">
        <v>1937</v>
      </c>
    </row>
    <row r="1756" spans="2:2">
      <c r="B1756" s="10" t="s">
        <v>1938</v>
      </c>
    </row>
    <row r="1757" spans="2:2">
      <c r="B1757" s="10" t="s">
        <v>1939</v>
      </c>
    </row>
    <row r="1758" spans="2:2">
      <c r="B1758" s="10" t="s">
        <v>1940</v>
      </c>
    </row>
    <row r="1759" spans="2:2">
      <c r="B1759" s="10" t="s">
        <v>1941</v>
      </c>
    </row>
    <row r="1760" spans="2:2">
      <c r="B1760" s="10" t="s">
        <v>1942</v>
      </c>
    </row>
    <row r="1761" spans="2:2">
      <c r="B1761" s="10" t="s">
        <v>1943</v>
      </c>
    </row>
    <row r="1762" spans="2:2">
      <c r="B1762" s="10" t="s">
        <v>1944</v>
      </c>
    </row>
    <row r="1763" spans="2:2">
      <c r="B1763" s="10" t="s">
        <v>1945</v>
      </c>
    </row>
    <row r="1764" spans="2:2">
      <c r="B1764" s="10" t="s">
        <v>1946</v>
      </c>
    </row>
    <row r="1765" spans="2:2">
      <c r="B1765" s="10" t="s">
        <v>1947</v>
      </c>
    </row>
    <row r="1766" spans="2:2">
      <c r="B1766" s="10" t="s">
        <v>1948</v>
      </c>
    </row>
    <row r="1767" spans="2:2">
      <c r="B1767" s="10" t="s">
        <v>1949</v>
      </c>
    </row>
    <row r="1768" spans="2:2">
      <c r="B1768" s="10" t="s">
        <v>1950</v>
      </c>
    </row>
    <row r="1769" spans="2:2">
      <c r="B1769" s="10" t="s">
        <v>1951</v>
      </c>
    </row>
    <row r="1770" spans="2:2">
      <c r="B1770" s="10" t="s">
        <v>1952</v>
      </c>
    </row>
    <row r="1771" spans="2:2">
      <c r="B1771" s="10" t="s">
        <v>1953</v>
      </c>
    </row>
    <row r="1772" spans="2:2">
      <c r="B1772" s="10" t="s">
        <v>1954</v>
      </c>
    </row>
    <row r="1773" spans="2:2">
      <c r="B1773" s="10" t="s">
        <v>1955</v>
      </c>
    </row>
    <row r="1774" spans="2:2">
      <c r="B1774" s="10" t="s">
        <v>1956</v>
      </c>
    </row>
    <row r="1775" spans="2:2">
      <c r="B1775" s="10" t="s">
        <v>1957</v>
      </c>
    </row>
    <row r="1776" spans="2:2">
      <c r="B1776" s="10" t="s">
        <v>1958</v>
      </c>
    </row>
    <row r="1777" spans="2:2">
      <c r="B1777" s="10" t="s">
        <v>1959</v>
      </c>
    </row>
    <row r="1778" spans="2:2">
      <c r="B1778" s="10" t="s">
        <v>1960</v>
      </c>
    </row>
    <row r="1779" spans="2:2">
      <c r="B1779" s="10" t="s">
        <v>1961</v>
      </c>
    </row>
    <row r="1780" spans="2:2">
      <c r="B1780" s="10" t="s">
        <v>1962</v>
      </c>
    </row>
    <row r="1781" spans="2:2">
      <c r="B1781" s="10" t="s">
        <v>1963</v>
      </c>
    </row>
    <row r="1782" spans="2:2">
      <c r="B1782" s="10" t="s">
        <v>1964</v>
      </c>
    </row>
    <row r="1783" spans="2:2">
      <c r="B1783" s="10" t="s">
        <v>1965</v>
      </c>
    </row>
    <row r="1784" spans="2:2">
      <c r="B1784" s="10" t="s">
        <v>1966</v>
      </c>
    </row>
    <row r="1785" spans="2:2">
      <c r="B1785" s="10" t="s">
        <v>1967</v>
      </c>
    </row>
    <row r="1786" spans="2:2">
      <c r="B1786" s="10" t="s">
        <v>1968</v>
      </c>
    </row>
    <row r="1787" spans="2:2">
      <c r="B1787" s="10" t="s">
        <v>1969</v>
      </c>
    </row>
    <row r="1788" spans="2:2">
      <c r="B1788" s="10" t="s">
        <v>1970</v>
      </c>
    </row>
    <row r="1789" spans="2:2">
      <c r="B1789" s="10" t="s">
        <v>1971</v>
      </c>
    </row>
    <row r="1790" spans="2:2">
      <c r="B1790" s="10" t="s">
        <v>1972</v>
      </c>
    </row>
    <row r="1791" spans="2:2">
      <c r="B1791" s="10" t="s">
        <v>1973</v>
      </c>
    </row>
    <row r="1792" spans="2:2">
      <c r="B1792" s="10" t="s">
        <v>1974</v>
      </c>
    </row>
    <row r="1793" spans="2:2">
      <c r="B1793" s="10" t="s">
        <v>1975</v>
      </c>
    </row>
    <row r="1794" spans="2:2">
      <c r="B1794" s="10" t="s">
        <v>1976</v>
      </c>
    </row>
    <row r="1795" spans="2:2">
      <c r="B1795" s="10" t="s">
        <v>1977</v>
      </c>
    </row>
    <row r="1796" spans="2:2">
      <c r="B1796" s="10" t="s">
        <v>1978</v>
      </c>
    </row>
    <row r="1797" spans="2:2">
      <c r="B1797" s="10" t="s">
        <v>1979</v>
      </c>
    </row>
    <row r="1798" spans="2:2">
      <c r="B1798" s="10" t="s">
        <v>1980</v>
      </c>
    </row>
    <row r="1799" spans="2:2">
      <c r="B1799" s="10" t="s">
        <v>1981</v>
      </c>
    </row>
    <row r="1800" spans="2:2">
      <c r="B1800" s="10" t="s">
        <v>1982</v>
      </c>
    </row>
    <row r="1801" spans="2:2">
      <c r="B1801" s="10" t="s">
        <v>1983</v>
      </c>
    </row>
    <row r="1802" spans="2:2">
      <c r="B1802" s="10" t="s">
        <v>1984</v>
      </c>
    </row>
    <row r="1803" spans="2:2">
      <c r="B1803" s="10" t="s">
        <v>1985</v>
      </c>
    </row>
    <row r="1804" spans="2:2">
      <c r="B1804" s="10" t="s">
        <v>1986</v>
      </c>
    </row>
    <row r="1805" spans="2:2">
      <c r="B1805" s="10" t="s">
        <v>1987</v>
      </c>
    </row>
    <row r="1806" spans="2:2">
      <c r="B1806" s="10" t="s">
        <v>1988</v>
      </c>
    </row>
    <row r="1807" spans="2:2">
      <c r="B1807" s="10" t="s">
        <v>1989</v>
      </c>
    </row>
    <row r="1808" spans="2:2">
      <c r="B1808" s="10" t="s">
        <v>1990</v>
      </c>
    </row>
    <row r="1809" spans="2:2">
      <c r="B1809" s="10" t="s">
        <v>1991</v>
      </c>
    </row>
    <row r="1810" spans="2:2">
      <c r="B1810" s="10" t="s">
        <v>1992</v>
      </c>
    </row>
    <row r="1811" spans="2:2">
      <c r="B1811" s="10" t="s">
        <v>1993</v>
      </c>
    </row>
    <row r="1812" spans="2:2">
      <c r="B1812" s="10" t="s">
        <v>1994</v>
      </c>
    </row>
    <row r="1813" spans="2:2">
      <c r="B1813" s="10" t="s">
        <v>1995</v>
      </c>
    </row>
    <row r="1814" spans="2:2">
      <c r="B1814" s="10" t="s">
        <v>1996</v>
      </c>
    </row>
    <row r="1815" spans="2:2">
      <c r="B1815" s="10" t="s">
        <v>1997</v>
      </c>
    </row>
    <row r="1816" spans="2:2">
      <c r="B1816" s="10" t="s">
        <v>1998</v>
      </c>
    </row>
    <row r="1817" spans="2:2">
      <c r="B1817" s="10" t="s">
        <v>1999</v>
      </c>
    </row>
    <row r="1818" spans="2:2">
      <c r="B1818" s="10" t="s">
        <v>2000</v>
      </c>
    </row>
    <row r="1819" spans="2:2">
      <c r="B1819" s="10" t="s">
        <v>2001</v>
      </c>
    </row>
    <row r="1820" spans="2:2">
      <c r="B1820" s="10" t="s">
        <v>2002</v>
      </c>
    </row>
    <row r="1821" spans="2:2">
      <c r="B1821" s="10" t="s">
        <v>2003</v>
      </c>
    </row>
    <row r="1822" spans="2:2">
      <c r="B1822" s="10" t="s">
        <v>2004</v>
      </c>
    </row>
    <row r="1823" spans="2:2">
      <c r="B1823" s="10" t="s">
        <v>2005</v>
      </c>
    </row>
    <row r="1824" spans="2:2">
      <c r="B1824" s="10" t="s">
        <v>2006</v>
      </c>
    </row>
    <row r="1825" spans="2:2">
      <c r="B1825" s="10" t="s">
        <v>2007</v>
      </c>
    </row>
    <row r="1826" spans="2:2">
      <c r="B1826" s="10" t="s">
        <v>2008</v>
      </c>
    </row>
    <row r="1827" spans="2:2">
      <c r="B1827" s="10" t="s">
        <v>2009</v>
      </c>
    </row>
    <row r="1828" spans="2:2">
      <c r="B1828" s="10" t="s">
        <v>2010</v>
      </c>
    </row>
    <row r="1829" spans="2:2">
      <c r="B1829" s="10" t="s">
        <v>2011</v>
      </c>
    </row>
    <row r="1830" spans="2:2">
      <c r="B1830" s="10" t="s">
        <v>2012</v>
      </c>
    </row>
    <row r="1831" spans="2:2">
      <c r="B1831" s="10" t="s">
        <v>2013</v>
      </c>
    </row>
    <row r="1832" spans="2:2">
      <c r="B1832" s="10" t="s">
        <v>2014</v>
      </c>
    </row>
    <row r="1833" spans="2:2">
      <c r="B1833" s="10" t="s">
        <v>2015</v>
      </c>
    </row>
    <row r="1834" spans="2:2">
      <c r="B1834" s="10" t="s">
        <v>2016</v>
      </c>
    </row>
    <row r="1835" spans="2:2">
      <c r="B1835" s="10" t="s">
        <v>2017</v>
      </c>
    </row>
    <row r="1836" spans="2:2">
      <c r="B1836" s="10" t="s">
        <v>2018</v>
      </c>
    </row>
    <row r="1837" spans="2:2">
      <c r="B1837" s="10" t="s">
        <v>2019</v>
      </c>
    </row>
    <row r="1838" spans="2:2">
      <c r="B1838" s="10" t="s">
        <v>2020</v>
      </c>
    </row>
    <row r="1839" spans="2:2">
      <c r="B1839" s="10" t="s">
        <v>2021</v>
      </c>
    </row>
    <row r="1840" spans="2:2">
      <c r="B1840" s="10" t="s">
        <v>2022</v>
      </c>
    </row>
    <row r="1841" spans="2:2">
      <c r="B1841" s="10" t="s">
        <v>2023</v>
      </c>
    </row>
    <row r="1842" spans="2:2">
      <c r="B1842" s="10" t="s">
        <v>2024</v>
      </c>
    </row>
    <row r="1843" spans="2:2">
      <c r="B1843" s="10" t="s">
        <v>2025</v>
      </c>
    </row>
    <row r="1844" spans="2:2">
      <c r="B1844" s="10" t="s">
        <v>2026</v>
      </c>
    </row>
    <row r="1845" spans="2:2">
      <c r="B1845" s="10" t="s">
        <v>2027</v>
      </c>
    </row>
    <row r="1846" spans="2:2">
      <c r="B1846" s="10" t="s">
        <v>2028</v>
      </c>
    </row>
    <row r="1847" spans="2:2">
      <c r="B1847" s="10" t="s">
        <v>2029</v>
      </c>
    </row>
    <row r="1848" spans="2:2">
      <c r="B1848" s="10" t="s">
        <v>2030</v>
      </c>
    </row>
    <row r="1849" spans="2:2">
      <c r="B1849" s="10" t="s">
        <v>2031</v>
      </c>
    </row>
    <row r="1850" spans="2:2">
      <c r="B1850" s="10" t="s">
        <v>2032</v>
      </c>
    </row>
    <row r="1851" spans="2:2">
      <c r="B1851" s="10" t="s">
        <v>2033</v>
      </c>
    </row>
    <row r="1852" spans="2:2">
      <c r="B1852" s="10" t="s">
        <v>2034</v>
      </c>
    </row>
    <row r="1853" spans="2:2">
      <c r="B1853" s="10" t="s">
        <v>2035</v>
      </c>
    </row>
    <row r="1854" spans="2:2">
      <c r="B1854" s="10" t="s">
        <v>2036</v>
      </c>
    </row>
    <row r="1855" spans="2:2">
      <c r="B1855" s="10" t="s">
        <v>2037</v>
      </c>
    </row>
    <row r="1856" spans="2:2">
      <c r="B1856" s="10" t="s">
        <v>2038</v>
      </c>
    </row>
    <row r="1857" spans="2:2">
      <c r="B1857" s="10" t="s">
        <v>2039</v>
      </c>
    </row>
    <row r="1858" spans="2:2">
      <c r="B1858" s="10" t="s">
        <v>2040</v>
      </c>
    </row>
    <row r="1859" spans="2:2">
      <c r="B1859" s="10" t="s">
        <v>2041</v>
      </c>
    </row>
    <row r="1860" spans="2:2">
      <c r="B1860" s="10" t="s">
        <v>2042</v>
      </c>
    </row>
    <row r="1861" spans="2:2">
      <c r="B1861" s="10" t="s">
        <v>2043</v>
      </c>
    </row>
    <row r="1862" spans="2:2">
      <c r="B1862" s="10" t="s">
        <v>2044</v>
      </c>
    </row>
    <row r="1863" spans="2:2">
      <c r="B1863" s="10" t="s">
        <v>2045</v>
      </c>
    </row>
    <row r="1864" spans="2:2">
      <c r="B1864" s="10" t="s">
        <v>2046</v>
      </c>
    </row>
    <row r="1865" spans="2:2">
      <c r="B1865" s="10" t="s">
        <v>2047</v>
      </c>
    </row>
    <row r="1866" spans="2:2">
      <c r="B1866" s="10" t="s">
        <v>2048</v>
      </c>
    </row>
    <row r="1867" spans="2:2">
      <c r="B1867" s="10" t="s">
        <v>2049</v>
      </c>
    </row>
    <row r="1868" spans="2:2">
      <c r="B1868" s="10" t="s">
        <v>2050</v>
      </c>
    </row>
    <row r="1869" spans="2:2">
      <c r="B1869" s="10" t="s">
        <v>2051</v>
      </c>
    </row>
    <row r="1870" spans="2:2">
      <c r="B1870" s="10" t="s">
        <v>2052</v>
      </c>
    </row>
    <row r="1871" spans="2:2">
      <c r="B1871" s="10" t="s">
        <v>2053</v>
      </c>
    </row>
    <row r="1872" spans="2:2">
      <c r="B1872" s="10" t="s">
        <v>2054</v>
      </c>
    </row>
    <row r="1873" spans="2:2">
      <c r="B1873" s="10" t="s">
        <v>2055</v>
      </c>
    </row>
    <row r="1874" spans="2:2">
      <c r="B1874" s="10" t="s">
        <v>2056</v>
      </c>
    </row>
    <row r="1875" spans="2:2">
      <c r="B1875" s="10" t="s">
        <v>2057</v>
      </c>
    </row>
    <row r="1876" spans="2:2">
      <c r="B1876" s="10" t="s">
        <v>2058</v>
      </c>
    </row>
    <row r="1877" spans="2:2">
      <c r="B1877" s="10" t="s">
        <v>2059</v>
      </c>
    </row>
    <row r="1878" spans="2:2">
      <c r="B1878" s="10" t="s">
        <v>2060</v>
      </c>
    </row>
    <row r="1879" spans="2:2">
      <c r="B1879" s="10" t="s">
        <v>2061</v>
      </c>
    </row>
    <row r="1880" spans="2:2">
      <c r="B1880" s="10" t="s">
        <v>2062</v>
      </c>
    </row>
    <row r="1881" spans="2:2">
      <c r="B1881" s="10" t="s">
        <v>2063</v>
      </c>
    </row>
    <row r="1882" spans="2:2">
      <c r="B1882" s="10" t="s">
        <v>2064</v>
      </c>
    </row>
    <row r="1883" spans="2:2">
      <c r="B1883" s="10" t="s">
        <v>2065</v>
      </c>
    </row>
    <row r="1884" spans="2:2">
      <c r="B1884" s="10" t="s">
        <v>2066</v>
      </c>
    </row>
    <row r="1885" spans="2:2">
      <c r="B1885" s="10" t="s">
        <v>2067</v>
      </c>
    </row>
    <row r="1886" spans="2:2">
      <c r="B1886" s="10" t="s">
        <v>2068</v>
      </c>
    </row>
    <row r="1887" spans="2:2">
      <c r="B1887" s="10" t="s">
        <v>2069</v>
      </c>
    </row>
    <row r="1888" spans="2:2">
      <c r="B1888" s="10" t="s">
        <v>2070</v>
      </c>
    </row>
    <row r="1889" spans="2:2">
      <c r="B1889" s="10" t="s">
        <v>2071</v>
      </c>
    </row>
    <row r="1890" spans="2:2">
      <c r="B1890" s="10" t="s">
        <v>2072</v>
      </c>
    </row>
    <row r="1891" spans="2:2">
      <c r="B1891" s="10" t="s">
        <v>2073</v>
      </c>
    </row>
    <row r="1892" spans="2:2">
      <c r="B1892" s="10" t="s">
        <v>2074</v>
      </c>
    </row>
    <row r="1893" spans="2:2">
      <c r="B1893" s="10" t="s">
        <v>2075</v>
      </c>
    </row>
    <row r="1894" spans="2:2">
      <c r="B1894" s="10" t="s">
        <v>2076</v>
      </c>
    </row>
    <row r="1895" spans="2:2">
      <c r="B1895" s="10" t="s">
        <v>2077</v>
      </c>
    </row>
    <row r="1896" spans="2:2">
      <c r="B1896" s="10" t="s">
        <v>2078</v>
      </c>
    </row>
    <row r="1897" spans="2:2">
      <c r="B1897" s="10" t="s">
        <v>2079</v>
      </c>
    </row>
    <row r="1898" spans="2:2">
      <c r="B1898" s="10" t="s">
        <v>2080</v>
      </c>
    </row>
    <row r="1899" spans="2:2">
      <c r="B1899" s="10" t="s">
        <v>2081</v>
      </c>
    </row>
    <row r="1900" spans="2:2">
      <c r="B1900" s="10" t="s">
        <v>2082</v>
      </c>
    </row>
    <row r="1901" spans="2:2">
      <c r="B1901" s="10" t="s">
        <v>2083</v>
      </c>
    </row>
    <row r="1902" spans="2:2">
      <c r="B1902" s="10" t="s">
        <v>2084</v>
      </c>
    </row>
    <row r="1903" spans="2:2">
      <c r="B1903" s="10" t="s">
        <v>2085</v>
      </c>
    </row>
    <row r="1904" spans="2:2">
      <c r="B1904" s="10" t="s">
        <v>2086</v>
      </c>
    </row>
    <row r="1905" spans="2:2">
      <c r="B1905" s="10" t="s">
        <v>2087</v>
      </c>
    </row>
    <row r="1906" spans="2:2">
      <c r="B1906" s="10" t="s">
        <v>2088</v>
      </c>
    </row>
    <row r="1907" spans="2:2">
      <c r="B1907" s="10" t="s">
        <v>2089</v>
      </c>
    </row>
    <row r="1908" spans="2:2">
      <c r="B1908" s="10" t="s">
        <v>2090</v>
      </c>
    </row>
    <row r="1909" spans="2:2">
      <c r="B1909" s="10" t="s">
        <v>2091</v>
      </c>
    </row>
    <row r="1910" spans="2:2">
      <c r="B1910" s="10" t="s">
        <v>2092</v>
      </c>
    </row>
    <row r="1911" spans="2:2">
      <c r="B1911" s="10" t="s">
        <v>2093</v>
      </c>
    </row>
    <row r="1912" spans="2:2">
      <c r="B1912" s="10" t="s">
        <v>2094</v>
      </c>
    </row>
    <row r="1913" spans="2:2">
      <c r="B1913" s="10" t="s">
        <v>2095</v>
      </c>
    </row>
    <row r="1914" spans="2:2">
      <c r="B1914" s="10" t="s">
        <v>2096</v>
      </c>
    </row>
    <row r="1915" spans="2:2">
      <c r="B1915" s="10" t="s">
        <v>2097</v>
      </c>
    </row>
    <row r="1916" spans="2:2">
      <c r="B1916" s="10" t="s">
        <v>2098</v>
      </c>
    </row>
    <row r="1917" spans="2:2">
      <c r="B1917" s="10" t="s">
        <v>2099</v>
      </c>
    </row>
    <row r="1918" spans="2:2">
      <c r="B1918" s="10" t="s">
        <v>2100</v>
      </c>
    </row>
    <row r="1919" spans="2:2">
      <c r="B1919" s="10" t="s">
        <v>2101</v>
      </c>
    </row>
    <row r="1920" spans="2:2">
      <c r="B1920" s="10" t="s">
        <v>2102</v>
      </c>
    </row>
    <row r="1921" spans="2:2">
      <c r="B1921" s="10" t="s">
        <v>2103</v>
      </c>
    </row>
    <row r="1922" spans="2:2">
      <c r="B1922" s="10" t="s">
        <v>2104</v>
      </c>
    </row>
    <row r="1923" spans="2:2">
      <c r="B1923" s="10" t="s">
        <v>2105</v>
      </c>
    </row>
    <row r="1924" spans="2:2">
      <c r="B1924" s="10" t="s">
        <v>2106</v>
      </c>
    </row>
    <row r="1925" spans="2:2">
      <c r="B1925" s="10" t="s">
        <v>2107</v>
      </c>
    </row>
    <row r="1926" spans="2:2">
      <c r="B1926" s="10" t="s">
        <v>2108</v>
      </c>
    </row>
    <row r="1927" spans="2:2">
      <c r="B1927" s="10" t="s">
        <v>2109</v>
      </c>
    </row>
    <row r="1928" spans="2:2">
      <c r="B1928" s="10" t="s">
        <v>2110</v>
      </c>
    </row>
    <row r="1929" spans="2:2">
      <c r="B1929" s="10" t="s">
        <v>2111</v>
      </c>
    </row>
    <row r="1930" spans="2:2">
      <c r="B1930" s="10" t="s">
        <v>2112</v>
      </c>
    </row>
    <row r="1931" spans="2:2">
      <c r="B1931" s="10" t="s">
        <v>2113</v>
      </c>
    </row>
    <row r="1932" spans="2:2">
      <c r="B1932" s="10" t="s">
        <v>2114</v>
      </c>
    </row>
    <row r="1933" spans="2:2">
      <c r="B1933" s="10" t="s">
        <v>2115</v>
      </c>
    </row>
    <row r="1934" spans="2:2">
      <c r="B1934" s="10" t="s">
        <v>2116</v>
      </c>
    </row>
    <row r="1935" spans="2:2">
      <c r="B1935" s="10" t="s">
        <v>2117</v>
      </c>
    </row>
    <row r="1936" spans="2:2">
      <c r="B1936" s="10" t="s">
        <v>2118</v>
      </c>
    </row>
    <row r="1937" spans="2:2">
      <c r="B1937" s="10" t="s">
        <v>2119</v>
      </c>
    </row>
    <row r="1938" spans="2:2">
      <c r="B1938" s="10" t="s">
        <v>2120</v>
      </c>
    </row>
    <row r="1939" spans="2:2">
      <c r="B1939" s="10" t="s">
        <v>2121</v>
      </c>
    </row>
    <row r="1940" spans="2:2">
      <c r="B1940" s="10" t="s">
        <v>2122</v>
      </c>
    </row>
    <row r="1941" spans="2:2">
      <c r="B1941" s="10" t="s">
        <v>2123</v>
      </c>
    </row>
    <row r="1942" spans="2:2">
      <c r="B1942" s="10" t="s">
        <v>2124</v>
      </c>
    </row>
    <row r="1943" spans="2:2">
      <c r="B1943" s="10" t="s">
        <v>2125</v>
      </c>
    </row>
    <row r="1944" spans="2:2">
      <c r="B1944" s="10" t="s">
        <v>2126</v>
      </c>
    </row>
    <row r="1945" spans="2:2">
      <c r="B1945" s="10" t="s">
        <v>2127</v>
      </c>
    </row>
    <row r="1946" spans="2:2">
      <c r="B1946" s="10" t="s">
        <v>2128</v>
      </c>
    </row>
    <row r="1947" spans="2:2">
      <c r="B1947" s="10" t="s">
        <v>2129</v>
      </c>
    </row>
    <row r="1948" spans="2:2">
      <c r="B1948" s="10" t="s">
        <v>2130</v>
      </c>
    </row>
    <row r="1949" spans="2:2">
      <c r="B1949" s="10" t="s">
        <v>2131</v>
      </c>
    </row>
    <row r="1950" spans="2:2">
      <c r="B1950" s="10" t="s">
        <v>2132</v>
      </c>
    </row>
    <row r="1951" spans="2:2">
      <c r="B1951" s="10" t="s">
        <v>2133</v>
      </c>
    </row>
    <row r="1952" spans="2:2">
      <c r="B1952" s="10" t="s">
        <v>2134</v>
      </c>
    </row>
    <row r="1953" spans="2:2">
      <c r="B1953" s="10" t="s">
        <v>2135</v>
      </c>
    </row>
    <row r="1954" spans="2:2">
      <c r="B1954" s="10" t="s">
        <v>2136</v>
      </c>
    </row>
    <row r="1955" spans="2:2">
      <c r="B1955" s="10" t="s">
        <v>2137</v>
      </c>
    </row>
    <row r="1956" spans="2:2">
      <c r="B1956" s="10" t="s">
        <v>2138</v>
      </c>
    </row>
    <row r="1957" spans="2:2">
      <c r="B1957" s="10" t="s">
        <v>2139</v>
      </c>
    </row>
    <row r="1958" spans="2:2">
      <c r="B1958" s="10" t="s">
        <v>2140</v>
      </c>
    </row>
    <row r="1959" spans="2:2">
      <c r="B1959" s="10" t="s">
        <v>2141</v>
      </c>
    </row>
    <row r="1960" spans="2:2">
      <c r="B1960" s="10" t="s">
        <v>2142</v>
      </c>
    </row>
    <row r="1961" spans="2:2">
      <c r="B1961" s="10" t="s">
        <v>2143</v>
      </c>
    </row>
    <row r="1962" spans="2:2">
      <c r="B1962" s="10" t="s">
        <v>2144</v>
      </c>
    </row>
    <row r="1963" spans="2:2">
      <c r="B1963" s="10" t="s">
        <v>2145</v>
      </c>
    </row>
    <row r="1964" spans="2:2">
      <c r="B1964" s="10" t="s">
        <v>2146</v>
      </c>
    </row>
    <row r="1965" spans="2:2">
      <c r="B1965" s="10" t="s">
        <v>2147</v>
      </c>
    </row>
    <row r="1966" spans="2:2">
      <c r="B1966" s="10" t="s">
        <v>2148</v>
      </c>
    </row>
    <row r="1967" spans="2:2">
      <c r="B1967" s="10" t="s">
        <v>2149</v>
      </c>
    </row>
    <row r="1968" spans="2:2">
      <c r="B1968" s="10" t="s">
        <v>2150</v>
      </c>
    </row>
    <row r="1969" spans="2:2">
      <c r="B1969" s="10" t="s">
        <v>2151</v>
      </c>
    </row>
    <row r="1970" spans="2:2">
      <c r="B1970" s="10" t="s">
        <v>2152</v>
      </c>
    </row>
    <row r="1971" spans="2:2">
      <c r="B1971" s="10" t="s">
        <v>2153</v>
      </c>
    </row>
    <row r="1972" spans="2:2">
      <c r="B1972" s="10" t="s">
        <v>2154</v>
      </c>
    </row>
    <row r="1973" spans="2:2">
      <c r="B1973" s="10" t="s">
        <v>2155</v>
      </c>
    </row>
    <row r="1974" spans="2:2">
      <c r="B1974" s="10" t="s">
        <v>2156</v>
      </c>
    </row>
    <row r="1975" spans="2:2">
      <c r="B1975" s="10" t="s">
        <v>2157</v>
      </c>
    </row>
    <row r="1976" spans="2:2">
      <c r="B1976" s="10" t="s">
        <v>2158</v>
      </c>
    </row>
    <row r="1977" spans="2:2">
      <c r="B1977" s="10" t="s">
        <v>2159</v>
      </c>
    </row>
    <row r="1978" spans="2:2">
      <c r="B1978" s="10" t="s">
        <v>2160</v>
      </c>
    </row>
    <row r="1979" spans="2:2">
      <c r="B1979" s="10" t="s">
        <v>2161</v>
      </c>
    </row>
    <row r="1980" spans="2:2">
      <c r="B1980" s="10" t="s">
        <v>2162</v>
      </c>
    </row>
    <row r="1981" spans="2:2">
      <c r="B1981" s="10" t="s">
        <v>2163</v>
      </c>
    </row>
    <row r="1982" spans="2:2">
      <c r="B1982" s="10" t="s">
        <v>2164</v>
      </c>
    </row>
    <row r="1983" spans="2:2">
      <c r="B1983" s="10" t="s">
        <v>2165</v>
      </c>
    </row>
    <row r="1984" spans="2:2">
      <c r="B1984" s="10" t="s">
        <v>2166</v>
      </c>
    </row>
    <row r="1985" spans="2:2">
      <c r="B1985" s="10" t="s">
        <v>2167</v>
      </c>
    </row>
    <row r="1986" spans="2:2">
      <c r="B1986" s="10" t="s">
        <v>2168</v>
      </c>
    </row>
    <row r="1987" spans="2:2">
      <c r="B1987" s="10" t="s">
        <v>2169</v>
      </c>
    </row>
    <row r="1988" spans="2:2">
      <c r="B1988" s="10" t="s">
        <v>2170</v>
      </c>
    </row>
    <row r="1989" spans="2:2">
      <c r="B1989" s="10" t="s">
        <v>2171</v>
      </c>
    </row>
    <row r="1990" spans="2:2">
      <c r="B1990" s="10" t="s">
        <v>2172</v>
      </c>
    </row>
    <row r="1991" spans="2:2">
      <c r="B1991" s="10" t="s">
        <v>2173</v>
      </c>
    </row>
    <row r="1992" spans="2:2">
      <c r="B1992" s="10" t="s">
        <v>2174</v>
      </c>
    </row>
    <row r="1993" spans="2:2">
      <c r="B1993" s="10" t="s">
        <v>2175</v>
      </c>
    </row>
    <row r="1994" spans="2:2">
      <c r="B1994" s="10" t="s">
        <v>2176</v>
      </c>
    </row>
    <row r="1995" spans="2:2">
      <c r="B1995" s="10" t="s">
        <v>2177</v>
      </c>
    </row>
    <row r="1996" spans="2:2">
      <c r="B1996" s="10" t="s">
        <v>2178</v>
      </c>
    </row>
    <row r="1997" spans="2:2">
      <c r="B1997" s="10" t="s">
        <v>2179</v>
      </c>
    </row>
    <row r="1998" spans="2:2">
      <c r="B1998" s="10" t="s">
        <v>2180</v>
      </c>
    </row>
    <row r="1999" spans="2:2">
      <c r="B1999" s="10" t="s">
        <v>2181</v>
      </c>
    </row>
    <row r="2000" spans="2:2">
      <c r="B2000" s="10" t="s">
        <v>2182</v>
      </c>
    </row>
    <row r="2001" spans="2:2">
      <c r="B2001" s="10" t="s">
        <v>2183</v>
      </c>
    </row>
    <row r="2002" spans="2:2">
      <c r="B2002" s="10" t="s">
        <v>2184</v>
      </c>
    </row>
    <row r="2003" spans="2:2">
      <c r="B2003" s="10" t="s">
        <v>2185</v>
      </c>
    </row>
    <row r="2004" spans="2:2">
      <c r="B2004" s="10" t="s">
        <v>2186</v>
      </c>
    </row>
    <row r="2005" spans="2:2">
      <c r="B2005" s="10" t="s">
        <v>2187</v>
      </c>
    </row>
    <row r="2006" spans="2:2">
      <c r="B2006" s="10" t="s">
        <v>2188</v>
      </c>
    </row>
    <row r="2007" spans="2:2">
      <c r="B2007" s="10" t="s">
        <v>2189</v>
      </c>
    </row>
    <row r="2008" spans="2:2">
      <c r="B2008" s="10" t="s">
        <v>2190</v>
      </c>
    </row>
    <row r="2009" spans="2:2">
      <c r="B2009" s="10" t="s">
        <v>2191</v>
      </c>
    </row>
    <row r="2010" spans="2:2">
      <c r="B2010" s="10" t="s">
        <v>2192</v>
      </c>
    </row>
    <row r="2011" spans="2:2">
      <c r="B2011" s="10" t="s">
        <v>2193</v>
      </c>
    </row>
    <row r="2012" spans="2:2">
      <c r="B2012" s="10" t="s">
        <v>2194</v>
      </c>
    </row>
    <row r="2013" spans="2:2">
      <c r="B2013" s="10" t="s">
        <v>2195</v>
      </c>
    </row>
    <row r="2014" spans="2:2">
      <c r="B2014" s="10" t="s">
        <v>2196</v>
      </c>
    </row>
    <row r="2015" spans="2:2">
      <c r="B2015" s="10" t="s">
        <v>2197</v>
      </c>
    </row>
    <row r="2016" spans="2:2">
      <c r="B2016" s="10" t="s">
        <v>2198</v>
      </c>
    </row>
    <row r="2017" spans="2:2">
      <c r="B2017" s="10" t="s">
        <v>2199</v>
      </c>
    </row>
    <row r="2018" spans="2:2">
      <c r="B2018" s="10" t="s">
        <v>2200</v>
      </c>
    </row>
    <row r="2019" spans="2:2">
      <c r="B2019" s="10" t="s">
        <v>2201</v>
      </c>
    </row>
    <row r="2020" spans="2:2">
      <c r="B2020" s="10" t="s">
        <v>2202</v>
      </c>
    </row>
    <row r="2021" spans="2:2">
      <c r="B2021" s="10" t="s">
        <v>2203</v>
      </c>
    </row>
    <row r="2022" spans="2:2">
      <c r="B2022" s="10" t="s">
        <v>2204</v>
      </c>
    </row>
    <row r="2023" spans="2:2">
      <c r="B2023" s="10" t="s">
        <v>2205</v>
      </c>
    </row>
    <row r="2024" spans="2:2">
      <c r="B2024" s="10" t="s">
        <v>2206</v>
      </c>
    </row>
    <row r="2025" spans="2:2">
      <c r="B2025" s="10" t="s">
        <v>2207</v>
      </c>
    </row>
    <row r="2026" spans="2:2">
      <c r="B2026" s="10" t="s">
        <v>2208</v>
      </c>
    </row>
    <row r="2027" spans="2:2">
      <c r="B2027" s="10" t="s">
        <v>2209</v>
      </c>
    </row>
    <row r="2028" spans="2:2">
      <c r="B2028" s="10" t="s">
        <v>2210</v>
      </c>
    </row>
    <row r="2029" spans="2:2">
      <c r="B2029" s="10" t="s">
        <v>2211</v>
      </c>
    </row>
    <row r="2030" spans="2:2">
      <c r="B2030" s="10" t="s">
        <v>2212</v>
      </c>
    </row>
    <row r="2031" spans="2:2">
      <c r="B2031" s="10" t="s">
        <v>2213</v>
      </c>
    </row>
    <row r="2032" spans="2:2">
      <c r="B2032" s="10" t="s">
        <v>2214</v>
      </c>
    </row>
    <row r="2033" spans="2:2">
      <c r="B2033" s="10" t="s">
        <v>2215</v>
      </c>
    </row>
    <row r="2034" spans="2:2">
      <c r="B2034" s="10" t="s">
        <v>2216</v>
      </c>
    </row>
    <row r="2035" spans="2:2">
      <c r="B2035" s="10" t="s">
        <v>2217</v>
      </c>
    </row>
    <row r="2036" spans="2:2">
      <c r="B2036" s="10" t="s">
        <v>2218</v>
      </c>
    </row>
    <row r="2037" spans="2:2">
      <c r="B2037" s="10" t="s">
        <v>2219</v>
      </c>
    </row>
    <row r="2038" spans="2:2">
      <c r="B2038" s="10" t="s">
        <v>2220</v>
      </c>
    </row>
    <row r="2039" spans="2:2">
      <c r="B2039" s="10" t="s">
        <v>2221</v>
      </c>
    </row>
    <row r="2040" spans="2:2">
      <c r="B2040" s="10" t="s">
        <v>2222</v>
      </c>
    </row>
    <row r="2041" spans="2:2">
      <c r="B2041" s="10" t="s">
        <v>2223</v>
      </c>
    </row>
    <row r="2042" spans="2:2">
      <c r="B2042" s="10" t="s">
        <v>2224</v>
      </c>
    </row>
    <row r="2043" spans="2:2">
      <c r="B2043" s="10" t="s">
        <v>2225</v>
      </c>
    </row>
    <row r="2044" spans="2:2">
      <c r="B2044" s="10" t="s">
        <v>2226</v>
      </c>
    </row>
    <row r="2045" spans="2:2">
      <c r="B2045" s="10" t="s">
        <v>2227</v>
      </c>
    </row>
    <row r="2046" spans="2:2">
      <c r="B2046" s="10" t="s">
        <v>2228</v>
      </c>
    </row>
    <row r="2047" spans="2:2">
      <c r="B2047" s="10" t="s">
        <v>2229</v>
      </c>
    </row>
    <row r="2048" spans="2:2">
      <c r="B2048" s="10" t="s">
        <v>2230</v>
      </c>
    </row>
    <row r="2049" spans="2:2">
      <c r="B2049" s="10" t="s">
        <v>2231</v>
      </c>
    </row>
    <row r="2050" spans="2:2">
      <c r="B2050" s="10" t="s">
        <v>2232</v>
      </c>
    </row>
    <row r="2051" spans="2:2">
      <c r="B2051" s="10" t="s">
        <v>2233</v>
      </c>
    </row>
    <row r="2052" spans="2:2">
      <c r="B2052" s="10" t="s">
        <v>2234</v>
      </c>
    </row>
    <row r="2053" spans="2:2">
      <c r="B2053" s="10" t="s">
        <v>2235</v>
      </c>
    </row>
    <row r="2054" spans="2:2">
      <c r="B2054" s="10" t="s">
        <v>2236</v>
      </c>
    </row>
    <row r="2055" spans="2:2">
      <c r="B2055" s="10" t="s">
        <v>2237</v>
      </c>
    </row>
    <row r="2056" spans="2:2">
      <c r="B2056" s="10" t="s">
        <v>2238</v>
      </c>
    </row>
    <row r="2057" spans="2:2">
      <c r="B2057" s="10" t="s">
        <v>2239</v>
      </c>
    </row>
    <row r="2058" spans="2:2">
      <c r="B2058" s="10" t="s">
        <v>2240</v>
      </c>
    </row>
    <row r="2059" spans="2:2">
      <c r="B2059" s="10" t="s">
        <v>2241</v>
      </c>
    </row>
    <row r="2060" spans="2:2">
      <c r="B2060" s="10" t="s">
        <v>2242</v>
      </c>
    </row>
    <row r="2061" spans="2:2">
      <c r="B2061" s="10" t="s">
        <v>2243</v>
      </c>
    </row>
    <row r="2062" spans="2:2">
      <c r="B2062" s="10" t="s">
        <v>2244</v>
      </c>
    </row>
    <row r="2063" spans="2:2">
      <c r="B2063" s="10" t="s">
        <v>2245</v>
      </c>
    </row>
    <row r="2064" spans="2:2">
      <c r="B2064" s="10" t="s">
        <v>2246</v>
      </c>
    </row>
    <row r="2065" spans="2:2">
      <c r="B2065" s="10" t="s">
        <v>2247</v>
      </c>
    </row>
    <row r="2066" spans="2:2">
      <c r="B2066" s="10" t="s">
        <v>2248</v>
      </c>
    </row>
    <row r="2067" spans="2:2">
      <c r="B2067" s="10" t="s">
        <v>2249</v>
      </c>
    </row>
    <row r="2068" spans="2:2">
      <c r="B2068" s="10" t="s">
        <v>2250</v>
      </c>
    </row>
    <row r="2069" spans="2:2">
      <c r="B2069" s="10" t="s">
        <v>2251</v>
      </c>
    </row>
    <row r="2070" spans="2:2">
      <c r="B2070" s="10" t="s">
        <v>2252</v>
      </c>
    </row>
    <row r="2071" spans="2:2">
      <c r="B2071" s="10" t="s">
        <v>2253</v>
      </c>
    </row>
    <row r="2072" spans="2:2">
      <c r="B2072" s="10" t="s">
        <v>2254</v>
      </c>
    </row>
    <row r="2073" spans="2:2">
      <c r="B2073" s="10" t="s">
        <v>2255</v>
      </c>
    </row>
    <row r="2074" spans="2:2">
      <c r="B2074" s="10" t="s">
        <v>2256</v>
      </c>
    </row>
    <row r="2075" spans="2:2">
      <c r="B2075" s="10" t="s">
        <v>2257</v>
      </c>
    </row>
    <row r="2076" spans="2:2">
      <c r="B2076" s="10" t="s">
        <v>2258</v>
      </c>
    </row>
    <row r="2077" spans="2:2">
      <c r="B2077" s="10" t="s">
        <v>2259</v>
      </c>
    </row>
    <row r="2078" spans="2:2">
      <c r="B2078" s="10" t="s">
        <v>2260</v>
      </c>
    </row>
    <row r="2079" spans="2:2">
      <c r="B2079" s="10" t="s">
        <v>2261</v>
      </c>
    </row>
    <row r="2080" spans="2:2">
      <c r="B2080" s="10" t="s">
        <v>2262</v>
      </c>
    </row>
    <row r="2081" spans="2:2">
      <c r="B2081" s="10" t="s">
        <v>2263</v>
      </c>
    </row>
    <row r="2082" spans="2:2">
      <c r="B2082" s="10" t="s">
        <v>2264</v>
      </c>
    </row>
    <row r="2083" spans="2:2">
      <c r="B2083" s="10" t="s">
        <v>2265</v>
      </c>
    </row>
    <row r="2084" spans="2:2">
      <c r="B2084" s="10" t="s">
        <v>2266</v>
      </c>
    </row>
    <row r="2085" spans="2:2">
      <c r="B2085" s="10" t="s">
        <v>2267</v>
      </c>
    </row>
    <row r="2086" spans="2:2">
      <c r="B2086" s="10" t="s">
        <v>2268</v>
      </c>
    </row>
    <row r="2087" spans="2:2">
      <c r="B2087" s="10" t="s">
        <v>2269</v>
      </c>
    </row>
    <row r="2088" spans="2:2">
      <c r="B2088" s="10" t="s">
        <v>2270</v>
      </c>
    </row>
    <row r="2089" spans="2:2">
      <c r="B2089" s="10" t="s">
        <v>2271</v>
      </c>
    </row>
    <row r="2090" spans="2:2">
      <c r="B2090" s="10" t="s">
        <v>2272</v>
      </c>
    </row>
    <row r="2091" spans="2:2">
      <c r="B2091" s="10" t="s">
        <v>2273</v>
      </c>
    </row>
    <row r="2092" spans="2:2">
      <c r="B2092" s="10" t="s">
        <v>2274</v>
      </c>
    </row>
    <row r="2093" spans="2:2">
      <c r="B2093" s="10" t="s">
        <v>2275</v>
      </c>
    </row>
    <row r="2094" spans="2:2">
      <c r="B2094" s="10" t="s">
        <v>2276</v>
      </c>
    </row>
    <row r="2095" spans="2:2">
      <c r="B2095" s="10" t="s">
        <v>2277</v>
      </c>
    </row>
    <row r="2096" spans="2:2">
      <c r="B2096" s="10" t="s">
        <v>2278</v>
      </c>
    </row>
    <row r="2097" spans="2:2">
      <c r="B2097" s="10" t="s">
        <v>2279</v>
      </c>
    </row>
    <row r="2098" spans="2:2">
      <c r="B2098" s="10" t="s">
        <v>2280</v>
      </c>
    </row>
    <row r="2099" spans="2:2">
      <c r="B2099" s="10" t="s">
        <v>2281</v>
      </c>
    </row>
    <row r="2100" spans="2:2">
      <c r="B2100" s="10" t="s">
        <v>2282</v>
      </c>
    </row>
    <row r="2101" spans="2:2">
      <c r="B2101" s="10" t="s">
        <v>2283</v>
      </c>
    </row>
    <row r="2102" spans="2:2">
      <c r="B2102" s="10" t="s">
        <v>2284</v>
      </c>
    </row>
    <row r="2103" spans="2:2">
      <c r="B2103" s="10" t="s">
        <v>2285</v>
      </c>
    </row>
    <row r="2104" spans="2:2">
      <c r="B2104" s="10" t="s">
        <v>2286</v>
      </c>
    </row>
    <row r="2105" spans="2:2">
      <c r="B2105" s="10" t="s">
        <v>2287</v>
      </c>
    </row>
    <row r="2106" spans="2:2">
      <c r="B2106" s="10" t="s">
        <v>2288</v>
      </c>
    </row>
    <row r="2107" spans="2:2">
      <c r="B2107" s="10" t="s">
        <v>2289</v>
      </c>
    </row>
    <row r="2108" spans="2:2">
      <c r="B2108" s="10" t="s">
        <v>2290</v>
      </c>
    </row>
    <row r="2109" spans="2:2">
      <c r="B2109" s="10" t="s">
        <v>2291</v>
      </c>
    </row>
    <row r="2110" spans="2:2">
      <c r="B2110" s="10" t="s">
        <v>2292</v>
      </c>
    </row>
    <row r="2111" spans="2:2">
      <c r="B2111" s="10" t="s">
        <v>2293</v>
      </c>
    </row>
    <row r="2112" spans="2:2">
      <c r="B2112" s="10" t="s">
        <v>2294</v>
      </c>
    </row>
    <row r="2113" spans="2:2">
      <c r="B2113" s="10" t="s">
        <v>2295</v>
      </c>
    </row>
    <row r="2114" spans="2:2">
      <c r="B2114" s="10" t="s">
        <v>2296</v>
      </c>
    </row>
    <row r="2115" spans="2:2">
      <c r="B2115" s="10" t="s">
        <v>2297</v>
      </c>
    </row>
    <row r="2116" spans="2:2">
      <c r="B2116" s="10" t="s">
        <v>2298</v>
      </c>
    </row>
    <row r="2117" spans="2:2">
      <c r="B2117" s="10" t="s">
        <v>2299</v>
      </c>
    </row>
    <row r="2118" spans="2:2">
      <c r="B2118" s="10" t="s">
        <v>2300</v>
      </c>
    </row>
    <row r="2119" spans="2:2">
      <c r="B2119" s="10" t="s">
        <v>2301</v>
      </c>
    </row>
    <row r="2120" spans="2:2">
      <c r="B2120" s="10" t="s">
        <v>2302</v>
      </c>
    </row>
    <row r="2121" spans="2:2">
      <c r="B2121" s="10" t="s">
        <v>2303</v>
      </c>
    </row>
    <row r="2122" spans="2:2">
      <c r="B2122" s="10" t="s">
        <v>2304</v>
      </c>
    </row>
    <row r="2123" spans="2:2">
      <c r="B2123" s="10" t="s">
        <v>2305</v>
      </c>
    </row>
    <row r="2124" spans="2:2">
      <c r="B2124" s="10" t="s">
        <v>2306</v>
      </c>
    </row>
    <row r="2125" spans="2:2">
      <c r="B2125" s="10" t="s">
        <v>2307</v>
      </c>
    </row>
    <row r="2126" spans="2:2">
      <c r="B2126" s="10" t="s">
        <v>2308</v>
      </c>
    </row>
    <row r="2127" spans="2:2">
      <c r="B2127" s="10" t="s">
        <v>2309</v>
      </c>
    </row>
    <row r="2128" spans="2:2">
      <c r="B2128" s="10" t="s">
        <v>2310</v>
      </c>
    </row>
    <row r="2129" spans="2:2">
      <c r="B2129" s="10" t="s">
        <v>2311</v>
      </c>
    </row>
    <row r="2130" spans="2:2">
      <c r="B2130" s="10" t="s">
        <v>2312</v>
      </c>
    </row>
    <row r="2131" spans="2:2">
      <c r="B2131" s="10" t="s">
        <v>2313</v>
      </c>
    </row>
    <row r="2132" spans="2:2">
      <c r="B2132" s="10" t="s">
        <v>2314</v>
      </c>
    </row>
    <row r="2133" spans="2:2">
      <c r="B2133" s="10" t="s">
        <v>2315</v>
      </c>
    </row>
    <row r="2134" spans="2:2">
      <c r="B2134" s="10" t="s">
        <v>2316</v>
      </c>
    </row>
    <row r="2135" spans="2:2">
      <c r="B2135" s="10" t="s">
        <v>2317</v>
      </c>
    </row>
    <row r="2136" spans="2:2">
      <c r="B2136" s="10" t="s">
        <v>2318</v>
      </c>
    </row>
    <row r="2137" spans="2:2">
      <c r="B2137" s="10" t="s">
        <v>2319</v>
      </c>
    </row>
    <row r="2138" spans="2:2">
      <c r="B2138" s="10" t="s">
        <v>2320</v>
      </c>
    </row>
    <row r="2139" spans="2:2">
      <c r="B2139" s="10" t="s">
        <v>2321</v>
      </c>
    </row>
    <row r="2140" spans="2:2">
      <c r="B2140" s="10" t="s">
        <v>2322</v>
      </c>
    </row>
    <row r="2141" spans="2:2">
      <c r="B2141" s="10" t="s">
        <v>2323</v>
      </c>
    </row>
    <row r="2142" spans="2:2">
      <c r="B2142" s="10" t="s">
        <v>2324</v>
      </c>
    </row>
    <row r="2143" spans="2:2">
      <c r="B2143" s="10" t="s">
        <v>2325</v>
      </c>
    </row>
    <row r="2144" spans="2:2">
      <c r="B2144" s="10" t="s">
        <v>2326</v>
      </c>
    </row>
    <row r="2145" spans="2:2">
      <c r="B2145" s="10" t="s">
        <v>2327</v>
      </c>
    </row>
    <row r="2146" spans="2:2">
      <c r="B2146" s="10" t="s">
        <v>2328</v>
      </c>
    </row>
    <row r="2147" spans="2:2">
      <c r="B2147" s="10" t="s">
        <v>2329</v>
      </c>
    </row>
    <row r="2148" spans="2:2">
      <c r="B2148" s="10" t="s">
        <v>2330</v>
      </c>
    </row>
    <row r="2149" spans="2:2">
      <c r="B2149" s="10" t="s">
        <v>2331</v>
      </c>
    </row>
    <row r="2150" spans="2:2">
      <c r="B2150" s="10" t="s">
        <v>2332</v>
      </c>
    </row>
    <row r="2151" spans="2:2">
      <c r="B2151" s="10" t="s">
        <v>2333</v>
      </c>
    </row>
    <row r="2152" spans="2:2">
      <c r="B2152" s="10" t="s">
        <v>2334</v>
      </c>
    </row>
    <row r="2153" spans="2:2">
      <c r="B2153" s="10" t="s">
        <v>2335</v>
      </c>
    </row>
    <row r="2154" spans="2:2">
      <c r="B2154" s="10" t="s">
        <v>2336</v>
      </c>
    </row>
    <row r="2155" spans="2:2">
      <c r="B2155" s="10" t="s">
        <v>2337</v>
      </c>
    </row>
    <row r="2156" spans="2:2">
      <c r="B2156" s="10" t="s">
        <v>2338</v>
      </c>
    </row>
    <row r="2157" spans="2:2">
      <c r="B2157" s="10" t="s">
        <v>2339</v>
      </c>
    </row>
    <row r="2158" spans="2:2">
      <c r="B2158" s="10" t="s">
        <v>2340</v>
      </c>
    </row>
    <row r="2159" spans="2:2">
      <c r="B2159" s="10" t="s">
        <v>2341</v>
      </c>
    </row>
    <row r="2160" spans="2:2">
      <c r="B2160" s="10" t="s">
        <v>2342</v>
      </c>
    </row>
    <row r="2161" spans="2:2">
      <c r="B2161" s="10" t="s">
        <v>2343</v>
      </c>
    </row>
    <row r="2162" spans="2:2">
      <c r="B2162" s="10" t="s">
        <v>2344</v>
      </c>
    </row>
    <row r="2163" spans="2:2">
      <c r="B2163" s="10" t="s">
        <v>2345</v>
      </c>
    </row>
    <row r="2164" spans="2:2">
      <c r="B2164" s="10" t="s">
        <v>2346</v>
      </c>
    </row>
    <row r="2165" spans="2:2">
      <c r="B2165" s="10" t="s">
        <v>2347</v>
      </c>
    </row>
    <row r="2166" spans="2:2">
      <c r="B2166" s="10" t="s">
        <v>2348</v>
      </c>
    </row>
    <row r="2167" spans="2:2">
      <c r="B2167" s="10" t="s">
        <v>2349</v>
      </c>
    </row>
    <row r="2168" spans="2:2">
      <c r="B2168" s="10" t="s">
        <v>2350</v>
      </c>
    </row>
    <row r="2169" spans="2:2">
      <c r="B2169" s="10" t="s">
        <v>2351</v>
      </c>
    </row>
    <row r="2170" spans="2:2">
      <c r="B2170" s="10" t="s">
        <v>2352</v>
      </c>
    </row>
    <row r="2171" spans="2:2">
      <c r="B2171" s="10" t="s">
        <v>2353</v>
      </c>
    </row>
    <row r="2172" spans="2:2">
      <c r="B2172" s="10" t="s">
        <v>2354</v>
      </c>
    </row>
    <row r="2173" spans="2:2">
      <c r="B2173" s="10" t="s">
        <v>2355</v>
      </c>
    </row>
    <row r="2174" spans="2:2">
      <c r="B2174" s="10" t="s">
        <v>2356</v>
      </c>
    </row>
    <row r="2175" spans="2:2">
      <c r="B2175" s="10" t="s">
        <v>2357</v>
      </c>
    </row>
    <row r="2176" spans="2:2">
      <c r="B2176" s="10" t="s">
        <v>2358</v>
      </c>
    </row>
    <row r="2177" spans="2:2">
      <c r="B2177" s="10" t="s">
        <v>2359</v>
      </c>
    </row>
    <row r="2178" spans="2:2">
      <c r="B2178" s="10" t="s">
        <v>2360</v>
      </c>
    </row>
    <row r="2179" spans="2:2">
      <c r="B2179" s="10" t="s">
        <v>2361</v>
      </c>
    </row>
    <row r="2180" spans="2:2">
      <c r="B2180" s="10" t="s">
        <v>2362</v>
      </c>
    </row>
    <row r="2181" spans="2:2">
      <c r="B2181" s="10" t="s">
        <v>2363</v>
      </c>
    </row>
    <row r="2182" spans="2:2">
      <c r="B2182" s="10" t="s">
        <v>2364</v>
      </c>
    </row>
    <row r="2183" spans="2:2">
      <c r="B2183" s="10" t="s">
        <v>2365</v>
      </c>
    </row>
    <row r="2184" spans="2:2">
      <c r="B2184" s="10" t="s">
        <v>2366</v>
      </c>
    </row>
    <row r="2185" spans="2:2">
      <c r="B2185" s="10" t="s">
        <v>2367</v>
      </c>
    </row>
    <row r="2186" spans="2:2">
      <c r="B2186" s="10" t="s">
        <v>2368</v>
      </c>
    </row>
    <row r="2187" spans="2:2">
      <c r="B2187" s="10" t="s">
        <v>2369</v>
      </c>
    </row>
    <row r="2188" spans="2:2">
      <c r="B2188" s="10" t="s">
        <v>2370</v>
      </c>
    </row>
    <row r="2189" spans="2:2">
      <c r="B2189" s="10" t="s">
        <v>2371</v>
      </c>
    </row>
    <row r="2190" spans="2:2">
      <c r="B2190" s="10" t="s">
        <v>2372</v>
      </c>
    </row>
    <row r="2191" spans="2:2">
      <c r="B2191" s="10" t="s">
        <v>2373</v>
      </c>
    </row>
    <row r="2192" spans="2:2">
      <c r="B2192" s="10" t="s">
        <v>2374</v>
      </c>
    </row>
    <row r="2193" spans="2:2">
      <c r="B2193" s="10" t="s">
        <v>2375</v>
      </c>
    </row>
    <row r="2194" spans="2:2">
      <c r="B2194" s="10" t="s">
        <v>2376</v>
      </c>
    </row>
    <row r="2195" spans="2:2">
      <c r="B2195" s="10" t="s">
        <v>2377</v>
      </c>
    </row>
    <row r="2196" spans="2:2">
      <c r="B2196" s="10" t="s">
        <v>2378</v>
      </c>
    </row>
    <row r="2197" spans="2:2">
      <c r="B2197" s="10" t="s">
        <v>2379</v>
      </c>
    </row>
    <row r="2198" spans="2:2">
      <c r="B2198" s="10" t="s">
        <v>2380</v>
      </c>
    </row>
    <row r="2199" spans="2:2">
      <c r="B2199" s="10" t="s">
        <v>2381</v>
      </c>
    </row>
    <row r="2200" spans="2:2">
      <c r="B2200" s="10" t="s">
        <v>2382</v>
      </c>
    </row>
    <row r="2201" spans="2:2">
      <c r="B2201" s="10" t="s">
        <v>2383</v>
      </c>
    </row>
    <row r="2202" spans="2:2">
      <c r="B2202" s="10" t="s">
        <v>2384</v>
      </c>
    </row>
    <row r="2203" spans="2:2">
      <c r="B2203" s="10" t="s">
        <v>2385</v>
      </c>
    </row>
    <row r="2204" spans="2:2">
      <c r="B2204" s="10" t="s">
        <v>2386</v>
      </c>
    </row>
    <row r="2205" spans="2:2">
      <c r="B2205" s="10" t="s">
        <v>2387</v>
      </c>
    </row>
    <row r="2206" spans="2:2">
      <c r="B2206" s="10" t="s">
        <v>2388</v>
      </c>
    </row>
    <row r="2207" spans="2:2">
      <c r="B2207" s="10" t="s">
        <v>2389</v>
      </c>
    </row>
    <row r="2208" spans="2:2">
      <c r="B2208" s="10" t="s">
        <v>2390</v>
      </c>
    </row>
    <row r="2209" spans="2:2">
      <c r="B2209" s="10" t="s">
        <v>2391</v>
      </c>
    </row>
    <row r="2210" spans="2:2">
      <c r="B2210" s="10" t="s">
        <v>2392</v>
      </c>
    </row>
    <row r="2211" spans="2:2">
      <c r="B2211" s="10" t="s">
        <v>2393</v>
      </c>
    </row>
    <row r="2212" spans="2:2">
      <c r="B2212" s="10" t="s">
        <v>2394</v>
      </c>
    </row>
    <row r="2213" spans="2:2">
      <c r="B2213" s="10" t="s">
        <v>2395</v>
      </c>
    </row>
    <row r="2214" spans="2:2">
      <c r="B2214" s="10" t="s">
        <v>2396</v>
      </c>
    </row>
    <row r="2215" spans="2:2">
      <c r="B2215" s="10" t="s">
        <v>2397</v>
      </c>
    </row>
    <row r="2216" spans="2:2">
      <c r="B2216" s="10" t="s">
        <v>2398</v>
      </c>
    </row>
    <row r="2217" spans="2:2">
      <c r="B2217" s="10" t="s">
        <v>2399</v>
      </c>
    </row>
    <row r="2218" spans="2:2">
      <c r="B2218" s="10" t="s">
        <v>2400</v>
      </c>
    </row>
    <row r="2219" spans="2:2">
      <c r="B2219" s="10" t="s">
        <v>2401</v>
      </c>
    </row>
    <row r="2220" spans="2:2">
      <c r="B2220" s="10" t="s">
        <v>2402</v>
      </c>
    </row>
    <row r="2221" spans="2:2">
      <c r="B2221" s="10" t="s">
        <v>2403</v>
      </c>
    </row>
    <row r="2222" spans="2:2">
      <c r="B2222" s="10" t="s">
        <v>2404</v>
      </c>
    </row>
    <row r="2223" spans="2:2">
      <c r="B2223" s="10" t="s">
        <v>2405</v>
      </c>
    </row>
    <row r="2224" spans="2:2">
      <c r="B2224" s="10" t="s">
        <v>2406</v>
      </c>
    </row>
    <row r="2225" spans="2:2">
      <c r="B2225" s="10" t="s">
        <v>2407</v>
      </c>
    </row>
    <row r="2226" spans="2:2">
      <c r="B2226" s="10" t="s">
        <v>2408</v>
      </c>
    </row>
    <row r="2227" spans="2:2">
      <c r="B2227" s="10" t="s">
        <v>2409</v>
      </c>
    </row>
    <row r="2228" spans="2:2">
      <c r="B2228" s="10" t="s">
        <v>2410</v>
      </c>
    </row>
    <row r="2229" spans="2:2">
      <c r="B2229" s="10" t="s">
        <v>2411</v>
      </c>
    </row>
    <row r="2230" spans="2:2">
      <c r="B2230" s="10" t="s">
        <v>2412</v>
      </c>
    </row>
    <row r="2231" spans="2:2">
      <c r="B2231" s="10" t="s">
        <v>2413</v>
      </c>
    </row>
    <row r="2232" spans="2:2">
      <c r="B2232" s="10" t="s">
        <v>2414</v>
      </c>
    </row>
    <row r="2233" spans="2:2">
      <c r="B2233" s="10" t="s">
        <v>2415</v>
      </c>
    </row>
    <row r="2234" spans="2:2">
      <c r="B2234" s="10" t="s">
        <v>2416</v>
      </c>
    </row>
    <row r="2235" spans="2:2">
      <c r="B2235" s="10" t="s">
        <v>2417</v>
      </c>
    </row>
    <row r="2236" spans="2:2">
      <c r="B2236" s="10" t="s">
        <v>2418</v>
      </c>
    </row>
    <row r="2237" spans="2:2">
      <c r="B2237" s="10" t="s">
        <v>2419</v>
      </c>
    </row>
    <row r="2238" spans="2:2">
      <c r="B2238" s="10" t="s">
        <v>2420</v>
      </c>
    </row>
    <row r="2239" spans="2:2">
      <c r="B2239" s="10" t="s">
        <v>2421</v>
      </c>
    </row>
    <row r="2240" spans="2:2">
      <c r="B2240" s="10" t="s">
        <v>2422</v>
      </c>
    </row>
    <row r="2241" spans="2:2">
      <c r="B2241" s="10" t="s">
        <v>2423</v>
      </c>
    </row>
    <row r="2242" spans="2:2">
      <c r="B2242" s="10" t="s">
        <v>2424</v>
      </c>
    </row>
    <row r="2243" spans="2:2">
      <c r="B2243" s="10" t="s">
        <v>2425</v>
      </c>
    </row>
    <row r="2244" spans="2:2">
      <c r="B2244" s="10" t="s">
        <v>2426</v>
      </c>
    </row>
    <row r="2245" spans="2:2">
      <c r="B2245" s="10" t="s">
        <v>2427</v>
      </c>
    </row>
    <row r="2246" spans="2:2">
      <c r="B2246" s="10" t="s">
        <v>2428</v>
      </c>
    </row>
    <row r="2247" spans="2:2">
      <c r="B2247" s="10" t="s">
        <v>2429</v>
      </c>
    </row>
    <row r="2248" spans="2:2">
      <c r="B2248" s="10" t="s">
        <v>2430</v>
      </c>
    </row>
    <row r="2249" spans="2:2">
      <c r="B2249" s="10" t="s">
        <v>2431</v>
      </c>
    </row>
    <row r="2250" spans="2:2">
      <c r="B2250" s="10" t="s">
        <v>2432</v>
      </c>
    </row>
    <row r="2251" spans="2:2">
      <c r="B2251" s="10" t="s">
        <v>2433</v>
      </c>
    </row>
    <row r="2252" spans="2:2">
      <c r="B2252" s="10" t="s">
        <v>2434</v>
      </c>
    </row>
    <row r="2253" spans="2:2">
      <c r="B2253" s="10" t="s">
        <v>2435</v>
      </c>
    </row>
    <row r="2254" spans="2:2">
      <c r="B2254" s="10" t="s">
        <v>2436</v>
      </c>
    </row>
    <row r="2255" spans="2:2">
      <c r="B2255" s="10" t="s">
        <v>2437</v>
      </c>
    </row>
    <row r="2256" spans="2:2">
      <c r="B2256" s="10" t="s">
        <v>2438</v>
      </c>
    </row>
    <row r="2257" spans="2:2">
      <c r="B2257" s="10" t="s">
        <v>2439</v>
      </c>
    </row>
    <row r="2258" spans="2:2">
      <c r="B2258" s="10" t="s">
        <v>2440</v>
      </c>
    </row>
    <row r="2259" spans="2:2">
      <c r="B2259" s="10" t="s">
        <v>2441</v>
      </c>
    </row>
    <row r="2260" spans="2:2">
      <c r="B2260" s="10" t="s">
        <v>2442</v>
      </c>
    </row>
    <row r="2261" spans="2:2">
      <c r="B2261" s="10" t="s">
        <v>2443</v>
      </c>
    </row>
    <row r="2262" spans="2:2">
      <c r="B2262" s="10" t="s">
        <v>2444</v>
      </c>
    </row>
    <row r="2263" spans="2:2">
      <c r="B2263" s="10" t="s">
        <v>2445</v>
      </c>
    </row>
    <row r="2264" spans="2:2">
      <c r="B2264" s="10" t="s">
        <v>2446</v>
      </c>
    </row>
    <row r="2265" spans="2:2">
      <c r="B2265" s="10" t="s">
        <v>2447</v>
      </c>
    </row>
    <row r="2266" spans="2:2">
      <c r="B2266" s="10" t="s">
        <v>2448</v>
      </c>
    </row>
    <row r="2267" spans="2:2">
      <c r="B2267" s="10" t="s">
        <v>2449</v>
      </c>
    </row>
    <row r="2268" spans="2:2">
      <c r="B2268" s="10" t="s">
        <v>2450</v>
      </c>
    </row>
    <row r="2269" spans="2:2">
      <c r="B2269" s="10" t="s">
        <v>2451</v>
      </c>
    </row>
    <row r="2270" spans="2:2">
      <c r="B2270" s="10" t="s">
        <v>2452</v>
      </c>
    </row>
    <row r="2271" spans="2:2">
      <c r="B2271" s="10" t="s">
        <v>2453</v>
      </c>
    </row>
    <row r="2272" spans="2:2">
      <c r="B2272" s="10" t="s">
        <v>2454</v>
      </c>
    </row>
    <row r="2273" spans="2:2">
      <c r="B2273" s="10" t="s">
        <v>2455</v>
      </c>
    </row>
    <row r="2274" spans="2:2">
      <c r="B2274" s="10" t="s">
        <v>2456</v>
      </c>
    </row>
    <row r="2275" spans="2:2">
      <c r="B2275" s="10" t="s">
        <v>2457</v>
      </c>
    </row>
    <row r="2276" spans="2:2">
      <c r="B2276" s="10" t="s">
        <v>2458</v>
      </c>
    </row>
    <row r="2277" spans="2:2">
      <c r="B2277" s="10" t="s">
        <v>2459</v>
      </c>
    </row>
    <row r="2278" spans="2:2">
      <c r="B2278" s="10" t="s">
        <v>2460</v>
      </c>
    </row>
    <row r="2279" spans="2:2">
      <c r="B2279" s="10" t="s">
        <v>2461</v>
      </c>
    </row>
    <row r="2280" spans="2:2">
      <c r="B2280" s="10" t="s">
        <v>2462</v>
      </c>
    </row>
    <row r="2281" spans="2:2">
      <c r="B2281" s="10" t="s">
        <v>2463</v>
      </c>
    </row>
    <row r="2282" spans="2:2">
      <c r="B2282" s="10" t="s">
        <v>2464</v>
      </c>
    </row>
    <row r="2283" spans="2:2">
      <c r="B2283" s="10" t="s">
        <v>2465</v>
      </c>
    </row>
    <row r="2284" spans="2:2">
      <c r="B2284" s="10" t="s">
        <v>2466</v>
      </c>
    </row>
    <row r="2285" spans="2:2">
      <c r="B2285" s="10" t="s">
        <v>2467</v>
      </c>
    </row>
    <row r="2286" spans="2:2">
      <c r="B2286" s="10" t="s">
        <v>2468</v>
      </c>
    </row>
    <row r="2287" spans="2:2">
      <c r="B2287" s="10" t="s">
        <v>2469</v>
      </c>
    </row>
    <row r="2288" spans="2:2">
      <c r="B2288" s="10" t="s">
        <v>2470</v>
      </c>
    </row>
    <row r="2289" spans="2:2">
      <c r="B2289" s="10" t="s">
        <v>2471</v>
      </c>
    </row>
    <row r="2290" spans="2:2">
      <c r="B2290" s="10" t="s">
        <v>2472</v>
      </c>
    </row>
    <row r="2291" spans="2:2">
      <c r="B2291" s="10" t="s">
        <v>2473</v>
      </c>
    </row>
    <row r="2292" spans="2:2">
      <c r="B2292" s="10" t="s">
        <v>2474</v>
      </c>
    </row>
    <row r="2293" spans="2:2">
      <c r="B2293" s="10" t="s">
        <v>2475</v>
      </c>
    </row>
    <row r="2294" spans="2:2">
      <c r="B2294" s="10" t="s">
        <v>2476</v>
      </c>
    </row>
    <row r="2295" spans="2:2">
      <c r="B2295" s="10" t="s">
        <v>2477</v>
      </c>
    </row>
    <row r="2296" spans="2:2">
      <c r="B2296" s="10" t="s">
        <v>2478</v>
      </c>
    </row>
    <row r="2297" spans="2:2">
      <c r="B2297" s="10" t="s">
        <v>2479</v>
      </c>
    </row>
    <row r="2298" spans="2:2">
      <c r="B2298" s="10" t="s">
        <v>2480</v>
      </c>
    </row>
    <row r="2299" spans="2:2">
      <c r="B2299" s="10" t="s">
        <v>2481</v>
      </c>
    </row>
    <row r="2300" spans="2:2">
      <c r="B2300" s="10" t="s">
        <v>2482</v>
      </c>
    </row>
    <row r="2301" spans="2:2">
      <c r="B2301" s="10" t="s">
        <v>2483</v>
      </c>
    </row>
    <row r="2302" spans="2:2">
      <c r="B2302" s="10" t="s">
        <v>2484</v>
      </c>
    </row>
    <row r="2303" spans="2:2">
      <c r="B2303" s="10" t="s">
        <v>2485</v>
      </c>
    </row>
    <row r="2304" spans="2:2">
      <c r="B2304" s="10" t="s">
        <v>2486</v>
      </c>
    </row>
    <row r="2305" spans="2:2">
      <c r="B2305" s="10" t="s">
        <v>2487</v>
      </c>
    </row>
    <row r="2306" spans="2:2">
      <c r="B2306" s="10" t="s">
        <v>2488</v>
      </c>
    </row>
    <row r="2307" spans="2:2">
      <c r="B2307" s="10" t="s">
        <v>2489</v>
      </c>
    </row>
    <row r="2308" spans="2:2">
      <c r="B2308" s="10" t="s">
        <v>2490</v>
      </c>
    </row>
    <row r="2309" spans="2:2">
      <c r="B2309" s="10" t="s">
        <v>2491</v>
      </c>
    </row>
    <row r="2310" spans="2:2">
      <c r="B2310" s="10" t="s">
        <v>2492</v>
      </c>
    </row>
    <row r="2311" spans="2:2">
      <c r="B2311" s="10" t="s">
        <v>2493</v>
      </c>
    </row>
    <row r="2312" spans="2:2">
      <c r="B2312" s="10" t="s">
        <v>2494</v>
      </c>
    </row>
    <row r="2313" spans="2:2">
      <c r="B2313" s="10" t="s">
        <v>2495</v>
      </c>
    </row>
    <row r="2314" spans="2:2">
      <c r="B2314" s="10" t="s">
        <v>2496</v>
      </c>
    </row>
    <row r="2315" spans="2:2">
      <c r="B2315" s="10" t="s">
        <v>2497</v>
      </c>
    </row>
    <row r="2316" spans="2:2">
      <c r="B2316" s="10" t="s">
        <v>2498</v>
      </c>
    </row>
    <row r="2317" spans="2:2">
      <c r="B2317" s="10" t="s">
        <v>2499</v>
      </c>
    </row>
    <row r="2318" spans="2:2">
      <c r="B2318" s="10" t="s">
        <v>2500</v>
      </c>
    </row>
    <row r="2319" spans="2:2">
      <c r="B2319" s="10" t="s">
        <v>2501</v>
      </c>
    </row>
    <row r="2320" spans="2:2">
      <c r="B2320" s="10" t="s">
        <v>2502</v>
      </c>
    </row>
    <row r="2321" spans="2:2">
      <c r="B2321" s="10" t="s">
        <v>2503</v>
      </c>
    </row>
    <row r="2322" spans="2:2">
      <c r="B2322" s="10" t="s">
        <v>2504</v>
      </c>
    </row>
    <row r="2323" spans="2:2">
      <c r="B2323" s="10" t="s">
        <v>2505</v>
      </c>
    </row>
    <row r="2324" spans="2:2">
      <c r="B2324" s="10" t="s">
        <v>2506</v>
      </c>
    </row>
    <row r="2325" spans="2:2">
      <c r="B2325" s="10" t="s">
        <v>2507</v>
      </c>
    </row>
    <row r="2326" spans="2:2">
      <c r="B2326" s="10" t="s">
        <v>2508</v>
      </c>
    </row>
    <row r="2327" spans="2:2">
      <c r="B2327" s="10" t="s">
        <v>2509</v>
      </c>
    </row>
    <row r="2328" spans="2:2">
      <c r="B2328" s="10" t="s">
        <v>2510</v>
      </c>
    </row>
    <row r="2329" spans="2:2">
      <c r="B2329" s="10" t="s">
        <v>2511</v>
      </c>
    </row>
    <row r="2330" spans="2:2">
      <c r="B2330" s="10" t="s">
        <v>2512</v>
      </c>
    </row>
    <row r="2331" spans="2:2">
      <c r="B2331" s="10" t="s">
        <v>2513</v>
      </c>
    </row>
    <row r="2332" spans="2:2">
      <c r="B2332" s="10" t="s">
        <v>2514</v>
      </c>
    </row>
    <row r="2333" spans="2:2">
      <c r="B2333" s="10" t="s">
        <v>2515</v>
      </c>
    </row>
    <row r="2334" spans="2:2">
      <c r="B2334" s="10" t="s">
        <v>2516</v>
      </c>
    </row>
    <row r="2335" spans="2:2">
      <c r="B2335" s="10" t="s">
        <v>2517</v>
      </c>
    </row>
    <row r="2336" spans="2:2">
      <c r="B2336" s="10" t="s">
        <v>2518</v>
      </c>
    </row>
    <row r="2337" spans="2:2">
      <c r="B2337" s="10" t="s">
        <v>2519</v>
      </c>
    </row>
    <row r="2338" spans="2:2">
      <c r="B2338" s="10" t="s">
        <v>2520</v>
      </c>
    </row>
    <row r="2339" spans="2:2">
      <c r="B2339" s="10" t="s">
        <v>2521</v>
      </c>
    </row>
    <row r="2340" spans="2:2">
      <c r="B2340" s="10" t="s">
        <v>2522</v>
      </c>
    </row>
    <row r="2341" spans="2:2">
      <c r="B2341" s="10" t="s">
        <v>2523</v>
      </c>
    </row>
    <row r="2342" spans="2:2">
      <c r="B2342" s="10" t="s">
        <v>2524</v>
      </c>
    </row>
    <row r="2343" spans="2:2">
      <c r="B2343" s="10" t="s">
        <v>2525</v>
      </c>
    </row>
    <row r="2344" spans="2:2">
      <c r="B2344" s="10" t="s">
        <v>2526</v>
      </c>
    </row>
    <row r="2345" spans="2:2">
      <c r="B2345" s="10" t="s">
        <v>2527</v>
      </c>
    </row>
    <row r="2346" spans="2:2">
      <c r="B2346" s="10" t="s">
        <v>2528</v>
      </c>
    </row>
    <row r="2347" spans="2:2">
      <c r="B2347" s="10" t="s">
        <v>2529</v>
      </c>
    </row>
    <row r="2348" spans="2:2">
      <c r="B2348" s="10" t="s">
        <v>2530</v>
      </c>
    </row>
    <row r="2349" spans="2:2">
      <c r="B2349" s="10" t="s">
        <v>2531</v>
      </c>
    </row>
    <row r="2350" spans="2:2">
      <c r="B2350" s="10" t="s">
        <v>2532</v>
      </c>
    </row>
    <row r="2351" spans="2:2">
      <c r="B2351" s="10" t="s">
        <v>2533</v>
      </c>
    </row>
    <row r="2352" spans="2:2">
      <c r="B2352" s="10" t="s">
        <v>2534</v>
      </c>
    </row>
    <row r="2353" spans="2:2">
      <c r="B2353" s="10" t="s">
        <v>2535</v>
      </c>
    </row>
    <row r="2354" spans="2:2">
      <c r="B2354" s="10" t="s">
        <v>2536</v>
      </c>
    </row>
    <row r="2355" spans="2:2">
      <c r="B2355" s="10" t="s">
        <v>2537</v>
      </c>
    </row>
    <row r="2356" spans="2:2">
      <c r="B2356" s="10" t="s">
        <v>2538</v>
      </c>
    </row>
    <row r="2357" spans="2:2">
      <c r="B2357" s="10" t="s">
        <v>2539</v>
      </c>
    </row>
    <row r="2358" spans="2:2">
      <c r="B2358" s="10" t="s">
        <v>2540</v>
      </c>
    </row>
    <row r="2359" spans="2:2">
      <c r="B2359" s="10" t="s">
        <v>2541</v>
      </c>
    </row>
    <row r="2360" spans="2:2">
      <c r="B2360" s="10" t="s">
        <v>2542</v>
      </c>
    </row>
    <row r="2361" spans="2:2">
      <c r="B2361" s="10" t="s">
        <v>2543</v>
      </c>
    </row>
    <row r="2362" spans="2:2">
      <c r="B2362" s="10" t="s">
        <v>2544</v>
      </c>
    </row>
    <row r="2363" spans="2:2">
      <c r="B2363" s="10" t="s">
        <v>2545</v>
      </c>
    </row>
    <row r="2364" spans="2:2">
      <c r="B2364" s="10" t="s">
        <v>2546</v>
      </c>
    </row>
    <row r="2365" spans="2:2">
      <c r="B2365" s="10" t="s">
        <v>2547</v>
      </c>
    </row>
    <row r="2366" spans="2:2">
      <c r="B2366" s="10" t="s">
        <v>2548</v>
      </c>
    </row>
    <row r="2367" spans="2:2">
      <c r="B2367" s="10" t="s">
        <v>2549</v>
      </c>
    </row>
    <row r="2368" spans="2:2">
      <c r="B2368" s="10" t="s">
        <v>2550</v>
      </c>
    </row>
    <row r="2369" spans="2:2">
      <c r="B2369" s="10" t="s">
        <v>2551</v>
      </c>
    </row>
    <row r="2370" spans="2:2">
      <c r="B2370" s="10" t="s">
        <v>2552</v>
      </c>
    </row>
    <row r="2371" spans="2:2">
      <c r="B2371" s="10" t="s">
        <v>2553</v>
      </c>
    </row>
    <row r="2372" spans="2:2">
      <c r="B2372" s="10" t="s">
        <v>2554</v>
      </c>
    </row>
    <row r="2373" spans="2:2">
      <c r="B2373" s="10" t="s">
        <v>2555</v>
      </c>
    </row>
    <row r="2374" spans="2:2">
      <c r="B2374" s="10" t="s">
        <v>2556</v>
      </c>
    </row>
    <row r="2375" spans="2:2">
      <c r="B2375" s="10" t="s">
        <v>2557</v>
      </c>
    </row>
    <row r="2376" spans="2:2">
      <c r="B2376" s="10" t="s">
        <v>2558</v>
      </c>
    </row>
    <row r="2377" spans="2:2">
      <c r="B2377" s="10" t="s">
        <v>2559</v>
      </c>
    </row>
    <row r="2378" spans="2:2">
      <c r="B2378" s="10" t="s">
        <v>2560</v>
      </c>
    </row>
    <row r="2379" spans="2:2">
      <c r="B2379" s="10" t="s">
        <v>2561</v>
      </c>
    </row>
    <row r="2380" spans="2:2">
      <c r="B2380" s="10" t="s">
        <v>2562</v>
      </c>
    </row>
    <row r="2381" spans="2:2">
      <c r="B2381" s="10" t="s">
        <v>2563</v>
      </c>
    </row>
    <row r="2382" spans="2:2">
      <c r="B2382" s="10" t="s">
        <v>2564</v>
      </c>
    </row>
    <row r="2383" spans="2:2">
      <c r="B2383" s="10" t="s">
        <v>2565</v>
      </c>
    </row>
    <row r="2384" spans="2:2">
      <c r="B2384" s="10" t="s">
        <v>2566</v>
      </c>
    </row>
    <row r="2385" spans="2:2">
      <c r="B2385" s="10" t="s">
        <v>2567</v>
      </c>
    </row>
    <row r="2386" spans="2:2">
      <c r="B2386" s="10" t="s">
        <v>2568</v>
      </c>
    </row>
    <row r="2387" spans="2:2">
      <c r="B2387" s="10" t="s">
        <v>2569</v>
      </c>
    </row>
    <row r="2388" spans="2:2">
      <c r="B2388" s="10" t="s">
        <v>2570</v>
      </c>
    </row>
    <row r="2389" spans="2:2">
      <c r="B2389" s="10" t="s">
        <v>2571</v>
      </c>
    </row>
    <row r="2390" spans="2:2">
      <c r="B2390" s="10" t="s">
        <v>2572</v>
      </c>
    </row>
    <row r="2391" spans="2:2">
      <c r="B2391" s="10" t="s">
        <v>2573</v>
      </c>
    </row>
    <row r="2392" spans="2:2">
      <c r="B2392" s="10" t="s">
        <v>2574</v>
      </c>
    </row>
    <row r="2393" spans="2:2">
      <c r="B2393" s="10" t="s">
        <v>2575</v>
      </c>
    </row>
    <row r="2394" spans="2:2">
      <c r="B2394" s="10" t="s">
        <v>2576</v>
      </c>
    </row>
    <row r="2395" spans="2:2">
      <c r="B2395" s="10" t="s">
        <v>2577</v>
      </c>
    </row>
    <row r="2396" spans="2:2">
      <c r="B2396" s="10" t="s">
        <v>2578</v>
      </c>
    </row>
    <row r="2397" spans="2:2">
      <c r="B2397" s="10" t="s">
        <v>2579</v>
      </c>
    </row>
    <row r="2398" spans="2:2">
      <c r="B2398" s="10" t="s">
        <v>2580</v>
      </c>
    </row>
    <row r="2399" spans="2:2">
      <c r="B2399" s="10" t="s">
        <v>2581</v>
      </c>
    </row>
    <row r="2400" spans="2:2">
      <c r="B2400" s="10" t="s">
        <v>2582</v>
      </c>
    </row>
    <row r="2401" spans="2:2">
      <c r="B2401" s="10" t="s">
        <v>2583</v>
      </c>
    </row>
    <row r="2402" spans="2:2">
      <c r="B2402" s="10" t="s">
        <v>2584</v>
      </c>
    </row>
    <row r="2403" spans="2:2">
      <c r="B2403" s="10" t="s">
        <v>2585</v>
      </c>
    </row>
    <row r="2404" spans="2:2">
      <c r="B2404" s="10" t="s">
        <v>2586</v>
      </c>
    </row>
    <row r="2405" spans="2:2">
      <c r="B2405" s="10" t="s">
        <v>2587</v>
      </c>
    </row>
    <row r="2406" spans="2:2">
      <c r="B2406" s="10" t="s">
        <v>2588</v>
      </c>
    </row>
    <row r="2407" spans="2:2">
      <c r="B2407" s="10" t="s">
        <v>2589</v>
      </c>
    </row>
    <row r="2408" spans="2:2">
      <c r="B2408" s="10" t="s">
        <v>2590</v>
      </c>
    </row>
    <row r="2409" spans="2:2">
      <c r="B2409" s="10" t="s">
        <v>2591</v>
      </c>
    </row>
    <row r="2410" spans="2:2">
      <c r="B2410" s="10" t="s">
        <v>2592</v>
      </c>
    </row>
    <row r="2411" spans="2:2">
      <c r="B2411" s="10" t="s">
        <v>2593</v>
      </c>
    </row>
    <row r="2412" spans="2:2">
      <c r="B2412" s="10" t="s">
        <v>2594</v>
      </c>
    </row>
    <row r="2413" spans="2:2">
      <c r="B2413" s="10" t="s">
        <v>2595</v>
      </c>
    </row>
    <row r="2414" spans="2:2">
      <c r="B2414" s="10" t="s">
        <v>2596</v>
      </c>
    </row>
    <row r="2415" spans="2:2">
      <c r="B2415" s="10" t="s">
        <v>2597</v>
      </c>
    </row>
    <row r="2416" spans="2:2">
      <c r="B2416" s="10" t="s">
        <v>2598</v>
      </c>
    </row>
    <row r="2417" spans="2:2">
      <c r="B2417" s="10" t="s">
        <v>2599</v>
      </c>
    </row>
    <row r="2418" spans="2:2">
      <c r="B2418" s="10" t="s">
        <v>2600</v>
      </c>
    </row>
    <row r="2419" spans="2:2">
      <c r="B2419" s="10" t="s">
        <v>2601</v>
      </c>
    </row>
    <row r="2420" spans="2:2">
      <c r="B2420" s="10" t="s">
        <v>2602</v>
      </c>
    </row>
    <row r="2421" spans="2:2">
      <c r="B2421" s="10" t="s">
        <v>2603</v>
      </c>
    </row>
    <row r="2422" spans="2:2">
      <c r="B2422" s="10" t="s">
        <v>2604</v>
      </c>
    </row>
    <row r="2423" spans="2:2">
      <c r="B2423" s="10" t="s">
        <v>2605</v>
      </c>
    </row>
    <row r="2424" spans="2:2">
      <c r="B2424" s="10" t="s">
        <v>2606</v>
      </c>
    </row>
    <row r="2425" spans="2:2">
      <c r="B2425" s="10" t="s">
        <v>2607</v>
      </c>
    </row>
    <row r="2426" spans="2:2">
      <c r="B2426" s="10" t="s">
        <v>2608</v>
      </c>
    </row>
    <row r="2427" spans="2:2">
      <c r="B2427" s="10" t="s">
        <v>2609</v>
      </c>
    </row>
    <row r="2428" spans="2:2">
      <c r="B2428" s="10" t="s">
        <v>2610</v>
      </c>
    </row>
    <row r="2429" spans="2:2">
      <c r="B2429" s="10" t="s">
        <v>2611</v>
      </c>
    </row>
    <row r="2430" spans="2:2">
      <c r="B2430" s="10" t="s">
        <v>2612</v>
      </c>
    </row>
    <row r="2431" spans="2:2">
      <c r="B2431" s="10" t="s">
        <v>2613</v>
      </c>
    </row>
    <row r="2432" spans="2:2">
      <c r="B2432" s="10" t="s">
        <v>2614</v>
      </c>
    </row>
    <row r="2433" spans="2:2">
      <c r="B2433" s="10" t="s">
        <v>2615</v>
      </c>
    </row>
    <row r="2434" spans="2:2">
      <c r="B2434" s="10" t="s">
        <v>2616</v>
      </c>
    </row>
    <row r="2435" spans="2:2">
      <c r="B2435" s="10" t="s">
        <v>2617</v>
      </c>
    </row>
    <row r="2436" spans="2:2">
      <c r="B2436" s="10" t="s">
        <v>2618</v>
      </c>
    </row>
    <row r="2437" spans="2:2">
      <c r="B2437" s="10" t="s">
        <v>2619</v>
      </c>
    </row>
    <row r="2438" spans="2:2">
      <c r="B2438" s="10" t="s">
        <v>2620</v>
      </c>
    </row>
    <row r="2439" spans="2:2">
      <c r="B2439" s="10" t="s">
        <v>2621</v>
      </c>
    </row>
    <row r="2440" spans="2:2">
      <c r="B2440" s="10" t="s">
        <v>2622</v>
      </c>
    </row>
    <row r="2441" spans="2:2">
      <c r="B2441" s="10" t="s">
        <v>2623</v>
      </c>
    </row>
    <row r="2442" spans="2:2">
      <c r="B2442" s="10" t="s">
        <v>2624</v>
      </c>
    </row>
    <row r="2443" spans="2:2">
      <c r="B2443" s="10" t="s">
        <v>2625</v>
      </c>
    </row>
    <row r="2444" spans="2:2">
      <c r="B2444" s="10" t="s">
        <v>2626</v>
      </c>
    </row>
    <row r="2445" spans="2:2">
      <c r="B2445" s="10" t="s">
        <v>2627</v>
      </c>
    </row>
    <row r="2446" spans="2:2">
      <c r="B2446" s="10" t="s">
        <v>2628</v>
      </c>
    </row>
    <row r="2447" spans="2:2">
      <c r="B2447" s="10" t="s">
        <v>2629</v>
      </c>
    </row>
    <row r="2448" spans="2:2">
      <c r="B2448" s="10" t="s">
        <v>2630</v>
      </c>
    </row>
    <row r="2449" spans="2:2">
      <c r="B2449" s="10" t="s">
        <v>2631</v>
      </c>
    </row>
    <row r="2450" spans="2:2">
      <c r="B2450" s="10" t="s">
        <v>2632</v>
      </c>
    </row>
    <row r="2451" spans="2:2">
      <c r="B2451" s="10" t="s">
        <v>2633</v>
      </c>
    </row>
    <row r="2452" spans="2:2">
      <c r="B2452" s="10" t="s">
        <v>2634</v>
      </c>
    </row>
    <row r="2453" spans="2:2">
      <c r="B2453" s="10" t="s">
        <v>2635</v>
      </c>
    </row>
    <row r="2454" spans="2:2">
      <c r="B2454" s="10" t="s">
        <v>2636</v>
      </c>
    </row>
    <row r="2455" spans="2:2">
      <c r="B2455" s="10" t="s">
        <v>2637</v>
      </c>
    </row>
    <row r="2456" spans="2:2">
      <c r="B2456" s="10" t="s">
        <v>2638</v>
      </c>
    </row>
    <row r="2457" spans="2:2">
      <c r="B2457" s="10" t="s">
        <v>2639</v>
      </c>
    </row>
    <row r="2458" spans="2:2">
      <c r="B2458" s="10" t="s">
        <v>2640</v>
      </c>
    </row>
    <row r="2459" spans="2:2">
      <c r="B2459" s="10" t="s">
        <v>2641</v>
      </c>
    </row>
    <row r="2460" spans="2:2">
      <c r="B2460" s="10" t="s">
        <v>2642</v>
      </c>
    </row>
    <row r="2461" spans="2:2">
      <c r="B2461" s="10" t="s">
        <v>2643</v>
      </c>
    </row>
    <row r="2462" spans="2:2">
      <c r="B2462" s="10" t="s">
        <v>2644</v>
      </c>
    </row>
    <row r="2463" spans="2:2">
      <c r="B2463" s="10" t="s">
        <v>2645</v>
      </c>
    </row>
    <row r="2464" spans="2:2">
      <c r="B2464" s="10" t="s">
        <v>2646</v>
      </c>
    </row>
    <row r="2465" spans="2:2">
      <c r="B2465" s="10" t="s">
        <v>2647</v>
      </c>
    </row>
    <row r="2466" spans="2:2">
      <c r="B2466" s="10" t="s">
        <v>2648</v>
      </c>
    </row>
    <row r="2467" spans="2:2">
      <c r="B2467" s="10" t="s">
        <v>2649</v>
      </c>
    </row>
    <row r="2468" spans="2:2">
      <c r="B2468" s="10" t="s">
        <v>2650</v>
      </c>
    </row>
    <row r="2469" spans="2:2">
      <c r="B2469" s="10" t="s">
        <v>2651</v>
      </c>
    </row>
    <row r="2470" spans="2:2">
      <c r="B2470" s="10" t="s">
        <v>2652</v>
      </c>
    </row>
    <row r="2471" spans="2:2">
      <c r="B2471" s="10" t="s">
        <v>2653</v>
      </c>
    </row>
    <row r="2472" spans="2:2">
      <c r="B2472" s="10" t="s">
        <v>2654</v>
      </c>
    </row>
    <row r="2473" spans="2:2">
      <c r="B2473" s="10" t="s">
        <v>2655</v>
      </c>
    </row>
    <row r="2474" spans="2:2">
      <c r="B2474" s="10" t="s">
        <v>2656</v>
      </c>
    </row>
    <row r="2475" spans="2:2">
      <c r="B2475" s="10" t="s">
        <v>2657</v>
      </c>
    </row>
    <row r="2476" spans="2:2">
      <c r="B2476" s="10" t="s">
        <v>2658</v>
      </c>
    </row>
    <row r="2477" spans="2:2">
      <c r="B2477" s="10" t="s">
        <v>2659</v>
      </c>
    </row>
    <row r="2478" spans="2:2">
      <c r="B2478" s="10" t="s">
        <v>2660</v>
      </c>
    </row>
    <row r="2479" spans="2:2">
      <c r="B2479" s="10" t="s">
        <v>2661</v>
      </c>
    </row>
    <row r="2480" spans="2:2">
      <c r="B2480" s="10" t="s">
        <v>2662</v>
      </c>
    </row>
    <row r="2481" spans="2:2">
      <c r="B2481" s="10" t="s">
        <v>2663</v>
      </c>
    </row>
    <row r="2482" spans="2:2">
      <c r="B2482" s="10" t="s">
        <v>2664</v>
      </c>
    </row>
    <row r="2483" spans="2:2">
      <c r="B2483" s="10" t="s">
        <v>2665</v>
      </c>
    </row>
    <row r="2484" spans="2:2">
      <c r="B2484" s="10" t="s">
        <v>2666</v>
      </c>
    </row>
    <row r="2485" spans="2:2">
      <c r="B2485" s="10" t="s">
        <v>2667</v>
      </c>
    </row>
    <row r="2486" spans="2:2">
      <c r="B2486" s="10" t="s">
        <v>2668</v>
      </c>
    </row>
    <row r="2487" spans="2:2">
      <c r="B2487" s="10" t="s">
        <v>2669</v>
      </c>
    </row>
    <row r="2488" spans="2:2">
      <c r="B2488" s="10" t="s">
        <v>2670</v>
      </c>
    </row>
    <row r="2489" spans="2:2">
      <c r="B2489" s="10" t="s">
        <v>2671</v>
      </c>
    </row>
    <row r="2490" spans="2:2">
      <c r="B2490" s="10" t="s">
        <v>2672</v>
      </c>
    </row>
    <row r="2491" spans="2:2">
      <c r="B2491" s="10" t="s">
        <v>2673</v>
      </c>
    </row>
    <row r="2492" spans="2:2">
      <c r="B2492" s="10" t="s">
        <v>2674</v>
      </c>
    </row>
    <row r="2493" spans="2:2">
      <c r="B2493" s="10" t="s">
        <v>2675</v>
      </c>
    </row>
    <row r="2494" spans="2:2">
      <c r="B2494" s="10" t="s">
        <v>2676</v>
      </c>
    </row>
    <row r="2495" spans="2:2">
      <c r="B2495" s="10" t="s">
        <v>2677</v>
      </c>
    </row>
    <row r="2496" spans="2:2">
      <c r="B2496" s="10" t="s">
        <v>2678</v>
      </c>
    </row>
    <row r="2497" spans="2:2">
      <c r="B2497" s="10" t="s">
        <v>2679</v>
      </c>
    </row>
    <row r="2498" spans="2:2">
      <c r="B2498" s="10" t="s">
        <v>2680</v>
      </c>
    </row>
    <row r="2499" spans="2:2">
      <c r="B2499" s="10" t="s">
        <v>2681</v>
      </c>
    </row>
    <row r="2500" spans="2:2">
      <c r="B2500" s="10" t="s">
        <v>2682</v>
      </c>
    </row>
    <row r="2501" spans="2:2">
      <c r="B2501" s="10" t="s">
        <v>2683</v>
      </c>
    </row>
    <row r="2502" spans="2:2">
      <c r="B2502" s="10" t="s">
        <v>2684</v>
      </c>
    </row>
    <row r="2503" spans="2:2">
      <c r="B2503" s="10" t="s">
        <v>2685</v>
      </c>
    </row>
    <row r="2504" spans="2:2">
      <c r="B2504" s="10" t="s">
        <v>2686</v>
      </c>
    </row>
    <row r="2505" spans="2:2">
      <c r="B2505" s="10" t="s">
        <v>2687</v>
      </c>
    </row>
    <row r="2506" spans="2:2">
      <c r="B2506" s="10" t="s">
        <v>2688</v>
      </c>
    </row>
    <row r="2507" spans="2:2">
      <c r="B2507" s="10" t="s">
        <v>2689</v>
      </c>
    </row>
    <row r="2508" spans="2:2">
      <c r="B2508" s="10" t="s">
        <v>2690</v>
      </c>
    </row>
    <row r="2509" spans="2:2">
      <c r="B2509" s="10" t="s">
        <v>2691</v>
      </c>
    </row>
    <row r="2510" spans="2:2">
      <c r="B2510" s="10" t="s">
        <v>2692</v>
      </c>
    </row>
    <row r="2511" spans="2:2">
      <c r="B2511" s="10" t="s">
        <v>2693</v>
      </c>
    </row>
    <row r="2512" spans="2:2">
      <c r="B2512" s="10" t="s">
        <v>2694</v>
      </c>
    </row>
    <row r="2513" spans="2:2">
      <c r="B2513" s="10" t="s">
        <v>2695</v>
      </c>
    </row>
    <row r="2514" spans="2:2">
      <c r="B2514" s="10" t="s">
        <v>2696</v>
      </c>
    </row>
    <row r="2515" spans="2:2">
      <c r="B2515" s="10" t="s">
        <v>2697</v>
      </c>
    </row>
    <row r="2516" spans="2:2">
      <c r="B2516" s="10" t="s">
        <v>2698</v>
      </c>
    </row>
    <row r="2517" spans="2:2">
      <c r="B2517" s="10" t="s">
        <v>2699</v>
      </c>
    </row>
    <row r="2518" spans="2:2">
      <c r="B2518" s="10" t="s">
        <v>2700</v>
      </c>
    </row>
    <row r="2519" spans="2:2">
      <c r="B2519" s="10" t="s">
        <v>2701</v>
      </c>
    </row>
    <row r="2520" spans="2:2">
      <c r="B2520" s="10" t="s">
        <v>2702</v>
      </c>
    </row>
    <row r="2521" spans="2:2">
      <c r="B2521" s="10" t="s">
        <v>2703</v>
      </c>
    </row>
    <row r="2522" spans="2:2">
      <c r="B2522" s="10" t="s">
        <v>2704</v>
      </c>
    </row>
    <row r="2523" spans="2:2">
      <c r="B2523" s="10" t="s">
        <v>2705</v>
      </c>
    </row>
    <row r="2524" spans="2:2">
      <c r="B2524" s="10" t="s">
        <v>2706</v>
      </c>
    </row>
    <row r="2525" spans="2:2">
      <c r="B2525" s="10" t="s">
        <v>2707</v>
      </c>
    </row>
    <row r="2526" spans="2:2">
      <c r="B2526" s="10" t="s">
        <v>2708</v>
      </c>
    </row>
    <row r="2527" spans="2:2">
      <c r="B2527" s="10" t="s">
        <v>2709</v>
      </c>
    </row>
    <row r="2528" spans="2:2">
      <c r="B2528" s="10" t="s">
        <v>2710</v>
      </c>
    </row>
    <row r="2529" spans="2:2">
      <c r="B2529" s="10" t="s">
        <v>2711</v>
      </c>
    </row>
    <row r="2530" spans="2:2">
      <c r="B2530" s="10" t="s">
        <v>2712</v>
      </c>
    </row>
    <row r="2531" spans="2:2">
      <c r="B2531" s="10" t="s">
        <v>2713</v>
      </c>
    </row>
    <row r="2532" spans="2:2">
      <c r="B2532" s="10" t="s">
        <v>2714</v>
      </c>
    </row>
    <row r="2533" spans="2:2">
      <c r="B2533" s="10" t="s">
        <v>2715</v>
      </c>
    </row>
    <row r="2534" spans="2:2">
      <c r="B2534" s="10" t="s">
        <v>2716</v>
      </c>
    </row>
    <row r="2535" spans="2:2">
      <c r="B2535" s="10" t="s">
        <v>2717</v>
      </c>
    </row>
    <row r="2536" spans="2:2">
      <c r="B2536" s="10" t="s">
        <v>2718</v>
      </c>
    </row>
    <row r="2537" spans="2:2">
      <c r="B2537" s="10" t="s">
        <v>2719</v>
      </c>
    </row>
    <row r="2538" spans="2:2">
      <c r="B2538" s="10" t="s">
        <v>2720</v>
      </c>
    </row>
    <row r="2539" spans="2:2">
      <c r="B2539" s="10" t="s">
        <v>2721</v>
      </c>
    </row>
    <row r="2540" spans="2:2">
      <c r="B2540" s="10" t="s">
        <v>2722</v>
      </c>
    </row>
    <row r="2541" spans="2:2">
      <c r="B2541" s="10" t="s">
        <v>2723</v>
      </c>
    </row>
    <row r="2542" spans="2:2">
      <c r="B2542" s="10" t="s">
        <v>2724</v>
      </c>
    </row>
    <row r="2543" spans="2:2">
      <c r="B2543" s="10" t="s">
        <v>2725</v>
      </c>
    </row>
    <row r="2544" spans="2:2">
      <c r="B2544" s="10" t="s">
        <v>2726</v>
      </c>
    </row>
    <row r="2545" spans="2:2">
      <c r="B2545" s="10" t="s">
        <v>2727</v>
      </c>
    </row>
    <row r="2546" spans="2:2">
      <c r="B2546" s="10" t="s">
        <v>2728</v>
      </c>
    </row>
    <row r="2547" spans="2:2">
      <c r="B2547" s="10" t="s">
        <v>2729</v>
      </c>
    </row>
    <row r="2548" spans="2:2">
      <c r="B2548" s="10" t="s">
        <v>2730</v>
      </c>
    </row>
    <row r="2549" spans="2:2">
      <c r="B2549" s="10" t="s">
        <v>2731</v>
      </c>
    </row>
    <row r="2550" spans="2:2">
      <c r="B2550" s="10" t="s">
        <v>2732</v>
      </c>
    </row>
    <row r="2551" spans="2:2">
      <c r="B2551" s="10" t="s">
        <v>2733</v>
      </c>
    </row>
    <row r="2552" spans="2:2">
      <c r="B2552" s="10" t="s">
        <v>2734</v>
      </c>
    </row>
    <row r="2553" spans="2:2">
      <c r="B2553" s="10" t="s">
        <v>2735</v>
      </c>
    </row>
    <row r="2554" spans="2:2">
      <c r="B2554" s="10" t="s">
        <v>2736</v>
      </c>
    </row>
    <row r="2555" spans="2:2">
      <c r="B2555" s="10" t="s">
        <v>2737</v>
      </c>
    </row>
    <row r="2556" spans="2:2">
      <c r="B2556" s="10" t="s">
        <v>2738</v>
      </c>
    </row>
    <row r="2557" spans="2:2">
      <c r="B2557" s="10" t="s">
        <v>2739</v>
      </c>
    </row>
    <row r="2558" spans="2:2">
      <c r="B2558" s="10" t="s">
        <v>2740</v>
      </c>
    </row>
    <row r="2559" spans="2:2">
      <c r="B2559" s="10" t="s">
        <v>2741</v>
      </c>
    </row>
    <row r="2560" spans="2:2">
      <c r="B2560" s="10" t="s">
        <v>2742</v>
      </c>
    </row>
    <row r="2561" spans="2:2">
      <c r="B2561" s="10" t="s">
        <v>2743</v>
      </c>
    </row>
    <row r="2562" spans="2:2">
      <c r="B2562" s="10" t="s">
        <v>2744</v>
      </c>
    </row>
    <row r="2563" spans="2:2">
      <c r="B2563" s="10" t="s">
        <v>2745</v>
      </c>
    </row>
    <row r="2564" spans="2:2">
      <c r="B2564" s="10" t="s">
        <v>2746</v>
      </c>
    </row>
    <row r="2565" spans="2:2">
      <c r="B2565" s="10" t="s">
        <v>2747</v>
      </c>
    </row>
    <row r="2566" spans="2:2">
      <c r="B2566" s="10" t="s">
        <v>2748</v>
      </c>
    </row>
    <row r="2567" spans="2:2">
      <c r="B2567" s="10" t="s">
        <v>2749</v>
      </c>
    </row>
    <row r="2568" spans="2:2">
      <c r="B2568" s="10" t="s">
        <v>2750</v>
      </c>
    </row>
    <row r="2569" spans="2:2">
      <c r="B2569" s="10" t="s">
        <v>2751</v>
      </c>
    </row>
    <row r="2570" spans="2:2">
      <c r="B2570" s="10" t="s">
        <v>2752</v>
      </c>
    </row>
    <row r="2571" spans="2:2">
      <c r="B2571" s="10" t="s">
        <v>2753</v>
      </c>
    </row>
    <row r="2572" spans="2:2">
      <c r="B2572" s="10" t="s">
        <v>2754</v>
      </c>
    </row>
    <row r="2573" spans="2:2">
      <c r="B2573" s="10" t="s">
        <v>2755</v>
      </c>
    </row>
    <row r="2574" spans="2:2">
      <c r="B2574" s="10" t="s">
        <v>2756</v>
      </c>
    </row>
    <row r="2575" spans="2:2">
      <c r="B2575" s="10" t="s">
        <v>2757</v>
      </c>
    </row>
    <row r="2576" spans="2:2">
      <c r="B2576" s="10" t="s">
        <v>2758</v>
      </c>
    </row>
    <row r="2577" spans="2:2">
      <c r="B2577" s="10" t="s">
        <v>2759</v>
      </c>
    </row>
    <row r="2578" spans="2:2">
      <c r="B2578" s="10" t="s">
        <v>2760</v>
      </c>
    </row>
    <row r="2579" spans="2:2">
      <c r="B2579" s="10" t="s">
        <v>2761</v>
      </c>
    </row>
    <row r="2580" spans="2:2">
      <c r="B2580" s="10" t="s">
        <v>2762</v>
      </c>
    </row>
    <row r="2581" spans="2:2">
      <c r="B2581" s="10" t="s">
        <v>2763</v>
      </c>
    </row>
    <row r="2582" spans="2:2">
      <c r="B2582" s="10" t="s">
        <v>2764</v>
      </c>
    </row>
    <row r="2583" spans="2:2">
      <c r="B2583" s="10" t="s">
        <v>2765</v>
      </c>
    </row>
    <row r="2584" spans="2:2">
      <c r="B2584" s="10" t="s">
        <v>2766</v>
      </c>
    </row>
    <row r="2585" spans="2:2">
      <c r="B2585" s="10" t="s">
        <v>2767</v>
      </c>
    </row>
    <row r="2586" spans="2:2">
      <c r="B2586" s="10" t="s">
        <v>2768</v>
      </c>
    </row>
    <row r="2587" spans="2:2">
      <c r="B2587" s="10" t="s">
        <v>2769</v>
      </c>
    </row>
    <row r="2588" spans="2:2">
      <c r="B2588" s="10" t="s">
        <v>2770</v>
      </c>
    </row>
    <row r="2589" spans="2:2">
      <c r="B2589" s="10" t="s">
        <v>2771</v>
      </c>
    </row>
    <row r="2590" spans="2:2">
      <c r="B2590" s="10" t="s">
        <v>2772</v>
      </c>
    </row>
    <row r="2591" spans="2:2">
      <c r="B2591" s="10" t="s">
        <v>2773</v>
      </c>
    </row>
    <row r="2592" spans="2:2">
      <c r="B2592" s="10" t="s">
        <v>2774</v>
      </c>
    </row>
    <row r="2593" spans="2:2">
      <c r="B2593" s="10" t="s">
        <v>2775</v>
      </c>
    </row>
    <row r="2594" spans="2:2">
      <c r="B2594" s="10" t="s">
        <v>2776</v>
      </c>
    </row>
    <row r="2595" spans="2:2">
      <c r="B2595" s="10" t="s">
        <v>2777</v>
      </c>
    </row>
    <row r="2596" spans="2:2">
      <c r="B2596" s="10" t="s">
        <v>2778</v>
      </c>
    </row>
    <row r="2597" spans="2:2">
      <c r="B2597" s="10" t="s">
        <v>2779</v>
      </c>
    </row>
    <row r="2598" spans="2:2">
      <c r="B2598" s="10" t="s">
        <v>2780</v>
      </c>
    </row>
    <row r="2599" spans="2:2">
      <c r="B2599" s="10" t="s">
        <v>2781</v>
      </c>
    </row>
    <row r="2600" spans="2:2">
      <c r="B2600" s="10" t="s">
        <v>2782</v>
      </c>
    </row>
    <row r="2601" spans="2:2">
      <c r="B2601" s="10" t="s">
        <v>2783</v>
      </c>
    </row>
    <row r="2602" spans="2:2">
      <c r="B2602" s="10" t="s">
        <v>2784</v>
      </c>
    </row>
    <row r="2603" spans="2:2">
      <c r="B2603" s="10" t="s">
        <v>2785</v>
      </c>
    </row>
    <row r="2604" spans="2:2">
      <c r="B2604" s="10" t="s">
        <v>2786</v>
      </c>
    </row>
    <row r="2605" spans="2:2">
      <c r="B2605" s="10" t="s">
        <v>2787</v>
      </c>
    </row>
    <row r="2606" spans="2:2">
      <c r="B2606" s="10" t="s">
        <v>2788</v>
      </c>
    </row>
    <row r="2607" spans="2:2">
      <c r="B2607" s="10" t="s">
        <v>2789</v>
      </c>
    </row>
    <row r="2608" spans="2:2">
      <c r="B2608" s="10" t="s">
        <v>2790</v>
      </c>
    </row>
    <row r="2609" spans="2:2">
      <c r="B2609" s="10" t="s">
        <v>2791</v>
      </c>
    </row>
    <row r="2610" spans="2:2">
      <c r="B2610" s="10" t="s">
        <v>2792</v>
      </c>
    </row>
    <row r="2611" spans="2:2">
      <c r="B2611" s="10" t="s">
        <v>2793</v>
      </c>
    </row>
    <row r="2612" spans="2:2">
      <c r="B2612" s="10" t="s">
        <v>2794</v>
      </c>
    </row>
    <row r="2613" spans="2:2">
      <c r="B2613" s="10" t="s">
        <v>2795</v>
      </c>
    </row>
    <row r="2614" spans="2:2">
      <c r="B2614" s="10" t="s">
        <v>2796</v>
      </c>
    </row>
    <row r="2615" spans="2:2">
      <c r="B2615" s="10" t="s">
        <v>2797</v>
      </c>
    </row>
    <row r="2616" spans="2:2">
      <c r="B2616" s="10" t="s">
        <v>2798</v>
      </c>
    </row>
    <row r="2617" spans="2:2">
      <c r="B2617" s="10" t="s">
        <v>2799</v>
      </c>
    </row>
    <row r="2618" spans="2:2">
      <c r="B2618" s="10" t="s">
        <v>2800</v>
      </c>
    </row>
    <row r="2619" spans="2:2">
      <c r="B2619" s="10" t="s">
        <v>2801</v>
      </c>
    </row>
    <row r="2620" spans="2:2">
      <c r="B2620" s="10" t="s">
        <v>2802</v>
      </c>
    </row>
    <row r="2621" spans="2:2">
      <c r="B2621" s="10" t="s">
        <v>2803</v>
      </c>
    </row>
    <row r="2622" spans="2:2">
      <c r="B2622" s="10" t="s">
        <v>2804</v>
      </c>
    </row>
    <row r="2623" spans="2:2">
      <c r="B2623" s="10" t="s">
        <v>2805</v>
      </c>
    </row>
    <row r="2624" spans="2:2">
      <c r="B2624" s="10" t="s">
        <v>2806</v>
      </c>
    </row>
    <row r="2625" spans="2:2">
      <c r="B2625" s="10" t="s">
        <v>2807</v>
      </c>
    </row>
    <row r="2626" spans="2:2">
      <c r="B2626" s="10" t="s">
        <v>2808</v>
      </c>
    </row>
    <row r="2627" spans="2:2">
      <c r="B2627" s="10" t="s">
        <v>2809</v>
      </c>
    </row>
    <row r="2628" spans="2:2">
      <c r="B2628" s="10" t="s">
        <v>2810</v>
      </c>
    </row>
    <row r="2629" spans="2:2">
      <c r="B2629" s="10" t="s">
        <v>2811</v>
      </c>
    </row>
    <row r="2630" spans="2:2">
      <c r="B2630" s="10" t="s">
        <v>2812</v>
      </c>
    </row>
    <row r="2631" spans="2:2">
      <c r="B2631" s="10" t="s">
        <v>2813</v>
      </c>
    </row>
    <row r="2632" spans="2:2">
      <c r="B2632" s="10" t="s">
        <v>2814</v>
      </c>
    </row>
    <row r="2633" spans="2:2">
      <c r="B2633" s="10" t="s">
        <v>2815</v>
      </c>
    </row>
    <row r="2634" spans="2:2">
      <c r="B2634" s="10" t="s">
        <v>2816</v>
      </c>
    </row>
    <row r="2635" spans="2:2">
      <c r="B2635" s="10" t="s">
        <v>2817</v>
      </c>
    </row>
    <row r="2636" spans="2:2">
      <c r="B2636" s="10" t="s">
        <v>2818</v>
      </c>
    </row>
    <row r="2637" spans="2:2">
      <c r="B2637" s="10" t="s">
        <v>2819</v>
      </c>
    </row>
    <row r="2638" spans="2:2">
      <c r="B2638" s="10" t="s">
        <v>2820</v>
      </c>
    </row>
    <row r="2639" spans="2:2">
      <c r="B2639" s="10" t="s">
        <v>2821</v>
      </c>
    </row>
    <row r="2640" spans="2:2">
      <c r="B2640" s="10" t="s">
        <v>2822</v>
      </c>
    </row>
    <row r="2641" spans="2:2">
      <c r="B2641" s="10" t="s">
        <v>2823</v>
      </c>
    </row>
    <row r="2642" spans="2:2">
      <c r="B2642" s="10" t="s">
        <v>2824</v>
      </c>
    </row>
    <row r="2643" spans="2:2">
      <c r="B2643" s="10" t="s">
        <v>2825</v>
      </c>
    </row>
    <row r="2644" spans="2:2">
      <c r="B2644" s="10" t="s">
        <v>2826</v>
      </c>
    </row>
    <row r="2645" spans="2:2">
      <c r="B2645" s="10" t="s">
        <v>2827</v>
      </c>
    </row>
    <row r="2646" spans="2:2">
      <c r="B2646" s="10" t="s">
        <v>2828</v>
      </c>
    </row>
    <row r="2647" spans="2:2">
      <c r="B2647" s="10" t="s">
        <v>2829</v>
      </c>
    </row>
    <row r="2648" spans="2:2">
      <c r="B2648" s="10" t="s">
        <v>2830</v>
      </c>
    </row>
    <row r="2649" spans="2:2">
      <c r="B2649" s="10" t="s">
        <v>2831</v>
      </c>
    </row>
    <row r="2650" spans="2:2">
      <c r="B2650" s="10" t="s">
        <v>2832</v>
      </c>
    </row>
    <row r="2651" spans="2:2">
      <c r="B2651" s="10" t="s">
        <v>2833</v>
      </c>
    </row>
    <row r="2652" spans="2:2">
      <c r="B2652" s="10" t="s">
        <v>2834</v>
      </c>
    </row>
    <row r="2653" spans="2:2">
      <c r="B2653" s="10" t="s">
        <v>2835</v>
      </c>
    </row>
    <row r="2654" spans="2:2">
      <c r="B2654" s="10" t="s">
        <v>2836</v>
      </c>
    </row>
    <row r="2655" spans="2:2">
      <c r="B2655" s="10" t="s">
        <v>2837</v>
      </c>
    </row>
    <row r="2656" spans="2:2">
      <c r="B2656" s="10" t="s">
        <v>2838</v>
      </c>
    </row>
    <row r="2657" spans="2:2">
      <c r="B2657" s="10" t="s">
        <v>2839</v>
      </c>
    </row>
    <row r="2658" spans="2:2">
      <c r="B2658" s="10" t="s">
        <v>2840</v>
      </c>
    </row>
    <row r="2659" spans="2:2">
      <c r="B2659" s="10" t="s">
        <v>2841</v>
      </c>
    </row>
    <row r="2660" spans="2:2">
      <c r="B2660" s="10" t="s">
        <v>2842</v>
      </c>
    </row>
    <row r="2661" spans="2:2">
      <c r="B2661" s="10" t="s">
        <v>2843</v>
      </c>
    </row>
    <row r="2662" spans="2:2">
      <c r="B2662" s="10" t="s">
        <v>2844</v>
      </c>
    </row>
    <row r="2663" spans="2:2">
      <c r="B2663" s="10" t="s">
        <v>2845</v>
      </c>
    </row>
    <row r="2664" spans="2:2">
      <c r="B2664" s="10" t="s">
        <v>2846</v>
      </c>
    </row>
    <row r="2665" spans="2:2">
      <c r="B2665" s="10" t="s">
        <v>2847</v>
      </c>
    </row>
    <row r="2666" spans="2:2">
      <c r="B2666" s="10" t="s">
        <v>2848</v>
      </c>
    </row>
    <row r="2667" spans="2:2">
      <c r="B2667" s="10" t="s">
        <v>2849</v>
      </c>
    </row>
    <row r="2668" spans="2:2">
      <c r="B2668" s="10" t="s">
        <v>2850</v>
      </c>
    </row>
    <row r="2669" spans="2:2">
      <c r="B2669" s="10" t="s">
        <v>2851</v>
      </c>
    </row>
    <row r="2670" spans="2:2">
      <c r="B2670" s="10" t="s">
        <v>2852</v>
      </c>
    </row>
    <row r="2671" spans="2:2">
      <c r="B2671" s="10" t="s">
        <v>2853</v>
      </c>
    </row>
    <row r="2672" spans="2:2">
      <c r="B2672" s="10" t="s">
        <v>2854</v>
      </c>
    </row>
    <row r="2673" spans="2:2">
      <c r="B2673" s="10" t="s">
        <v>2855</v>
      </c>
    </row>
    <row r="2674" spans="2:2">
      <c r="B2674" s="10" t="s">
        <v>2856</v>
      </c>
    </row>
    <row r="2675" spans="2:2">
      <c r="B2675" s="10" t="s">
        <v>2857</v>
      </c>
    </row>
    <row r="2676" spans="2:2">
      <c r="B2676" s="10" t="s">
        <v>2858</v>
      </c>
    </row>
    <row r="2677" spans="2:2">
      <c r="B2677" s="10" t="s">
        <v>2859</v>
      </c>
    </row>
    <row r="2678" spans="2:2">
      <c r="B2678" s="10" t="s">
        <v>2860</v>
      </c>
    </row>
    <row r="2679" spans="2:2">
      <c r="B2679" s="10" t="s">
        <v>2861</v>
      </c>
    </row>
    <row r="2680" spans="2:2">
      <c r="B2680" s="10" t="s">
        <v>2862</v>
      </c>
    </row>
    <row r="2681" spans="2:2">
      <c r="B2681" s="10" t="s">
        <v>2863</v>
      </c>
    </row>
    <row r="2682" spans="2:2">
      <c r="B2682" s="10" t="s">
        <v>2864</v>
      </c>
    </row>
    <row r="2683" spans="2:2">
      <c r="B2683" s="10" t="s">
        <v>2865</v>
      </c>
    </row>
    <row r="2684" spans="2:2">
      <c r="B2684" s="10" t="s">
        <v>2866</v>
      </c>
    </row>
    <row r="2685" spans="2:2">
      <c r="B2685" s="10" t="s">
        <v>2867</v>
      </c>
    </row>
    <row r="2686" spans="2:2">
      <c r="B2686" s="10" t="s">
        <v>2868</v>
      </c>
    </row>
    <row r="2687" spans="2:2">
      <c r="B2687" s="10" t="s">
        <v>2869</v>
      </c>
    </row>
    <row r="2688" spans="2:2">
      <c r="B2688" s="10" t="s">
        <v>2870</v>
      </c>
    </row>
    <row r="2689" spans="2:2">
      <c r="B2689" s="10" t="s">
        <v>2871</v>
      </c>
    </row>
    <row r="2690" spans="2:2">
      <c r="B2690" s="10" t="s">
        <v>2872</v>
      </c>
    </row>
    <row r="2691" spans="2:2">
      <c r="B2691" s="10" t="s">
        <v>2873</v>
      </c>
    </row>
    <row r="2692" spans="2:2">
      <c r="B2692" s="10" t="s">
        <v>2874</v>
      </c>
    </row>
    <row r="2693" spans="2:2">
      <c r="B2693" s="10" t="s">
        <v>2875</v>
      </c>
    </row>
    <row r="2694" spans="2:2">
      <c r="B2694" s="10" t="s">
        <v>2876</v>
      </c>
    </row>
    <row r="2695" spans="2:2">
      <c r="B2695" s="10" t="s">
        <v>2877</v>
      </c>
    </row>
    <row r="2696" spans="2:2">
      <c r="B2696" s="10" t="s">
        <v>2878</v>
      </c>
    </row>
    <row r="2697" spans="2:2">
      <c r="B2697" s="10" t="s">
        <v>2879</v>
      </c>
    </row>
    <row r="2698" spans="2:2">
      <c r="B2698" s="10" t="s">
        <v>2880</v>
      </c>
    </row>
    <row r="2699" spans="2:2">
      <c r="B2699" s="10" t="s">
        <v>2881</v>
      </c>
    </row>
    <row r="2700" spans="2:2">
      <c r="B2700" s="10" t="s">
        <v>2882</v>
      </c>
    </row>
    <row r="2701" spans="2:2">
      <c r="B2701" s="10" t="s">
        <v>2883</v>
      </c>
    </row>
    <row r="2702" spans="2:2">
      <c r="B2702" s="10" t="s">
        <v>2884</v>
      </c>
    </row>
    <row r="2703" spans="2:2">
      <c r="B2703" s="10" t="s">
        <v>2885</v>
      </c>
    </row>
    <row r="2704" spans="2:2">
      <c r="B2704" s="10" t="s">
        <v>2886</v>
      </c>
    </row>
    <row r="2705" spans="2:2">
      <c r="B2705" s="10" t="s">
        <v>2887</v>
      </c>
    </row>
    <row r="2706" spans="2:2">
      <c r="B2706" s="10" t="s">
        <v>2888</v>
      </c>
    </row>
    <row r="2707" spans="2:2">
      <c r="B2707" s="10" t="s">
        <v>2889</v>
      </c>
    </row>
    <row r="2708" spans="2:2">
      <c r="B2708" s="10" t="s">
        <v>2890</v>
      </c>
    </row>
    <row r="2709" spans="2:2">
      <c r="B2709" s="10" t="s">
        <v>2891</v>
      </c>
    </row>
    <row r="2710" spans="2:2">
      <c r="B2710" s="10" t="s">
        <v>2892</v>
      </c>
    </row>
    <row r="2711" spans="2:2">
      <c r="B2711" s="10" t="s">
        <v>2893</v>
      </c>
    </row>
    <row r="2712" spans="2:2">
      <c r="B2712" s="10" t="s">
        <v>2894</v>
      </c>
    </row>
    <row r="2713" spans="2:2">
      <c r="B2713" s="10" t="s">
        <v>2895</v>
      </c>
    </row>
    <row r="2714" spans="2:2">
      <c r="B2714" s="10" t="s">
        <v>2896</v>
      </c>
    </row>
    <row r="2715" spans="2:2">
      <c r="B2715" s="10" t="s">
        <v>2897</v>
      </c>
    </row>
    <row r="2716" spans="2:2">
      <c r="B2716" s="10" t="s">
        <v>2898</v>
      </c>
    </row>
    <row r="2717" spans="2:2">
      <c r="B2717" s="10" t="s">
        <v>2899</v>
      </c>
    </row>
    <row r="2718" spans="2:2">
      <c r="B2718" s="10" t="s">
        <v>2900</v>
      </c>
    </row>
    <row r="2719" spans="2:2">
      <c r="B2719" s="10" t="s">
        <v>2901</v>
      </c>
    </row>
    <row r="2720" spans="2:2">
      <c r="B2720" s="10" t="s">
        <v>2902</v>
      </c>
    </row>
    <row r="2721" spans="2:2">
      <c r="B2721" s="10" t="s">
        <v>2903</v>
      </c>
    </row>
    <row r="2722" spans="2:2">
      <c r="B2722" s="10" t="s">
        <v>2904</v>
      </c>
    </row>
    <row r="2723" spans="2:2">
      <c r="B2723" s="10" t="s">
        <v>2905</v>
      </c>
    </row>
    <row r="2724" spans="2:2">
      <c r="B2724" s="10" t="s">
        <v>2906</v>
      </c>
    </row>
    <row r="2725" spans="2:2">
      <c r="B2725" s="10" t="s">
        <v>2907</v>
      </c>
    </row>
    <row r="2726" spans="2:2">
      <c r="B2726" s="10" t="s">
        <v>2908</v>
      </c>
    </row>
    <row r="2727" spans="2:2">
      <c r="B2727" s="10" t="s">
        <v>2909</v>
      </c>
    </row>
    <row r="2728" spans="2:2">
      <c r="B2728" s="10" t="s">
        <v>2910</v>
      </c>
    </row>
    <row r="2729" spans="2:2">
      <c r="B2729" s="10" t="s">
        <v>2911</v>
      </c>
    </row>
    <row r="2730" spans="2:2">
      <c r="B2730" s="10" t="s">
        <v>2912</v>
      </c>
    </row>
    <row r="2731" spans="2:2">
      <c r="B2731" s="10" t="s">
        <v>2913</v>
      </c>
    </row>
    <row r="2732" spans="2:2">
      <c r="B2732" s="10" t="s">
        <v>2914</v>
      </c>
    </row>
    <row r="2733" spans="2:2">
      <c r="B2733" s="10" t="s">
        <v>2915</v>
      </c>
    </row>
    <row r="2734" spans="2:2">
      <c r="B2734" s="10" t="s">
        <v>2916</v>
      </c>
    </row>
    <row r="2735" spans="2:2">
      <c r="B2735" s="10" t="s">
        <v>2917</v>
      </c>
    </row>
    <row r="2736" spans="2:2">
      <c r="B2736" s="10" t="s">
        <v>2918</v>
      </c>
    </row>
    <row r="2737" spans="2:2">
      <c r="B2737" s="10" t="s">
        <v>2919</v>
      </c>
    </row>
    <row r="2738" spans="2:2">
      <c r="B2738" s="10" t="s">
        <v>2920</v>
      </c>
    </row>
    <row r="2739" spans="2:2">
      <c r="B2739" s="10" t="s">
        <v>2921</v>
      </c>
    </row>
    <row r="2740" spans="2:2">
      <c r="B2740" s="10" t="s">
        <v>2922</v>
      </c>
    </row>
    <row r="2741" spans="2:2">
      <c r="B2741" s="10" t="s">
        <v>2923</v>
      </c>
    </row>
    <row r="2742" spans="2:2">
      <c r="B2742" s="10" t="s">
        <v>2924</v>
      </c>
    </row>
    <row r="2743" spans="2:2">
      <c r="B2743" s="10" t="s">
        <v>2925</v>
      </c>
    </row>
    <row r="2744" spans="2:2">
      <c r="B2744" s="10" t="s">
        <v>2926</v>
      </c>
    </row>
    <row r="2745" spans="2:2">
      <c r="B2745" s="10" t="s">
        <v>2927</v>
      </c>
    </row>
    <row r="2746" spans="2:2">
      <c r="B2746" s="10" t="s">
        <v>2928</v>
      </c>
    </row>
    <row r="2747" spans="2:2">
      <c r="B2747" s="10" t="s">
        <v>2929</v>
      </c>
    </row>
    <row r="2748" spans="2:2">
      <c r="B2748" s="10" t="s">
        <v>2930</v>
      </c>
    </row>
    <row r="2749" spans="2:2">
      <c r="B2749" s="10" t="s">
        <v>2931</v>
      </c>
    </row>
    <row r="2750" spans="2:2">
      <c r="B2750" s="10" t="s">
        <v>2932</v>
      </c>
    </row>
    <row r="2751" spans="2:2">
      <c r="B2751" s="10" t="s">
        <v>2933</v>
      </c>
    </row>
    <row r="2752" spans="2:2">
      <c r="B2752" s="10" t="s">
        <v>2934</v>
      </c>
    </row>
    <row r="2753" spans="2:2">
      <c r="B2753" s="10" t="s">
        <v>2935</v>
      </c>
    </row>
    <row r="2754" spans="2:2">
      <c r="B2754" s="10" t="s">
        <v>2936</v>
      </c>
    </row>
    <row r="2755" spans="2:2">
      <c r="B2755" s="10" t="s">
        <v>2937</v>
      </c>
    </row>
    <row r="2756" spans="2:2">
      <c r="B2756" s="10" t="s">
        <v>2938</v>
      </c>
    </row>
    <row r="2757" spans="2:2">
      <c r="B2757" s="10" t="s">
        <v>2939</v>
      </c>
    </row>
    <row r="2758" spans="2:2">
      <c r="B2758" s="10" t="s">
        <v>2940</v>
      </c>
    </row>
    <row r="2759" spans="2:2">
      <c r="B2759" s="10" t="s">
        <v>2941</v>
      </c>
    </row>
    <row r="2760" spans="2:2">
      <c r="B2760" s="10" t="s">
        <v>2942</v>
      </c>
    </row>
    <row r="2761" spans="2:2">
      <c r="B2761" s="10" t="s">
        <v>2943</v>
      </c>
    </row>
    <row r="2762" spans="2:2">
      <c r="B2762" s="10" t="s">
        <v>2944</v>
      </c>
    </row>
    <row r="2763" spans="2:2">
      <c r="B2763" s="10" t="s">
        <v>2945</v>
      </c>
    </row>
    <row r="2764" spans="2:2">
      <c r="B2764" s="10" t="s">
        <v>2946</v>
      </c>
    </row>
    <row r="2765" spans="2:2">
      <c r="B2765" s="10" t="s">
        <v>2947</v>
      </c>
    </row>
    <row r="2766" spans="2:2">
      <c r="B2766" s="10" t="s">
        <v>2948</v>
      </c>
    </row>
    <row r="2767" spans="2:2">
      <c r="B2767" s="10" t="s">
        <v>2949</v>
      </c>
    </row>
    <row r="2768" spans="2:2">
      <c r="B2768" s="10" t="s">
        <v>2950</v>
      </c>
    </row>
    <row r="2769" spans="2:2">
      <c r="B2769" s="10" t="s">
        <v>2951</v>
      </c>
    </row>
    <row r="2770" spans="2:2">
      <c r="B2770" s="10" t="s">
        <v>2952</v>
      </c>
    </row>
    <row r="2771" spans="2:2">
      <c r="B2771" s="10" t="s">
        <v>2953</v>
      </c>
    </row>
    <row r="2772" spans="2:2">
      <c r="B2772" s="10" t="s">
        <v>2954</v>
      </c>
    </row>
    <row r="2773" spans="2:2">
      <c r="B2773" s="10" t="s">
        <v>2955</v>
      </c>
    </row>
    <row r="2774" spans="2:2">
      <c r="B2774" s="10" t="s">
        <v>2956</v>
      </c>
    </row>
    <row r="2775" spans="2:2">
      <c r="B2775" s="10" t="s">
        <v>2957</v>
      </c>
    </row>
    <row r="2776" spans="2:2">
      <c r="B2776" s="10" t="s">
        <v>2958</v>
      </c>
    </row>
    <row r="2777" spans="2:2">
      <c r="B2777" s="10" t="s">
        <v>2959</v>
      </c>
    </row>
    <row r="2778" spans="2:2">
      <c r="B2778" s="10" t="s">
        <v>2960</v>
      </c>
    </row>
    <row r="2779" spans="2:2">
      <c r="B2779" s="10" t="s">
        <v>2961</v>
      </c>
    </row>
    <row r="2780" spans="2:2">
      <c r="B2780" s="10" t="s">
        <v>2962</v>
      </c>
    </row>
    <row r="2781" spans="2:2">
      <c r="B2781" s="10" t="s">
        <v>2963</v>
      </c>
    </row>
    <row r="2782" spans="2:2">
      <c r="B2782" s="10" t="s">
        <v>2964</v>
      </c>
    </row>
    <row r="2783" spans="2:2">
      <c r="B2783" s="10" t="s">
        <v>2965</v>
      </c>
    </row>
    <row r="2784" spans="2:2">
      <c r="B2784" s="10" t="s">
        <v>2966</v>
      </c>
    </row>
    <row r="2785" spans="2:2">
      <c r="B2785" s="10" t="s">
        <v>2967</v>
      </c>
    </row>
    <row r="2786" spans="2:2">
      <c r="B2786" s="10" t="s">
        <v>2968</v>
      </c>
    </row>
    <row r="2787" spans="2:2">
      <c r="B2787" s="10" t="s">
        <v>2969</v>
      </c>
    </row>
    <row r="2788" spans="2:2">
      <c r="B2788" s="10" t="s">
        <v>2970</v>
      </c>
    </row>
    <row r="2789" spans="2:2">
      <c r="B2789" s="10" t="s">
        <v>2971</v>
      </c>
    </row>
    <row r="2790" spans="2:2">
      <c r="B2790" s="10" t="s">
        <v>2972</v>
      </c>
    </row>
    <row r="2791" spans="2:2">
      <c r="B2791" s="10" t="s">
        <v>2973</v>
      </c>
    </row>
    <row r="2792" spans="2:2">
      <c r="B2792" s="10" t="s">
        <v>2974</v>
      </c>
    </row>
    <row r="2793" spans="2:2">
      <c r="B2793" s="10" t="s">
        <v>2975</v>
      </c>
    </row>
    <row r="2794" spans="2:2">
      <c r="B2794" s="10" t="s">
        <v>2976</v>
      </c>
    </row>
    <row r="2795" spans="2:2">
      <c r="B2795" s="10" t="s">
        <v>2977</v>
      </c>
    </row>
    <row r="2796" spans="2:2">
      <c r="B2796" s="10" t="s">
        <v>2978</v>
      </c>
    </row>
    <row r="2797" spans="2:2">
      <c r="B2797" s="10" t="s">
        <v>2979</v>
      </c>
    </row>
    <row r="2798" spans="2:2">
      <c r="B2798" s="10" t="s">
        <v>2980</v>
      </c>
    </row>
    <row r="2799" spans="2:2">
      <c r="B2799" s="10" t="s">
        <v>2981</v>
      </c>
    </row>
    <row r="2800" spans="2:2">
      <c r="B2800" s="10" t="s">
        <v>2982</v>
      </c>
    </row>
    <row r="2801" spans="2:2">
      <c r="B2801" s="10" t="s">
        <v>2983</v>
      </c>
    </row>
    <row r="2802" spans="2:2">
      <c r="B2802" s="10" t="s">
        <v>2984</v>
      </c>
    </row>
    <row r="2803" spans="2:2">
      <c r="B2803" s="10" t="s">
        <v>2985</v>
      </c>
    </row>
    <row r="2804" spans="2:2">
      <c r="B2804" s="10" t="s">
        <v>2986</v>
      </c>
    </row>
    <row r="2805" spans="2:2">
      <c r="B2805" s="10" t="s">
        <v>2987</v>
      </c>
    </row>
    <row r="2806" spans="2:2">
      <c r="B2806" s="10" t="s">
        <v>2988</v>
      </c>
    </row>
    <row r="2807" spans="2:2">
      <c r="B2807" s="10" t="s">
        <v>2989</v>
      </c>
    </row>
    <row r="2808" spans="2:2">
      <c r="B2808" s="10" t="s">
        <v>2990</v>
      </c>
    </row>
    <row r="2809" spans="2:2">
      <c r="B2809" s="10" t="s">
        <v>2991</v>
      </c>
    </row>
    <row r="2810" spans="2:2">
      <c r="B2810" s="10" t="s">
        <v>2992</v>
      </c>
    </row>
    <row r="2811" spans="2:2">
      <c r="B2811" s="10" t="s">
        <v>2993</v>
      </c>
    </row>
    <row r="2812" spans="2:2">
      <c r="B2812" s="10" t="s">
        <v>2994</v>
      </c>
    </row>
    <row r="2813" spans="2:2">
      <c r="B2813" s="10" t="s">
        <v>2995</v>
      </c>
    </row>
    <row r="2814" spans="2:2">
      <c r="B2814" s="10" t="s">
        <v>2996</v>
      </c>
    </row>
    <row r="2815" spans="2:2">
      <c r="B2815" s="10" t="s">
        <v>2997</v>
      </c>
    </row>
    <row r="2816" spans="2:2">
      <c r="B2816" s="10" t="s">
        <v>2998</v>
      </c>
    </row>
    <row r="2817" spans="2:2">
      <c r="B2817" s="10" t="s">
        <v>2999</v>
      </c>
    </row>
    <row r="2818" spans="2:2">
      <c r="B2818" s="10" t="s">
        <v>3000</v>
      </c>
    </row>
    <row r="2819" spans="2:2">
      <c r="B2819" s="10" t="s">
        <v>3001</v>
      </c>
    </row>
    <row r="2820" spans="2:2">
      <c r="B2820" s="10" t="s">
        <v>3002</v>
      </c>
    </row>
    <row r="2821" spans="2:2">
      <c r="B2821" s="10" t="s">
        <v>3003</v>
      </c>
    </row>
    <row r="2822" spans="2:2">
      <c r="B2822" s="10" t="s">
        <v>3004</v>
      </c>
    </row>
    <row r="2823" spans="2:2">
      <c r="B2823" s="10" t="s">
        <v>3005</v>
      </c>
    </row>
    <row r="2824" spans="2:2">
      <c r="B2824" s="10" t="s">
        <v>3006</v>
      </c>
    </row>
    <row r="2825" spans="2:2">
      <c r="B2825" s="10" t="s">
        <v>3007</v>
      </c>
    </row>
    <row r="2826" spans="2:2">
      <c r="B2826" s="10" t="s">
        <v>3008</v>
      </c>
    </row>
    <row r="2827" spans="2:2">
      <c r="B2827" s="10" t="s">
        <v>3009</v>
      </c>
    </row>
    <row r="2828" spans="2:2">
      <c r="B2828" s="10" t="s">
        <v>3010</v>
      </c>
    </row>
    <row r="2829" spans="2:2">
      <c r="B2829" s="10" t="s">
        <v>3011</v>
      </c>
    </row>
    <row r="2830" spans="2:2">
      <c r="B2830" s="10" t="s">
        <v>3012</v>
      </c>
    </row>
    <row r="2831" spans="2:2">
      <c r="B2831" s="10" t="s">
        <v>3013</v>
      </c>
    </row>
    <row r="2832" spans="2:2">
      <c r="B2832" s="10" t="s">
        <v>3014</v>
      </c>
    </row>
    <row r="2833" spans="2:2">
      <c r="B2833" s="10" t="s">
        <v>3015</v>
      </c>
    </row>
    <row r="2834" spans="2:2">
      <c r="B2834" s="10" t="s">
        <v>3016</v>
      </c>
    </row>
    <row r="2835" spans="2:2">
      <c r="B2835" s="10" t="s">
        <v>3017</v>
      </c>
    </row>
    <row r="2836" spans="2:2">
      <c r="B2836" s="10" t="s">
        <v>3018</v>
      </c>
    </row>
    <row r="2837" spans="2:2">
      <c r="B2837" s="10" t="s">
        <v>3019</v>
      </c>
    </row>
    <row r="2838" spans="2:2">
      <c r="B2838" s="10" t="s">
        <v>3020</v>
      </c>
    </row>
    <row r="2839" spans="2:2">
      <c r="B2839" s="10" t="s">
        <v>3021</v>
      </c>
    </row>
    <row r="2840" spans="2:2">
      <c r="B2840" s="10" t="s">
        <v>3022</v>
      </c>
    </row>
    <row r="2841" spans="2:2">
      <c r="B2841" s="10" t="s">
        <v>3023</v>
      </c>
    </row>
    <row r="2842" spans="2:2">
      <c r="B2842" s="10" t="s">
        <v>3024</v>
      </c>
    </row>
    <row r="2843" spans="2:2">
      <c r="B2843" s="10" t="s">
        <v>3025</v>
      </c>
    </row>
    <row r="2844" spans="2:2">
      <c r="B2844" s="10" t="s">
        <v>3026</v>
      </c>
    </row>
    <row r="2845" spans="2:2">
      <c r="B2845" s="10" t="s">
        <v>3027</v>
      </c>
    </row>
    <row r="2846" spans="2:2">
      <c r="B2846" s="10" t="s">
        <v>3028</v>
      </c>
    </row>
    <row r="2847" spans="2:2">
      <c r="B2847" s="10" t="s">
        <v>3029</v>
      </c>
    </row>
    <row r="2848" spans="2:2">
      <c r="B2848" s="10" t="s">
        <v>3030</v>
      </c>
    </row>
    <row r="2849" spans="2:2">
      <c r="B2849" s="10" t="s">
        <v>3031</v>
      </c>
    </row>
    <row r="2850" spans="2:2">
      <c r="B2850" s="10" t="s">
        <v>3032</v>
      </c>
    </row>
    <row r="2851" spans="2:2">
      <c r="B2851" s="10" t="s">
        <v>3033</v>
      </c>
    </row>
    <row r="2852" spans="2:2">
      <c r="B2852" s="10" t="s">
        <v>3034</v>
      </c>
    </row>
    <row r="2853" spans="2:2">
      <c r="B2853" s="10" t="s">
        <v>3035</v>
      </c>
    </row>
    <row r="2854" spans="2:2">
      <c r="B2854" s="10" t="s">
        <v>3036</v>
      </c>
    </row>
    <row r="2855" spans="2:2">
      <c r="B2855" s="10" t="s">
        <v>3037</v>
      </c>
    </row>
    <row r="2856" spans="2:2">
      <c r="B2856" s="10" t="s">
        <v>3038</v>
      </c>
    </row>
    <row r="2857" spans="2:2">
      <c r="B2857" s="10" t="s">
        <v>3039</v>
      </c>
    </row>
    <row r="2858" spans="2:2">
      <c r="B2858" s="10" t="s">
        <v>3040</v>
      </c>
    </row>
    <row r="2859" spans="2:2">
      <c r="B2859" s="10" t="s">
        <v>3041</v>
      </c>
    </row>
    <row r="2860" spans="2:2">
      <c r="B2860" s="10" t="s">
        <v>3042</v>
      </c>
    </row>
    <row r="2861" spans="2:2">
      <c r="B2861" s="10" t="s">
        <v>3043</v>
      </c>
    </row>
    <row r="2862" spans="2:2">
      <c r="B2862" s="10" t="s">
        <v>3044</v>
      </c>
    </row>
    <row r="2863" spans="2:2">
      <c r="B2863" s="10" t="s">
        <v>3045</v>
      </c>
    </row>
    <row r="2864" spans="2:2">
      <c r="B2864" s="10" t="s">
        <v>3046</v>
      </c>
    </row>
    <row r="2865" spans="2:2">
      <c r="B2865" s="10" t="s">
        <v>3047</v>
      </c>
    </row>
    <row r="2866" spans="2:2">
      <c r="B2866" s="10" t="s">
        <v>3048</v>
      </c>
    </row>
    <row r="2867" spans="2:2">
      <c r="B2867" s="10" t="s">
        <v>3049</v>
      </c>
    </row>
    <row r="2868" spans="2:2">
      <c r="B2868" s="10" t="s">
        <v>3050</v>
      </c>
    </row>
    <row r="2869" spans="2:2">
      <c r="B2869" s="10" t="s">
        <v>3051</v>
      </c>
    </row>
    <row r="2870" spans="2:2">
      <c r="B2870" s="10" t="s">
        <v>3052</v>
      </c>
    </row>
    <row r="2871" spans="2:2">
      <c r="B2871" s="10" t="s">
        <v>3053</v>
      </c>
    </row>
    <row r="2872" spans="2:2">
      <c r="B2872" s="10" t="s">
        <v>3054</v>
      </c>
    </row>
    <row r="2873" spans="2:2">
      <c r="B2873" s="10" t="s">
        <v>3055</v>
      </c>
    </row>
    <row r="2874" spans="2:2">
      <c r="B2874" s="10" t="s">
        <v>3056</v>
      </c>
    </row>
    <row r="2875" spans="2:2">
      <c r="B2875" s="10" t="s">
        <v>3057</v>
      </c>
    </row>
    <row r="2876" spans="2:2">
      <c r="B2876" s="10" t="s">
        <v>3058</v>
      </c>
    </row>
    <row r="2877" spans="2:2">
      <c r="B2877" s="10" t="s">
        <v>3059</v>
      </c>
    </row>
    <row r="2878" spans="2:2">
      <c r="B2878" s="10" t="s">
        <v>3060</v>
      </c>
    </row>
    <row r="2879" spans="2:2">
      <c r="B2879" s="10" t="s">
        <v>3061</v>
      </c>
    </row>
    <row r="2880" spans="2:2">
      <c r="B2880" s="10" t="s">
        <v>3062</v>
      </c>
    </row>
    <row r="2881" spans="2:2">
      <c r="B2881" s="10" t="s">
        <v>3063</v>
      </c>
    </row>
    <row r="2882" spans="2:2">
      <c r="B2882" s="10" t="s">
        <v>3064</v>
      </c>
    </row>
    <row r="2883" spans="2:2">
      <c r="B2883" s="10" t="s">
        <v>3065</v>
      </c>
    </row>
    <row r="2884" spans="2:2">
      <c r="B2884" s="10" t="s">
        <v>3066</v>
      </c>
    </row>
    <row r="2885" spans="2:2">
      <c r="B2885" s="10" t="s">
        <v>3067</v>
      </c>
    </row>
    <row r="2886" spans="2:2">
      <c r="B2886" s="10" t="s">
        <v>3068</v>
      </c>
    </row>
    <row r="2887" spans="2:2">
      <c r="B2887" s="10" t="s">
        <v>3069</v>
      </c>
    </row>
    <row r="2888" spans="2:2">
      <c r="B2888" s="10" t="s">
        <v>3070</v>
      </c>
    </row>
    <row r="2889" spans="2:2">
      <c r="B2889" s="10" t="s">
        <v>3071</v>
      </c>
    </row>
    <row r="2890" spans="2:2">
      <c r="B2890" s="10" t="s">
        <v>3072</v>
      </c>
    </row>
    <row r="2891" spans="2:2">
      <c r="B2891" s="10" t="s">
        <v>3073</v>
      </c>
    </row>
    <row r="2892" spans="2:2">
      <c r="B2892" s="10" t="s">
        <v>3074</v>
      </c>
    </row>
    <row r="2893" spans="2:2">
      <c r="B2893" s="10" t="s">
        <v>3075</v>
      </c>
    </row>
    <row r="2894" spans="2:2">
      <c r="B2894" s="10" t="s">
        <v>3076</v>
      </c>
    </row>
    <row r="2895" spans="2:2">
      <c r="B2895" s="10" t="s">
        <v>3077</v>
      </c>
    </row>
    <row r="2896" spans="2:2">
      <c r="B2896" s="10" t="s">
        <v>3078</v>
      </c>
    </row>
    <row r="2897" spans="2:2">
      <c r="B2897" s="10" t="s">
        <v>3079</v>
      </c>
    </row>
    <row r="2898" spans="2:2">
      <c r="B2898" s="10" t="s">
        <v>3080</v>
      </c>
    </row>
    <row r="2899" spans="2:2">
      <c r="B2899" s="10" t="s">
        <v>3081</v>
      </c>
    </row>
    <row r="2900" spans="2:2">
      <c r="B2900" s="10" t="s">
        <v>3082</v>
      </c>
    </row>
    <row r="2901" spans="2:2">
      <c r="B2901" s="10" t="s">
        <v>3083</v>
      </c>
    </row>
    <row r="2902" spans="2:2">
      <c r="B2902" s="10" t="s">
        <v>3084</v>
      </c>
    </row>
    <row r="2903" spans="2:2">
      <c r="B2903" s="10" t="s">
        <v>3085</v>
      </c>
    </row>
    <row r="2904" spans="2:2">
      <c r="B2904" s="10" t="s">
        <v>3086</v>
      </c>
    </row>
    <row r="2905" spans="2:2">
      <c r="B2905" s="10" t="s">
        <v>3087</v>
      </c>
    </row>
    <row r="2906" spans="2:2">
      <c r="B2906" s="10" t="s">
        <v>3088</v>
      </c>
    </row>
    <row r="2907" spans="2:2">
      <c r="B2907" s="10" t="s">
        <v>3089</v>
      </c>
    </row>
    <row r="2908" spans="2:2">
      <c r="B2908" s="10" t="s">
        <v>3090</v>
      </c>
    </row>
    <row r="2909" spans="2:2">
      <c r="B2909" s="10" t="s">
        <v>3091</v>
      </c>
    </row>
    <row r="2910" spans="2:2">
      <c r="B2910" s="10" t="s">
        <v>3092</v>
      </c>
    </row>
    <row r="2911" spans="2:2">
      <c r="B2911" s="10" t="s">
        <v>3093</v>
      </c>
    </row>
    <row r="2912" spans="2:2">
      <c r="B2912" s="10" t="s">
        <v>3094</v>
      </c>
    </row>
    <row r="2913" spans="2:2">
      <c r="B2913" s="10" t="s">
        <v>3095</v>
      </c>
    </row>
    <row r="2914" spans="2:2">
      <c r="B2914" s="10" t="s">
        <v>3096</v>
      </c>
    </row>
    <row r="2915" spans="2:2">
      <c r="B2915" s="10" t="s">
        <v>3097</v>
      </c>
    </row>
    <row r="2916" spans="2:2">
      <c r="B2916" s="10" t="s">
        <v>3098</v>
      </c>
    </row>
    <row r="2917" spans="2:2">
      <c r="B2917" s="10" t="s">
        <v>3099</v>
      </c>
    </row>
    <row r="2918" spans="2:2">
      <c r="B2918" s="10" t="s">
        <v>3100</v>
      </c>
    </row>
    <row r="2919" spans="2:2">
      <c r="B2919" s="10" t="s">
        <v>3101</v>
      </c>
    </row>
    <row r="2920" spans="2:2">
      <c r="B2920" s="10" t="s">
        <v>3102</v>
      </c>
    </row>
    <row r="2921" spans="2:2">
      <c r="B2921" s="10" t="s">
        <v>3103</v>
      </c>
    </row>
    <row r="2922" spans="2:2">
      <c r="B2922" s="10" t="s">
        <v>3104</v>
      </c>
    </row>
    <row r="2923" spans="2:2">
      <c r="B2923" s="10" t="s">
        <v>3105</v>
      </c>
    </row>
    <row r="2924" spans="2:2">
      <c r="B2924" s="10" t="s">
        <v>3106</v>
      </c>
    </row>
    <row r="2925" spans="2:2">
      <c r="B2925" s="10" t="s">
        <v>3107</v>
      </c>
    </row>
    <row r="2926" spans="2:2">
      <c r="B2926" s="10" t="s">
        <v>3108</v>
      </c>
    </row>
    <row r="2927" spans="2:2">
      <c r="B2927" s="10" t="s">
        <v>3109</v>
      </c>
    </row>
    <row r="2928" spans="2:2">
      <c r="B2928" s="10" t="s">
        <v>3110</v>
      </c>
    </row>
    <row r="2929" spans="2:2">
      <c r="B2929" s="10" t="s">
        <v>3111</v>
      </c>
    </row>
    <row r="2930" spans="2:2">
      <c r="B2930" s="10" t="s">
        <v>3112</v>
      </c>
    </row>
    <row r="2931" spans="2:2">
      <c r="B2931" s="10" t="s">
        <v>3113</v>
      </c>
    </row>
    <row r="2932" spans="2:2">
      <c r="B2932" s="10" t="s">
        <v>3114</v>
      </c>
    </row>
    <row r="2933" spans="2:2">
      <c r="B2933" s="10" t="s">
        <v>3115</v>
      </c>
    </row>
    <row r="2934" spans="2:2">
      <c r="B2934" s="10" t="s">
        <v>3116</v>
      </c>
    </row>
    <row r="2935" spans="2:2">
      <c r="B2935" s="10" t="s">
        <v>3117</v>
      </c>
    </row>
    <row r="2936" spans="2:2">
      <c r="B2936" s="10" t="s">
        <v>3118</v>
      </c>
    </row>
    <row r="2937" spans="2:2">
      <c r="B2937" s="10" t="s">
        <v>3119</v>
      </c>
    </row>
    <row r="2938" spans="2:2">
      <c r="B2938" s="10" t="s">
        <v>3120</v>
      </c>
    </row>
    <row r="2939" spans="2:2">
      <c r="B2939" s="10" t="s">
        <v>3121</v>
      </c>
    </row>
    <row r="2940" spans="2:2">
      <c r="B2940" s="10" t="s">
        <v>3122</v>
      </c>
    </row>
    <row r="2941" spans="2:2">
      <c r="B2941" s="10" t="s">
        <v>3123</v>
      </c>
    </row>
    <row r="2942" spans="2:2">
      <c r="B2942" s="10" t="s">
        <v>3124</v>
      </c>
    </row>
    <row r="2943" spans="2:2">
      <c r="B2943" s="10" t="s">
        <v>3125</v>
      </c>
    </row>
    <row r="2944" spans="2:2">
      <c r="B2944" s="10" t="s">
        <v>3126</v>
      </c>
    </row>
    <row r="2945" spans="2:2">
      <c r="B2945" s="10" t="s">
        <v>3127</v>
      </c>
    </row>
    <row r="2946" spans="2:2">
      <c r="B2946" s="10" t="s">
        <v>3128</v>
      </c>
    </row>
    <row r="2947" spans="2:2">
      <c r="B2947" s="10" t="s">
        <v>3129</v>
      </c>
    </row>
    <row r="2948" spans="2:2">
      <c r="B2948" s="10" t="s">
        <v>3130</v>
      </c>
    </row>
    <row r="2949" spans="2:2">
      <c r="B2949" s="10" t="s">
        <v>3131</v>
      </c>
    </row>
    <row r="2950" spans="2:2">
      <c r="B2950" s="10" t="s">
        <v>3132</v>
      </c>
    </row>
    <row r="2951" spans="2:2">
      <c r="B2951" s="10" t="s">
        <v>3133</v>
      </c>
    </row>
    <row r="2952" spans="2:2">
      <c r="B2952" s="10" t="s">
        <v>3134</v>
      </c>
    </row>
    <row r="2953" spans="2:2">
      <c r="B2953" s="10" t="s">
        <v>3135</v>
      </c>
    </row>
    <row r="2954" spans="2:2">
      <c r="B2954" s="10" t="s">
        <v>3136</v>
      </c>
    </row>
    <row r="2955" spans="2:2">
      <c r="B2955" s="10" t="s">
        <v>3137</v>
      </c>
    </row>
    <row r="2956" spans="2:2">
      <c r="B2956" s="10" t="s">
        <v>3138</v>
      </c>
    </row>
    <row r="2957" spans="2:2">
      <c r="B2957" s="10" t="s">
        <v>3139</v>
      </c>
    </row>
    <row r="2958" spans="2:2">
      <c r="B2958" s="10" t="s">
        <v>3140</v>
      </c>
    </row>
    <row r="2959" spans="2:2">
      <c r="B2959" s="10" t="s">
        <v>3141</v>
      </c>
    </row>
    <row r="2960" spans="2:2">
      <c r="B2960" s="10" t="s">
        <v>3142</v>
      </c>
    </row>
    <row r="2961" spans="2:2">
      <c r="B2961" s="10" t="s">
        <v>3143</v>
      </c>
    </row>
    <row r="2962" spans="2:2">
      <c r="B2962" s="10" t="s">
        <v>3144</v>
      </c>
    </row>
    <row r="2963" spans="2:2">
      <c r="B2963" s="10" t="s">
        <v>3145</v>
      </c>
    </row>
    <row r="2964" spans="2:2">
      <c r="B2964" s="10" t="s">
        <v>3146</v>
      </c>
    </row>
    <row r="2965" spans="2:2">
      <c r="B2965" s="10" t="s">
        <v>3147</v>
      </c>
    </row>
    <row r="2966" spans="2:2">
      <c r="B2966" s="10" t="s">
        <v>3148</v>
      </c>
    </row>
    <row r="2967" spans="2:2">
      <c r="B2967" s="10" t="s">
        <v>3149</v>
      </c>
    </row>
    <row r="2968" spans="2:2">
      <c r="B2968" s="10" t="s">
        <v>3150</v>
      </c>
    </row>
    <row r="2969" spans="2:2">
      <c r="B2969" s="10" t="s">
        <v>3151</v>
      </c>
    </row>
    <row r="2970" spans="2:2">
      <c r="B2970" s="10" t="s">
        <v>3152</v>
      </c>
    </row>
    <row r="2971" spans="2:2">
      <c r="B2971" s="10" t="s">
        <v>3153</v>
      </c>
    </row>
    <row r="2972" spans="2:2">
      <c r="B2972" s="10" t="s">
        <v>3154</v>
      </c>
    </row>
    <row r="2973" spans="2:2">
      <c r="B2973" s="10" t="s">
        <v>3155</v>
      </c>
    </row>
    <row r="2974" spans="2:2">
      <c r="B2974" s="10" t="s">
        <v>3156</v>
      </c>
    </row>
    <row r="2975" spans="2:2">
      <c r="B2975" s="10" t="s">
        <v>3157</v>
      </c>
    </row>
    <row r="2976" spans="2:2">
      <c r="B2976" s="10" t="s">
        <v>3158</v>
      </c>
    </row>
    <row r="2977" spans="2:2">
      <c r="B2977" s="10" t="s">
        <v>3159</v>
      </c>
    </row>
    <row r="2978" spans="2:2">
      <c r="B2978" s="10" t="s">
        <v>3160</v>
      </c>
    </row>
    <row r="2979" spans="2:2">
      <c r="B2979" s="10" t="s">
        <v>3161</v>
      </c>
    </row>
    <row r="2980" spans="2:2">
      <c r="B2980" s="10" t="s">
        <v>3162</v>
      </c>
    </row>
    <row r="2981" spans="2:2">
      <c r="B2981" s="10" t="s">
        <v>3163</v>
      </c>
    </row>
    <row r="2982" spans="2:2">
      <c r="B2982" s="10" t="s">
        <v>3164</v>
      </c>
    </row>
    <row r="2983" spans="2:2">
      <c r="B2983" s="10" t="s">
        <v>3165</v>
      </c>
    </row>
    <row r="2984" spans="2:2">
      <c r="B2984" s="10" t="s">
        <v>3166</v>
      </c>
    </row>
    <row r="2985" spans="2:2">
      <c r="B2985" s="10" t="s">
        <v>3167</v>
      </c>
    </row>
    <row r="2986" spans="2:2">
      <c r="B2986" s="10" t="s">
        <v>3168</v>
      </c>
    </row>
    <row r="2987" spans="2:2">
      <c r="B2987" s="10" t="s">
        <v>3169</v>
      </c>
    </row>
    <row r="2988" spans="2:2">
      <c r="B2988" s="10" t="s">
        <v>3170</v>
      </c>
    </row>
    <row r="2989" spans="2:2">
      <c r="B2989" s="10" t="s">
        <v>3171</v>
      </c>
    </row>
    <row r="2990" spans="2:2">
      <c r="B2990" s="10" t="s">
        <v>3172</v>
      </c>
    </row>
    <row r="2991" spans="2:2">
      <c r="B2991" s="10" t="s">
        <v>3173</v>
      </c>
    </row>
    <row r="2992" spans="2:2">
      <c r="B2992" s="10" t="s">
        <v>3174</v>
      </c>
    </row>
    <row r="2993" spans="2:2">
      <c r="B2993" s="10" t="s">
        <v>3175</v>
      </c>
    </row>
    <row r="2994" spans="2:2">
      <c r="B2994" s="10" t="s">
        <v>3176</v>
      </c>
    </row>
    <row r="2995" spans="2:2">
      <c r="B2995" s="10" t="s">
        <v>3177</v>
      </c>
    </row>
    <row r="2996" spans="2:2">
      <c r="B2996" s="10" t="s">
        <v>3178</v>
      </c>
    </row>
    <row r="2997" spans="2:2">
      <c r="B2997" s="10" t="s">
        <v>3179</v>
      </c>
    </row>
    <row r="2998" spans="2:2">
      <c r="B2998" s="10" t="s">
        <v>3180</v>
      </c>
    </row>
    <row r="2999" spans="2:2">
      <c r="B2999" s="10" t="s">
        <v>3181</v>
      </c>
    </row>
    <row r="3000" spans="2:2">
      <c r="B3000" s="10" t="s">
        <v>3182</v>
      </c>
    </row>
    <row r="3001" spans="2:2">
      <c r="B3001" s="10" t="s">
        <v>3183</v>
      </c>
    </row>
    <row r="3002" spans="2:2">
      <c r="B3002" s="10" t="s">
        <v>3184</v>
      </c>
    </row>
    <row r="3003" spans="2:2">
      <c r="B3003" s="10" t="s">
        <v>3185</v>
      </c>
    </row>
    <row r="3004" spans="2:2">
      <c r="B3004" s="10" t="s">
        <v>3186</v>
      </c>
    </row>
    <row r="3005" spans="2:2">
      <c r="B3005" s="10" t="s">
        <v>3187</v>
      </c>
    </row>
    <row r="3006" spans="2:2">
      <c r="B3006" s="10" t="s">
        <v>3188</v>
      </c>
    </row>
    <row r="3007" spans="2:2">
      <c r="B3007" s="10" t="s">
        <v>3189</v>
      </c>
    </row>
    <row r="3008" spans="2:2">
      <c r="B3008" s="10" t="s">
        <v>3190</v>
      </c>
    </row>
    <row r="3009" spans="2:2">
      <c r="B3009" s="10" t="s">
        <v>3191</v>
      </c>
    </row>
    <row r="3010" spans="2:2">
      <c r="B3010" s="10" t="s">
        <v>3192</v>
      </c>
    </row>
    <row r="3011" spans="2:2">
      <c r="B3011" s="10" t="s">
        <v>3193</v>
      </c>
    </row>
    <row r="3012" spans="2:2">
      <c r="B3012" s="10" t="s">
        <v>3194</v>
      </c>
    </row>
    <row r="3013" spans="2:2">
      <c r="B3013" s="10" t="s">
        <v>3195</v>
      </c>
    </row>
    <row r="3014" spans="2:2">
      <c r="B3014" s="10" t="s">
        <v>3196</v>
      </c>
    </row>
    <row r="3015" spans="2:2">
      <c r="B3015" s="10" t="s">
        <v>3197</v>
      </c>
    </row>
    <row r="3016" spans="2:2">
      <c r="B3016" s="10" t="s">
        <v>3198</v>
      </c>
    </row>
    <row r="3017" spans="2:2">
      <c r="B3017" s="10" t="s">
        <v>3199</v>
      </c>
    </row>
    <row r="3018" spans="2:2">
      <c r="B3018" s="10" t="s">
        <v>3200</v>
      </c>
    </row>
    <row r="3019" spans="2:2">
      <c r="B3019" s="10" t="s">
        <v>3201</v>
      </c>
    </row>
    <row r="3020" spans="2:2">
      <c r="B3020" s="10" t="s">
        <v>3202</v>
      </c>
    </row>
    <row r="3021" spans="2:2">
      <c r="B3021" s="10" t="s">
        <v>3203</v>
      </c>
    </row>
    <row r="3022" spans="2:2">
      <c r="B3022" s="10" t="s">
        <v>3204</v>
      </c>
    </row>
    <row r="3023" spans="2:2">
      <c r="B3023" s="10" t="s">
        <v>3205</v>
      </c>
    </row>
    <row r="3024" spans="2:2">
      <c r="B3024" s="10" t="s">
        <v>3206</v>
      </c>
    </row>
    <row r="3025" spans="2:2">
      <c r="B3025" s="10" t="s">
        <v>3207</v>
      </c>
    </row>
    <row r="3026" spans="2:2">
      <c r="B3026" s="10" t="s">
        <v>3208</v>
      </c>
    </row>
    <row r="3027" spans="2:2">
      <c r="B3027" s="10" t="s">
        <v>3209</v>
      </c>
    </row>
    <row r="3028" spans="2:2">
      <c r="B3028" s="10" t="s">
        <v>3210</v>
      </c>
    </row>
    <row r="3029" spans="2:2">
      <c r="B3029" s="10" t="s">
        <v>3211</v>
      </c>
    </row>
    <row r="3030" spans="2:2">
      <c r="B3030" s="10" t="s">
        <v>3212</v>
      </c>
    </row>
    <row r="3031" spans="2:2">
      <c r="B3031" s="10" t="s">
        <v>3213</v>
      </c>
    </row>
    <row r="3032" spans="2:2">
      <c r="B3032" s="10" t="s">
        <v>3214</v>
      </c>
    </row>
    <row r="3033" spans="2:2">
      <c r="B3033" s="10" t="s">
        <v>3215</v>
      </c>
    </row>
    <row r="3034" spans="2:2">
      <c r="B3034" s="10" t="s">
        <v>3216</v>
      </c>
    </row>
    <row r="3035" spans="2:2">
      <c r="B3035" s="10" t="s">
        <v>3217</v>
      </c>
    </row>
    <row r="3036" spans="2:2">
      <c r="B3036" s="10" t="s">
        <v>3218</v>
      </c>
    </row>
    <row r="3037" spans="2:2">
      <c r="B3037" s="10" t="s">
        <v>3219</v>
      </c>
    </row>
    <row r="3038" spans="2:2">
      <c r="B3038" s="10" t="s">
        <v>3220</v>
      </c>
    </row>
    <row r="3039" spans="2:2">
      <c r="B3039" s="10" t="s">
        <v>3221</v>
      </c>
    </row>
    <row r="3040" spans="2:2">
      <c r="B3040" s="10" t="s">
        <v>3222</v>
      </c>
    </row>
    <row r="3041" spans="2:2">
      <c r="B3041" s="10" t="s">
        <v>3223</v>
      </c>
    </row>
    <row r="3042" spans="2:2">
      <c r="B3042" s="10" t="s">
        <v>3224</v>
      </c>
    </row>
    <row r="3043" spans="2:2">
      <c r="B3043" s="10" t="s">
        <v>3225</v>
      </c>
    </row>
    <row r="3044" spans="2:2">
      <c r="B3044" s="10" t="s">
        <v>3226</v>
      </c>
    </row>
    <row r="3045" spans="2:2">
      <c r="B3045" s="10" t="s">
        <v>3227</v>
      </c>
    </row>
    <row r="3046" spans="2:2">
      <c r="B3046" s="10" t="s">
        <v>3228</v>
      </c>
    </row>
    <row r="3047" spans="2:2">
      <c r="B3047" s="10" t="s">
        <v>3229</v>
      </c>
    </row>
    <row r="3048" spans="2:2">
      <c r="B3048" s="10" t="s">
        <v>3230</v>
      </c>
    </row>
    <row r="3049" spans="2:2">
      <c r="B3049" s="10" t="s">
        <v>3231</v>
      </c>
    </row>
    <row r="3050" spans="2:2">
      <c r="B3050" s="10" t="s">
        <v>3232</v>
      </c>
    </row>
    <row r="3051" spans="2:2">
      <c r="B3051" s="10" t="s">
        <v>3233</v>
      </c>
    </row>
    <row r="3052" spans="2:2">
      <c r="B3052" s="10" t="s">
        <v>3234</v>
      </c>
    </row>
    <row r="3053" spans="2:2">
      <c r="B3053" s="10" t="s">
        <v>3235</v>
      </c>
    </row>
    <row r="3054" spans="2:2">
      <c r="B3054" s="10" t="s">
        <v>3236</v>
      </c>
    </row>
    <row r="3055" spans="2:2">
      <c r="B3055" s="10" t="s">
        <v>3237</v>
      </c>
    </row>
    <row r="3056" spans="2:2">
      <c r="B3056" s="10" t="s">
        <v>3238</v>
      </c>
    </row>
    <row r="3057" spans="2:2">
      <c r="B3057" s="10" t="s">
        <v>3239</v>
      </c>
    </row>
    <row r="3058" spans="2:2">
      <c r="B3058" s="10" t="s">
        <v>3240</v>
      </c>
    </row>
    <row r="3059" spans="2:2">
      <c r="B3059" s="10" t="s">
        <v>3241</v>
      </c>
    </row>
    <row r="3060" spans="2:2">
      <c r="B3060" s="10" t="s">
        <v>3242</v>
      </c>
    </row>
    <row r="3061" spans="2:2">
      <c r="B3061" s="10" t="s">
        <v>3243</v>
      </c>
    </row>
    <row r="3062" spans="2:2">
      <c r="B3062" s="10" t="s">
        <v>3244</v>
      </c>
    </row>
    <row r="3063" spans="2:2">
      <c r="B3063" s="10" t="s">
        <v>3245</v>
      </c>
    </row>
    <row r="3064" spans="2:2">
      <c r="B3064" s="10" t="s">
        <v>3246</v>
      </c>
    </row>
    <row r="3065" spans="2:2">
      <c r="B3065" s="10" t="s">
        <v>3247</v>
      </c>
    </row>
    <row r="3066" spans="2:2">
      <c r="B3066" s="10" t="s">
        <v>3248</v>
      </c>
    </row>
    <row r="3067" spans="2:2">
      <c r="B3067" s="10" t="s">
        <v>3249</v>
      </c>
    </row>
    <row r="3068" spans="2:2">
      <c r="B3068" s="10" t="s">
        <v>3250</v>
      </c>
    </row>
    <row r="3069" spans="2:2">
      <c r="B3069" s="10" t="s">
        <v>3251</v>
      </c>
    </row>
    <row r="3070" spans="2:2">
      <c r="B3070" s="10" t="s">
        <v>3252</v>
      </c>
    </row>
    <row r="3071" spans="2:2">
      <c r="B3071" s="10" t="s">
        <v>3253</v>
      </c>
    </row>
    <row r="3072" spans="2:2">
      <c r="B3072" s="10" t="s">
        <v>3254</v>
      </c>
    </row>
    <row r="3073" spans="2:2">
      <c r="B3073" s="10" t="s">
        <v>3255</v>
      </c>
    </row>
    <row r="3074" spans="2:2">
      <c r="B3074" s="10" t="s">
        <v>3256</v>
      </c>
    </row>
    <row r="3075" spans="2:2">
      <c r="B3075" s="10" t="s">
        <v>3257</v>
      </c>
    </row>
    <row r="3076" spans="2:2">
      <c r="B3076" s="10" t="s">
        <v>3258</v>
      </c>
    </row>
    <row r="3077" spans="2:2">
      <c r="B3077" s="10" t="s">
        <v>3259</v>
      </c>
    </row>
    <row r="3078" spans="2:2">
      <c r="B3078" s="10" t="s">
        <v>3260</v>
      </c>
    </row>
    <row r="3079" spans="2:2">
      <c r="B3079" s="10" t="s">
        <v>3261</v>
      </c>
    </row>
    <row r="3080" spans="2:2">
      <c r="B3080" s="10" t="s">
        <v>3262</v>
      </c>
    </row>
    <row r="3081" spans="2:2">
      <c r="B3081" s="10" t="s">
        <v>3263</v>
      </c>
    </row>
    <row r="3082" spans="2:2">
      <c r="B3082" s="10" t="s">
        <v>3264</v>
      </c>
    </row>
    <row r="3083" spans="2:2">
      <c r="B3083" s="10" t="s">
        <v>3265</v>
      </c>
    </row>
    <row r="3084" spans="2:2">
      <c r="B3084" s="10" t="s">
        <v>3266</v>
      </c>
    </row>
    <row r="3085" spans="2:2">
      <c r="B3085" s="10" t="s">
        <v>3267</v>
      </c>
    </row>
    <row r="3086" spans="2:2">
      <c r="B3086" s="10" t="s">
        <v>3268</v>
      </c>
    </row>
    <row r="3087" spans="2:2">
      <c r="B3087" s="10" t="s">
        <v>3269</v>
      </c>
    </row>
    <row r="3088" spans="2:2">
      <c r="B3088" s="10" t="s">
        <v>3270</v>
      </c>
    </row>
    <row r="3089" spans="2:2">
      <c r="B3089" s="10" t="s">
        <v>3271</v>
      </c>
    </row>
    <row r="3090" spans="2:2">
      <c r="B3090" s="10" t="s">
        <v>3272</v>
      </c>
    </row>
    <row r="3091" spans="2:2">
      <c r="B3091" s="10" t="s">
        <v>3273</v>
      </c>
    </row>
    <row r="3092" spans="2:2">
      <c r="B3092" s="10" t="s">
        <v>3274</v>
      </c>
    </row>
    <row r="3093" spans="2:2">
      <c r="B3093" s="10" t="s">
        <v>3275</v>
      </c>
    </row>
    <row r="3094" spans="2:2">
      <c r="B3094" s="10" t="s">
        <v>3276</v>
      </c>
    </row>
    <row r="3095" spans="2:2">
      <c r="B3095" s="10" t="s">
        <v>3277</v>
      </c>
    </row>
    <row r="3096" spans="2:2">
      <c r="B3096" s="10" t="s">
        <v>3278</v>
      </c>
    </row>
    <row r="3097" spans="2:2">
      <c r="B3097" s="10" t="s">
        <v>3279</v>
      </c>
    </row>
    <row r="3098" spans="2:2">
      <c r="B3098" s="10" t="s">
        <v>3280</v>
      </c>
    </row>
    <row r="3099" spans="2:2">
      <c r="B3099" s="10" t="s">
        <v>3281</v>
      </c>
    </row>
    <row r="3100" spans="2:2">
      <c r="B3100" s="10" t="s">
        <v>3282</v>
      </c>
    </row>
    <row r="3101" spans="2:2">
      <c r="B3101" s="10" t="s">
        <v>3283</v>
      </c>
    </row>
    <row r="3102" spans="2:2">
      <c r="B3102" s="10" t="s">
        <v>3284</v>
      </c>
    </row>
    <row r="3103" spans="2:2">
      <c r="B3103" s="10" t="s">
        <v>3285</v>
      </c>
    </row>
    <row r="3104" spans="2:2">
      <c r="B3104" s="10" t="s">
        <v>3286</v>
      </c>
    </row>
    <row r="3105" spans="2:2">
      <c r="B3105" s="10" t="s">
        <v>3287</v>
      </c>
    </row>
    <row r="3106" spans="2:2">
      <c r="B3106" s="10" t="s">
        <v>3288</v>
      </c>
    </row>
    <row r="3107" spans="2:2">
      <c r="B3107" s="10" t="s">
        <v>3289</v>
      </c>
    </row>
    <row r="3108" spans="2:2">
      <c r="B3108" s="10" t="s">
        <v>3290</v>
      </c>
    </row>
    <row r="3109" spans="2:2">
      <c r="B3109" s="10" t="s">
        <v>3291</v>
      </c>
    </row>
    <row r="3110" spans="2:2">
      <c r="B3110" s="10" t="s">
        <v>3292</v>
      </c>
    </row>
    <row r="3111" spans="2:2">
      <c r="B3111" s="10" t="s">
        <v>3293</v>
      </c>
    </row>
    <row r="3112" spans="2:2">
      <c r="B3112" s="10" t="s">
        <v>3294</v>
      </c>
    </row>
    <row r="3113" spans="2:2">
      <c r="B3113" s="10" t="s">
        <v>3295</v>
      </c>
    </row>
    <row r="3114" spans="2:2">
      <c r="B3114" s="10" t="s">
        <v>3296</v>
      </c>
    </row>
    <row r="3115" spans="2:2">
      <c r="B3115" s="10" t="s">
        <v>3297</v>
      </c>
    </row>
    <row r="3116" spans="2:2">
      <c r="B3116" s="10" t="s">
        <v>3298</v>
      </c>
    </row>
    <row r="3117" spans="2:2">
      <c r="B3117" s="10" t="s">
        <v>3299</v>
      </c>
    </row>
    <row r="3118" spans="2:2">
      <c r="B3118" s="10" t="s">
        <v>3300</v>
      </c>
    </row>
    <row r="3119" spans="2:2">
      <c r="B3119" s="10" t="s">
        <v>3301</v>
      </c>
    </row>
    <row r="3120" spans="2:2">
      <c r="B3120" s="10" t="s">
        <v>3302</v>
      </c>
    </row>
    <row r="3121" spans="2:2">
      <c r="B3121" s="10" t="s">
        <v>3303</v>
      </c>
    </row>
    <row r="3122" spans="2:2">
      <c r="B3122" s="10" t="s">
        <v>3304</v>
      </c>
    </row>
    <row r="3123" spans="2:2">
      <c r="B3123" s="10" t="s">
        <v>3305</v>
      </c>
    </row>
    <row r="3124" spans="2:2">
      <c r="B3124" s="10" t="s">
        <v>3306</v>
      </c>
    </row>
    <row r="3125" spans="2:2">
      <c r="B3125" s="10" t="s">
        <v>3307</v>
      </c>
    </row>
    <row r="3126" spans="2:2">
      <c r="B3126" s="10" t="s">
        <v>3308</v>
      </c>
    </row>
    <row r="3127" spans="2:2">
      <c r="B3127" s="10" t="s">
        <v>3309</v>
      </c>
    </row>
    <row r="3128" spans="2:2">
      <c r="B3128" s="10" t="s">
        <v>3310</v>
      </c>
    </row>
    <row r="3129" spans="2:2">
      <c r="B3129" s="10" t="s">
        <v>3311</v>
      </c>
    </row>
    <row r="3130" spans="2:2">
      <c r="B3130" s="10" t="s">
        <v>3312</v>
      </c>
    </row>
    <row r="3131" spans="2:2">
      <c r="B3131" s="10" t="s">
        <v>3313</v>
      </c>
    </row>
    <row r="3132" spans="2:2">
      <c r="B3132" s="10" t="s">
        <v>3314</v>
      </c>
    </row>
    <row r="3133" spans="2:2">
      <c r="B3133" s="10" t="s">
        <v>3315</v>
      </c>
    </row>
    <row r="3134" spans="2:2">
      <c r="B3134" s="10" t="s">
        <v>3316</v>
      </c>
    </row>
    <row r="3135" spans="2:2">
      <c r="B3135" s="10" t="s">
        <v>3317</v>
      </c>
    </row>
    <row r="3136" spans="2:2">
      <c r="B3136" s="10" t="s">
        <v>3318</v>
      </c>
    </row>
    <row r="3137" spans="2:2">
      <c r="B3137" s="10" t="s">
        <v>3319</v>
      </c>
    </row>
    <row r="3138" spans="2:2">
      <c r="B3138" s="10" t="s">
        <v>3320</v>
      </c>
    </row>
    <row r="3139" spans="2:2">
      <c r="B3139" s="10" t="s">
        <v>3321</v>
      </c>
    </row>
    <row r="3140" spans="2:2">
      <c r="B3140" s="10" t="s">
        <v>3322</v>
      </c>
    </row>
    <row r="3141" spans="2:2">
      <c r="B3141" s="10" t="s">
        <v>3323</v>
      </c>
    </row>
    <row r="3142" spans="2:2">
      <c r="B3142" s="10" t="s">
        <v>3324</v>
      </c>
    </row>
    <row r="3143" spans="2:2">
      <c r="B3143" s="10" t="s">
        <v>3325</v>
      </c>
    </row>
    <row r="3144" spans="2:2">
      <c r="B3144" s="10" t="s">
        <v>3326</v>
      </c>
    </row>
    <row r="3145" spans="2:2">
      <c r="B3145" s="10" t="s">
        <v>3327</v>
      </c>
    </row>
    <row r="3146" spans="2:2">
      <c r="B3146" s="10" t="s">
        <v>3328</v>
      </c>
    </row>
    <row r="3147" spans="2:2">
      <c r="B3147" s="10" t="s">
        <v>3329</v>
      </c>
    </row>
    <row r="3148" spans="2:2">
      <c r="B3148" s="10" t="s">
        <v>3330</v>
      </c>
    </row>
    <row r="3149" spans="2:2">
      <c r="B3149" s="10" t="s">
        <v>3331</v>
      </c>
    </row>
    <row r="3150" spans="2:2">
      <c r="B3150" s="10" t="s">
        <v>3332</v>
      </c>
    </row>
    <row r="3151" spans="2:2">
      <c r="B3151" s="10" t="s">
        <v>3333</v>
      </c>
    </row>
    <row r="3152" spans="2:2">
      <c r="B3152" s="10" t="s">
        <v>3334</v>
      </c>
    </row>
    <row r="3153" spans="2:2">
      <c r="B3153" s="10" t="s">
        <v>3335</v>
      </c>
    </row>
    <row r="3154" spans="2:2">
      <c r="B3154" s="10" t="s">
        <v>3336</v>
      </c>
    </row>
    <row r="3155" spans="2:2">
      <c r="B3155" s="10" t="s">
        <v>3337</v>
      </c>
    </row>
    <row r="3156" spans="2:2">
      <c r="B3156" s="10" t="s">
        <v>3338</v>
      </c>
    </row>
    <row r="3157" spans="2:2">
      <c r="B3157" s="10" t="s">
        <v>3339</v>
      </c>
    </row>
    <row r="3158" spans="2:2">
      <c r="B3158" s="10" t="s">
        <v>3340</v>
      </c>
    </row>
    <row r="3159" spans="2:2">
      <c r="B3159" s="10" t="s">
        <v>3341</v>
      </c>
    </row>
    <row r="3160" spans="2:2">
      <c r="B3160" s="10" t="s">
        <v>3342</v>
      </c>
    </row>
    <row r="3161" spans="2:2">
      <c r="B3161" s="10" t="s">
        <v>3343</v>
      </c>
    </row>
    <row r="3162" spans="2:2">
      <c r="B3162" s="10" t="s">
        <v>3344</v>
      </c>
    </row>
    <row r="3163" spans="2:2">
      <c r="B3163" s="10" t="s">
        <v>3345</v>
      </c>
    </row>
    <row r="3164" spans="2:2">
      <c r="B3164" s="10" t="s">
        <v>3346</v>
      </c>
    </row>
    <row r="3165" spans="2:2">
      <c r="B3165" s="10" t="s">
        <v>3347</v>
      </c>
    </row>
    <row r="3166" spans="2:2">
      <c r="B3166" s="10" t="s">
        <v>3348</v>
      </c>
    </row>
    <row r="3167" spans="2:2">
      <c r="B3167" s="10" t="s">
        <v>3349</v>
      </c>
    </row>
    <row r="3168" spans="2:2">
      <c r="B3168" s="10" t="s">
        <v>3350</v>
      </c>
    </row>
    <row r="3169" spans="2:2">
      <c r="B3169" s="10" t="s">
        <v>3351</v>
      </c>
    </row>
    <row r="3170" spans="2:2">
      <c r="B3170" s="10" t="s">
        <v>3352</v>
      </c>
    </row>
    <row r="3171" spans="2:2">
      <c r="B3171" s="10" t="s">
        <v>3353</v>
      </c>
    </row>
    <row r="3172" spans="2:2">
      <c r="B3172" s="10" t="s">
        <v>3354</v>
      </c>
    </row>
    <row r="3173" spans="2:2">
      <c r="B3173" s="10" t="s">
        <v>3355</v>
      </c>
    </row>
    <row r="3174" spans="2:2">
      <c r="B3174" s="10" t="s">
        <v>3356</v>
      </c>
    </row>
    <row r="3175" spans="2:2">
      <c r="B3175" s="10" t="s">
        <v>3357</v>
      </c>
    </row>
    <row r="3176" spans="2:2">
      <c r="B3176" s="10" t="s">
        <v>3358</v>
      </c>
    </row>
    <row r="3177" spans="2:2">
      <c r="B3177" s="10" t="s">
        <v>3359</v>
      </c>
    </row>
    <row r="3178" spans="2:2">
      <c r="B3178" s="10" t="s">
        <v>3360</v>
      </c>
    </row>
    <row r="3179" spans="2:2">
      <c r="B3179" s="10" t="s">
        <v>3361</v>
      </c>
    </row>
    <row r="3180" spans="2:2">
      <c r="B3180" s="10" t="s">
        <v>3362</v>
      </c>
    </row>
    <row r="3181" spans="2:2">
      <c r="B3181" s="10" t="s">
        <v>3363</v>
      </c>
    </row>
    <row r="3182" spans="2:2">
      <c r="B3182" s="10" t="s">
        <v>3364</v>
      </c>
    </row>
    <row r="3183" spans="2:2">
      <c r="B3183" s="10" t="s">
        <v>3365</v>
      </c>
    </row>
    <row r="3184" spans="2:2">
      <c r="B3184" s="10" t="s">
        <v>3366</v>
      </c>
    </row>
    <row r="3185" spans="2:2">
      <c r="B3185" s="10" t="s">
        <v>3367</v>
      </c>
    </row>
    <row r="3186" spans="2:2">
      <c r="B3186" s="10" t="s">
        <v>3368</v>
      </c>
    </row>
    <row r="3187" spans="2:2">
      <c r="B3187" s="10" t="s">
        <v>3369</v>
      </c>
    </row>
    <row r="3188" spans="2:2">
      <c r="B3188" s="10" t="s">
        <v>3370</v>
      </c>
    </row>
    <row r="3189" spans="2:2">
      <c r="B3189" s="10" t="s">
        <v>3371</v>
      </c>
    </row>
    <row r="3190" spans="2:2">
      <c r="B3190" s="10" t="s">
        <v>3372</v>
      </c>
    </row>
    <row r="3191" spans="2:2">
      <c r="B3191" s="10" t="s">
        <v>3373</v>
      </c>
    </row>
    <row r="3192" spans="2:2">
      <c r="B3192" s="10" t="s">
        <v>3374</v>
      </c>
    </row>
    <row r="3193" spans="2:2">
      <c r="B3193" s="10" t="s">
        <v>3375</v>
      </c>
    </row>
    <row r="3194" spans="2:2">
      <c r="B3194" s="10" t="s">
        <v>3376</v>
      </c>
    </row>
    <row r="3195" spans="2:2">
      <c r="B3195" s="10" t="s">
        <v>3377</v>
      </c>
    </row>
    <row r="3196" spans="2:2">
      <c r="B3196" s="10" t="s">
        <v>3378</v>
      </c>
    </row>
    <row r="3197" spans="2:2">
      <c r="B3197" s="10" t="s">
        <v>3379</v>
      </c>
    </row>
    <row r="3198" spans="2:2">
      <c r="B3198" s="10" t="s">
        <v>3380</v>
      </c>
    </row>
    <row r="3199" spans="2:2">
      <c r="B3199" s="10" t="s">
        <v>3381</v>
      </c>
    </row>
    <row r="3200" spans="2:2">
      <c r="B3200" s="10" t="s">
        <v>3382</v>
      </c>
    </row>
    <row r="3201" spans="2:2">
      <c r="B3201" s="10" t="s">
        <v>3383</v>
      </c>
    </row>
    <row r="3202" spans="2:2">
      <c r="B3202" s="10" t="s">
        <v>3384</v>
      </c>
    </row>
    <row r="3203" spans="2:2">
      <c r="B3203" s="10" t="s">
        <v>3385</v>
      </c>
    </row>
    <row r="3204" spans="2:2">
      <c r="B3204" s="10" t="s">
        <v>3386</v>
      </c>
    </row>
    <row r="3205" spans="2:2">
      <c r="B3205" s="10" t="s">
        <v>3387</v>
      </c>
    </row>
    <row r="3206" spans="2:2">
      <c r="B3206" s="10" t="s">
        <v>3388</v>
      </c>
    </row>
    <row r="3207" spans="2:2">
      <c r="B3207" s="10" t="s">
        <v>3389</v>
      </c>
    </row>
    <row r="3208" spans="2:2">
      <c r="B3208" s="10" t="s">
        <v>3390</v>
      </c>
    </row>
    <row r="3209" spans="2:2">
      <c r="B3209" s="10" t="s">
        <v>3391</v>
      </c>
    </row>
    <row r="3210" spans="2:2">
      <c r="B3210" s="10" t="s">
        <v>3392</v>
      </c>
    </row>
    <row r="3211" spans="2:2">
      <c r="B3211" s="10" t="s">
        <v>3393</v>
      </c>
    </row>
    <row r="3212" spans="2:2">
      <c r="B3212" s="10" t="s">
        <v>3394</v>
      </c>
    </row>
    <row r="3213" spans="2:2">
      <c r="B3213" s="10" t="s">
        <v>3395</v>
      </c>
    </row>
    <row r="3214" spans="2:2">
      <c r="B3214" s="10" t="s">
        <v>3396</v>
      </c>
    </row>
    <row r="3215" spans="2:2">
      <c r="B3215" s="10" t="s">
        <v>3397</v>
      </c>
    </row>
    <row r="3216" spans="2:2">
      <c r="B3216" s="10" t="s">
        <v>3398</v>
      </c>
    </row>
    <row r="3217" spans="2:2">
      <c r="B3217" s="10" t="s">
        <v>3399</v>
      </c>
    </row>
    <row r="3218" spans="2:2">
      <c r="B3218" s="10" t="s">
        <v>3400</v>
      </c>
    </row>
    <row r="3219" spans="2:2">
      <c r="B3219" s="10" t="s">
        <v>3401</v>
      </c>
    </row>
    <row r="3220" spans="2:2">
      <c r="B3220" s="10" t="s">
        <v>3402</v>
      </c>
    </row>
    <row r="3221" spans="2:2">
      <c r="B3221" s="10" t="s">
        <v>3403</v>
      </c>
    </row>
    <row r="3222" spans="2:2">
      <c r="B3222" s="10" t="s">
        <v>3404</v>
      </c>
    </row>
    <row r="3223" spans="2:2">
      <c r="B3223" s="10" t="s">
        <v>3405</v>
      </c>
    </row>
    <row r="3224" spans="2:2">
      <c r="B3224" s="10" t="s">
        <v>3406</v>
      </c>
    </row>
    <row r="3225" spans="2:2">
      <c r="B3225" s="10" t="s">
        <v>3407</v>
      </c>
    </row>
    <row r="3226" spans="2:2">
      <c r="B3226" s="10" t="s">
        <v>3408</v>
      </c>
    </row>
    <row r="3227" spans="2:2">
      <c r="B3227" s="10" t="s">
        <v>3409</v>
      </c>
    </row>
    <row r="3228" spans="2:2">
      <c r="B3228" s="10" t="s">
        <v>3410</v>
      </c>
    </row>
    <row r="3229" spans="2:2">
      <c r="B3229" s="10" t="s">
        <v>3411</v>
      </c>
    </row>
    <row r="3230" spans="2:2">
      <c r="B3230" s="10" t="s">
        <v>3412</v>
      </c>
    </row>
    <row r="3231" spans="2:2">
      <c r="B3231" s="10" t="s">
        <v>3413</v>
      </c>
    </row>
    <row r="3232" spans="2:2">
      <c r="B3232" s="10" t="s">
        <v>3414</v>
      </c>
    </row>
    <row r="3233" spans="2:2">
      <c r="B3233" s="10" t="s">
        <v>3415</v>
      </c>
    </row>
    <row r="3234" spans="2:2">
      <c r="B3234" s="10" t="s">
        <v>3416</v>
      </c>
    </row>
    <row r="3235" spans="2:2">
      <c r="B3235" s="10" t="s">
        <v>3417</v>
      </c>
    </row>
    <row r="3236" spans="2:2">
      <c r="B3236" s="10" t="s">
        <v>3418</v>
      </c>
    </row>
    <row r="3237" spans="2:2">
      <c r="B3237" s="10" t="s">
        <v>3419</v>
      </c>
    </row>
    <row r="3238" spans="2:2">
      <c r="B3238" s="10" t="s">
        <v>3420</v>
      </c>
    </row>
    <row r="3239" spans="2:2">
      <c r="B3239" s="10" t="s">
        <v>3421</v>
      </c>
    </row>
    <row r="3240" spans="2:2">
      <c r="B3240" s="10" t="s">
        <v>3422</v>
      </c>
    </row>
    <row r="3241" spans="2:2">
      <c r="B3241" s="10" t="s">
        <v>3423</v>
      </c>
    </row>
    <row r="3242" spans="2:2">
      <c r="B3242" s="10" t="s">
        <v>3424</v>
      </c>
    </row>
    <row r="3243" spans="2:2">
      <c r="B3243" s="10" t="s">
        <v>3425</v>
      </c>
    </row>
    <row r="3244" spans="2:2">
      <c r="B3244" s="10" t="s">
        <v>3426</v>
      </c>
    </row>
    <row r="3245" spans="2:2">
      <c r="B3245" s="10" t="s">
        <v>3427</v>
      </c>
    </row>
    <row r="3246" spans="2:2">
      <c r="B3246" s="10" t="s">
        <v>3428</v>
      </c>
    </row>
    <row r="3247" spans="2:2">
      <c r="B3247" s="10" t="s">
        <v>3429</v>
      </c>
    </row>
    <row r="3248" spans="2:2">
      <c r="B3248" s="10" t="s">
        <v>3430</v>
      </c>
    </row>
    <row r="3249" spans="2:2">
      <c r="B3249" s="10" t="s">
        <v>3431</v>
      </c>
    </row>
    <row r="3250" spans="2:2">
      <c r="B3250" s="10" t="s">
        <v>3432</v>
      </c>
    </row>
    <row r="3251" spans="2:2">
      <c r="B3251" s="10" t="s">
        <v>3433</v>
      </c>
    </row>
    <row r="3252" spans="2:2">
      <c r="B3252" s="10" t="s">
        <v>3434</v>
      </c>
    </row>
    <row r="3253" spans="2:2">
      <c r="B3253" s="10" t="s">
        <v>3435</v>
      </c>
    </row>
    <row r="3254" spans="2:2">
      <c r="B3254" s="10" t="s">
        <v>3436</v>
      </c>
    </row>
    <row r="3255" spans="2:2">
      <c r="B3255" s="10" t="s">
        <v>3437</v>
      </c>
    </row>
    <row r="3256" spans="2:2">
      <c r="B3256" s="10" t="s">
        <v>3438</v>
      </c>
    </row>
    <row r="3257" spans="2:2">
      <c r="B3257" s="10" t="s">
        <v>3439</v>
      </c>
    </row>
    <row r="3258" spans="2:2">
      <c r="B3258" s="10" t="s">
        <v>3440</v>
      </c>
    </row>
    <row r="3259" spans="2:2">
      <c r="B3259" s="10" t="s">
        <v>3441</v>
      </c>
    </row>
    <row r="3260" spans="2:2">
      <c r="B3260" s="10" t="s">
        <v>3442</v>
      </c>
    </row>
    <row r="3261" spans="2:2">
      <c r="B3261" s="10" t="s">
        <v>3443</v>
      </c>
    </row>
    <row r="3262" spans="2:2">
      <c r="B3262" s="10" t="s">
        <v>3444</v>
      </c>
    </row>
    <row r="3263" spans="2:2">
      <c r="B3263" s="10" t="s">
        <v>3445</v>
      </c>
    </row>
    <row r="3264" spans="2:2">
      <c r="B3264" s="10" t="s">
        <v>3446</v>
      </c>
    </row>
    <row r="3265" spans="2:2">
      <c r="B3265" s="10" t="s">
        <v>3447</v>
      </c>
    </row>
    <row r="3266" spans="2:2">
      <c r="B3266" s="10" t="s">
        <v>3448</v>
      </c>
    </row>
    <row r="3267" spans="2:2">
      <c r="B3267" s="10" t="s">
        <v>3449</v>
      </c>
    </row>
    <row r="3268" spans="2:2">
      <c r="B3268" s="10" t="s">
        <v>3450</v>
      </c>
    </row>
    <row r="3269" spans="2:2">
      <c r="B3269" s="10" t="s">
        <v>3451</v>
      </c>
    </row>
    <row r="3270" spans="2:2">
      <c r="B3270" s="10" t="s">
        <v>3452</v>
      </c>
    </row>
    <row r="3271" spans="2:2">
      <c r="B3271" s="10" t="s">
        <v>3453</v>
      </c>
    </row>
    <row r="3272" spans="2:2">
      <c r="B3272" s="10" t="s">
        <v>3454</v>
      </c>
    </row>
    <row r="3273" spans="2:2">
      <c r="B3273" s="10" t="s">
        <v>3455</v>
      </c>
    </row>
    <row r="3274" spans="2:2">
      <c r="B3274" s="10" t="s">
        <v>3456</v>
      </c>
    </row>
    <row r="3275" spans="2:2">
      <c r="B3275" s="10" t="s">
        <v>3457</v>
      </c>
    </row>
    <row r="3276" spans="2:2">
      <c r="B3276" s="10" t="s">
        <v>3458</v>
      </c>
    </row>
    <row r="3277" spans="2:2">
      <c r="B3277" s="10" t="s">
        <v>3459</v>
      </c>
    </row>
    <row r="3278" spans="2:2">
      <c r="B3278" s="10" t="s">
        <v>3460</v>
      </c>
    </row>
    <row r="3279" spans="2:2">
      <c r="B3279" s="10" t="s">
        <v>3461</v>
      </c>
    </row>
    <row r="3280" spans="2:2">
      <c r="B3280" s="10" t="s">
        <v>3462</v>
      </c>
    </row>
    <row r="3281" spans="2:2">
      <c r="B3281" s="10" t="s">
        <v>3463</v>
      </c>
    </row>
    <row r="3282" spans="2:2">
      <c r="B3282" s="10" t="s">
        <v>3464</v>
      </c>
    </row>
    <row r="3283" spans="2:2">
      <c r="B3283" s="10" t="s">
        <v>3465</v>
      </c>
    </row>
    <row r="3284" spans="2:2">
      <c r="B3284" s="10" t="s">
        <v>3466</v>
      </c>
    </row>
    <row r="3285" spans="2:2">
      <c r="B3285" s="10" t="s">
        <v>3467</v>
      </c>
    </row>
    <row r="3286" spans="2:2">
      <c r="B3286" s="10" t="s">
        <v>3468</v>
      </c>
    </row>
    <row r="3287" spans="2:2">
      <c r="B3287" s="10" t="s">
        <v>3469</v>
      </c>
    </row>
    <row r="3288" spans="2:2">
      <c r="B3288" s="10" t="s">
        <v>3470</v>
      </c>
    </row>
    <row r="3289" spans="2:2">
      <c r="B3289" s="10" t="s">
        <v>3471</v>
      </c>
    </row>
    <row r="3290" spans="2:2">
      <c r="B3290" s="10" t="s">
        <v>3472</v>
      </c>
    </row>
    <row r="3291" spans="2:2">
      <c r="B3291" s="10" t="s">
        <v>3473</v>
      </c>
    </row>
    <row r="3292" spans="2:2">
      <c r="B3292" s="10" t="s">
        <v>3474</v>
      </c>
    </row>
    <row r="3293" spans="2:2">
      <c r="B3293" s="10" t="s">
        <v>3475</v>
      </c>
    </row>
    <row r="3294" spans="2:2">
      <c r="B3294" s="10" t="s">
        <v>3476</v>
      </c>
    </row>
    <row r="3295" spans="2:2">
      <c r="B3295" s="10" t="s">
        <v>3477</v>
      </c>
    </row>
    <row r="3296" spans="2:2">
      <c r="B3296" s="10" t="s">
        <v>3478</v>
      </c>
    </row>
    <row r="3297" spans="2:2">
      <c r="B3297" s="10" t="s">
        <v>3479</v>
      </c>
    </row>
    <row r="3298" spans="2:2">
      <c r="B3298" s="10" t="s">
        <v>3480</v>
      </c>
    </row>
    <row r="3299" spans="2:2">
      <c r="B3299" s="10" t="s">
        <v>3481</v>
      </c>
    </row>
    <row r="3300" spans="2:2">
      <c r="B3300" s="10" t="s">
        <v>3482</v>
      </c>
    </row>
    <row r="3301" spans="2:2">
      <c r="B3301" s="10" t="s">
        <v>3483</v>
      </c>
    </row>
    <row r="3302" spans="2:2">
      <c r="B3302" s="10" t="s">
        <v>3484</v>
      </c>
    </row>
    <row r="3303" spans="2:2">
      <c r="B3303" s="10" t="s">
        <v>3485</v>
      </c>
    </row>
    <row r="3304" spans="2:2">
      <c r="B3304" s="10" t="s">
        <v>3486</v>
      </c>
    </row>
    <row r="3305" spans="2:2">
      <c r="B3305" s="10" t="s">
        <v>3487</v>
      </c>
    </row>
    <row r="3306" spans="2:2">
      <c r="B3306" s="10" t="s">
        <v>3488</v>
      </c>
    </row>
    <row r="3307" spans="2:2">
      <c r="B3307" s="10" t="s">
        <v>3489</v>
      </c>
    </row>
    <row r="3308" spans="2:2">
      <c r="B3308" s="10" t="s">
        <v>3490</v>
      </c>
    </row>
    <row r="3309" spans="2:2">
      <c r="B3309" s="10" t="s">
        <v>3491</v>
      </c>
    </row>
    <row r="3310" spans="2:2">
      <c r="B3310" s="10" t="s">
        <v>3492</v>
      </c>
    </row>
    <row r="3311" spans="2:2">
      <c r="B3311" s="10" t="s">
        <v>3493</v>
      </c>
    </row>
    <row r="3312" spans="2:2">
      <c r="B3312" s="10" t="s">
        <v>3494</v>
      </c>
    </row>
    <row r="3313" spans="2:2">
      <c r="B3313" s="10" t="s">
        <v>3495</v>
      </c>
    </row>
    <row r="3314" spans="2:2">
      <c r="B3314" s="10" t="s">
        <v>3496</v>
      </c>
    </row>
    <row r="3315" spans="2:2">
      <c r="B3315" s="10" t="s">
        <v>3497</v>
      </c>
    </row>
    <row r="3316" spans="2:2">
      <c r="B3316" s="10" t="s">
        <v>3498</v>
      </c>
    </row>
    <row r="3317" spans="2:2">
      <c r="B3317" s="10" t="s">
        <v>3499</v>
      </c>
    </row>
    <row r="3318" spans="2:2">
      <c r="B3318" s="10" t="s">
        <v>3500</v>
      </c>
    </row>
    <row r="3319" spans="2:2">
      <c r="B3319" s="10" t="s">
        <v>3501</v>
      </c>
    </row>
    <row r="3320" spans="2:2">
      <c r="B3320" s="10" t="s">
        <v>3502</v>
      </c>
    </row>
    <row r="3321" spans="2:2">
      <c r="B3321" s="10" t="s">
        <v>3503</v>
      </c>
    </row>
    <row r="3322" spans="2:2">
      <c r="B3322" s="10" t="s">
        <v>3504</v>
      </c>
    </row>
    <row r="3323" spans="2:2">
      <c r="B3323" s="10" t="s">
        <v>3505</v>
      </c>
    </row>
    <row r="3324" spans="2:2">
      <c r="B3324" s="10" t="s">
        <v>3506</v>
      </c>
    </row>
    <row r="3325" spans="2:2">
      <c r="B3325" s="10" t="s">
        <v>3507</v>
      </c>
    </row>
    <row r="3326" spans="2:2">
      <c r="B3326" s="10" t="s">
        <v>3508</v>
      </c>
    </row>
    <row r="3327" spans="2:2">
      <c r="B3327" s="10" t="s">
        <v>3509</v>
      </c>
    </row>
    <row r="3328" spans="2:2">
      <c r="B3328" s="10" t="s">
        <v>3510</v>
      </c>
    </row>
    <row r="3329" spans="2:2">
      <c r="B3329" s="10" t="s">
        <v>3511</v>
      </c>
    </row>
    <row r="3330" spans="2:2">
      <c r="B3330" s="10" t="s">
        <v>3512</v>
      </c>
    </row>
    <row r="3331" spans="2:2">
      <c r="B3331" s="10" t="s">
        <v>3513</v>
      </c>
    </row>
    <row r="3332" spans="2:2">
      <c r="B3332" s="10" t="s">
        <v>3514</v>
      </c>
    </row>
    <row r="3333" spans="2:2">
      <c r="B3333" s="10" t="s">
        <v>3515</v>
      </c>
    </row>
    <row r="3334" spans="2:2">
      <c r="B3334" s="10" t="s">
        <v>3516</v>
      </c>
    </row>
    <row r="3335" spans="2:2">
      <c r="B3335" s="10" t="s">
        <v>3517</v>
      </c>
    </row>
    <row r="3336" spans="2:2">
      <c r="B3336" s="10" t="s">
        <v>3518</v>
      </c>
    </row>
    <row r="3337" spans="2:2">
      <c r="B3337" s="10" t="s">
        <v>3519</v>
      </c>
    </row>
    <row r="3338" spans="2:2">
      <c r="B3338" s="10" t="s">
        <v>3520</v>
      </c>
    </row>
    <row r="3339" spans="2:2">
      <c r="B3339" s="10" t="s">
        <v>3521</v>
      </c>
    </row>
    <row r="3340" spans="2:2">
      <c r="B3340" s="10" t="s">
        <v>3522</v>
      </c>
    </row>
    <row r="3341" spans="2:2">
      <c r="B3341" s="10" t="s">
        <v>3523</v>
      </c>
    </row>
    <row r="3342" spans="2:2">
      <c r="B3342" s="10" t="s">
        <v>3524</v>
      </c>
    </row>
    <row r="3343" spans="2:2">
      <c r="B3343" s="10" t="s">
        <v>3525</v>
      </c>
    </row>
    <row r="3344" spans="2:2">
      <c r="B3344" s="10" t="s">
        <v>3526</v>
      </c>
    </row>
    <row r="3345" spans="2:2">
      <c r="B3345" s="10" t="s">
        <v>3527</v>
      </c>
    </row>
    <row r="3346" spans="2:2">
      <c r="B3346" s="10" t="s">
        <v>3528</v>
      </c>
    </row>
    <row r="3347" spans="2:2">
      <c r="B3347" s="10" t="s">
        <v>3529</v>
      </c>
    </row>
    <row r="3348" spans="2:2">
      <c r="B3348" s="10" t="s">
        <v>3530</v>
      </c>
    </row>
    <row r="3349" spans="2:2">
      <c r="B3349" s="10" t="s">
        <v>3531</v>
      </c>
    </row>
    <row r="3350" spans="2:2">
      <c r="B3350" s="10" t="s">
        <v>3532</v>
      </c>
    </row>
    <row r="3351" spans="2:2">
      <c r="B3351" s="10" t="s">
        <v>3533</v>
      </c>
    </row>
    <row r="3352" spans="2:2">
      <c r="B3352" s="10" t="s">
        <v>3534</v>
      </c>
    </row>
    <row r="3353" spans="2:2">
      <c r="B3353" s="10" t="s">
        <v>3535</v>
      </c>
    </row>
    <row r="3354" spans="2:2">
      <c r="B3354" s="10" t="s">
        <v>3536</v>
      </c>
    </row>
    <row r="3355" spans="2:2">
      <c r="B3355" s="10" t="s">
        <v>3537</v>
      </c>
    </row>
    <row r="3356" spans="2:2">
      <c r="B3356" s="10" t="s">
        <v>3538</v>
      </c>
    </row>
    <row r="3357" spans="2:2">
      <c r="B3357" s="10" t="s">
        <v>3539</v>
      </c>
    </row>
    <row r="3358" spans="2:2">
      <c r="B3358" s="10" t="s">
        <v>3540</v>
      </c>
    </row>
    <row r="3359" spans="2:2">
      <c r="B3359" s="10" t="s">
        <v>3541</v>
      </c>
    </row>
    <row r="3360" spans="2:2">
      <c r="B3360" s="10" t="s">
        <v>3542</v>
      </c>
    </row>
    <row r="3361" spans="2:2">
      <c r="B3361" s="10" t="s">
        <v>3543</v>
      </c>
    </row>
    <row r="3362" spans="2:2">
      <c r="B3362" s="10" t="s">
        <v>3544</v>
      </c>
    </row>
    <row r="3363" spans="2:2">
      <c r="B3363" s="10" t="s">
        <v>3545</v>
      </c>
    </row>
    <row r="3364" spans="2:2">
      <c r="B3364" s="10" t="s">
        <v>3546</v>
      </c>
    </row>
    <row r="3365" spans="2:2">
      <c r="B3365" s="10" t="s">
        <v>3547</v>
      </c>
    </row>
    <row r="3366" spans="2:2">
      <c r="B3366" s="10" t="s">
        <v>3548</v>
      </c>
    </row>
    <row r="3367" spans="2:2">
      <c r="B3367" s="10" t="s">
        <v>3549</v>
      </c>
    </row>
    <row r="3368" spans="2:2">
      <c r="B3368" s="10" t="s">
        <v>3550</v>
      </c>
    </row>
    <row r="3369" spans="2:2">
      <c r="B3369" s="10" t="s">
        <v>3551</v>
      </c>
    </row>
    <row r="3370" spans="2:2">
      <c r="B3370" s="10" t="s">
        <v>3552</v>
      </c>
    </row>
    <row r="3371" spans="2:2">
      <c r="B3371" s="10" t="s">
        <v>3553</v>
      </c>
    </row>
    <row r="3372" spans="2:2">
      <c r="B3372" s="10" t="s">
        <v>3554</v>
      </c>
    </row>
    <row r="3373" spans="2:2">
      <c r="B3373" s="10" t="s">
        <v>3555</v>
      </c>
    </row>
    <row r="3374" spans="2:2">
      <c r="B3374" s="10" t="s">
        <v>3556</v>
      </c>
    </row>
    <row r="3375" spans="2:2">
      <c r="B3375" s="10" t="s">
        <v>3557</v>
      </c>
    </row>
    <row r="3376" spans="2:2">
      <c r="B3376" s="10" t="s">
        <v>3558</v>
      </c>
    </row>
    <row r="3377" spans="2:2">
      <c r="B3377" s="10" t="s">
        <v>3559</v>
      </c>
    </row>
    <row r="3378" spans="2:2">
      <c r="B3378" s="10" t="s">
        <v>3560</v>
      </c>
    </row>
    <row r="3379" spans="2:2">
      <c r="B3379" s="10" t="s">
        <v>3561</v>
      </c>
    </row>
    <row r="3380" spans="2:2">
      <c r="B3380" s="10" t="s">
        <v>3562</v>
      </c>
    </row>
    <row r="3381" spans="2:2">
      <c r="B3381" s="10" t="s">
        <v>3563</v>
      </c>
    </row>
    <row r="3382" spans="2:2">
      <c r="B3382" s="10" t="s">
        <v>3564</v>
      </c>
    </row>
    <row r="3383" spans="2:2">
      <c r="B3383" s="10" t="s">
        <v>3565</v>
      </c>
    </row>
    <row r="3384" spans="2:2">
      <c r="B3384" s="10" t="s">
        <v>3566</v>
      </c>
    </row>
    <row r="3385" spans="2:2">
      <c r="B3385" s="10" t="s">
        <v>3567</v>
      </c>
    </row>
    <row r="3386" spans="2:2">
      <c r="B3386" s="10" t="s">
        <v>3568</v>
      </c>
    </row>
    <row r="3387" spans="2:2">
      <c r="B3387" s="10" t="s">
        <v>3569</v>
      </c>
    </row>
    <row r="3388" spans="2:2">
      <c r="B3388" s="10" t="s">
        <v>3570</v>
      </c>
    </row>
    <row r="3389" spans="2:2">
      <c r="B3389" s="10" t="s">
        <v>3571</v>
      </c>
    </row>
    <row r="3390" spans="2:2">
      <c r="B3390" s="10" t="s">
        <v>3572</v>
      </c>
    </row>
    <row r="3391" spans="2:2">
      <c r="B3391" s="10" t="s">
        <v>3573</v>
      </c>
    </row>
    <row r="3392" spans="2:2">
      <c r="B3392" s="10" t="s">
        <v>3574</v>
      </c>
    </row>
    <row r="3393" spans="2:2">
      <c r="B3393" s="10" t="s">
        <v>3575</v>
      </c>
    </row>
    <row r="3394" spans="2:2">
      <c r="B3394" s="10" t="s">
        <v>3576</v>
      </c>
    </row>
    <row r="3395" spans="2:2">
      <c r="B3395" s="10" t="s">
        <v>3577</v>
      </c>
    </row>
    <row r="3396" spans="2:2">
      <c r="B3396" s="10" t="s">
        <v>3578</v>
      </c>
    </row>
    <row r="3397" spans="2:2">
      <c r="B3397" s="10" t="s">
        <v>3579</v>
      </c>
    </row>
    <row r="3398" spans="2:2">
      <c r="B3398" s="10" t="s">
        <v>3580</v>
      </c>
    </row>
    <row r="3399" spans="2:2">
      <c r="B3399" s="10" t="s">
        <v>3581</v>
      </c>
    </row>
    <row r="3400" spans="2:2">
      <c r="B3400" s="10" t="s">
        <v>3582</v>
      </c>
    </row>
    <row r="3401" spans="2:2">
      <c r="B3401" s="10" t="s">
        <v>3583</v>
      </c>
    </row>
    <row r="3402" spans="2:2">
      <c r="B3402" s="10" t="s">
        <v>3584</v>
      </c>
    </row>
    <row r="3403" spans="2:2">
      <c r="B3403" s="10" t="s">
        <v>3585</v>
      </c>
    </row>
    <row r="3404" spans="2:2">
      <c r="B3404" s="10" t="s">
        <v>3586</v>
      </c>
    </row>
    <row r="3405" spans="2:2">
      <c r="B3405" s="10" t="s">
        <v>3587</v>
      </c>
    </row>
    <row r="3406" spans="2:2">
      <c r="B3406" s="10" t="s">
        <v>3588</v>
      </c>
    </row>
    <row r="3407" spans="2:2">
      <c r="B3407" s="10" t="s">
        <v>3589</v>
      </c>
    </row>
    <row r="3408" spans="2:2">
      <c r="B3408" s="10" t="s">
        <v>3590</v>
      </c>
    </row>
    <row r="3409" spans="2:2">
      <c r="B3409" s="10" t="s">
        <v>3591</v>
      </c>
    </row>
    <row r="3410" spans="2:2">
      <c r="B3410" s="10" t="s">
        <v>3592</v>
      </c>
    </row>
    <row r="3411" spans="2:2">
      <c r="B3411" s="10" t="s">
        <v>3593</v>
      </c>
    </row>
    <row r="3412" spans="2:2">
      <c r="B3412" s="10" t="s">
        <v>3594</v>
      </c>
    </row>
    <row r="3413" spans="2:2">
      <c r="B3413" s="10" t="s">
        <v>3595</v>
      </c>
    </row>
    <row r="3414" spans="2:2">
      <c r="B3414" s="10" t="s">
        <v>3596</v>
      </c>
    </row>
    <row r="3415" spans="2:2">
      <c r="B3415" s="10" t="s">
        <v>3597</v>
      </c>
    </row>
    <row r="3416" spans="2:2">
      <c r="B3416" s="10" t="s">
        <v>3598</v>
      </c>
    </row>
    <row r="3417" spans="2:2">
      <c r="B3417" s="10" t="s">
        <v>3599</v>
      </c>
    </row>
    <row r="3418" spans="2:2">
      <c r="B3418" s="10" t="s">
        <v>3600</v>
      </c>
    </row>
    <row r="3419" spans="2:2">
      <c r="B3419" s="10" t="s">
        <v>3601</v>
      </c>
    </row>
    <row r="3420" spans="2:2">
      <c r="B3420" s="10" t="s">
        <v>3602</v>
      </c>
    </row>
    <row r="3421" spans="2:2">
      <c r="B3421" s="10" t="s">
        <v>3603</v>
      </c>
    </row>
    <row r="3422" spans="2:2">
      <c r="B3422" s="10" t="s">
        <v>3604</v>
      </c>
    </row>
    <row r="3423" spans="2:2">
      <c r="B3423" s="10" t="s">
        <v>3605</v>
      </c>
    </row>
    <row r="3424" spans="2:2">
      <c r="B3424" s="10" t="s">
        <v>3606</v>
      </c>
    </row>
    <row r="3425" spans="2:2">
      <c r="B3425" s="10" t="s">
        <v>3607</v>
      </c>
    </row>
    <row r="3426" spans="2:2">
      <c r="B3426" s="10" t="s">
        <v>3608</v>
      </c>
    </row>
    <row r="3427" spans="2:2">
      <c r="B3427" s="10" t="s">
        <v>3609</v>
      </c>
    </row>
    <row r="3428" spans="2:2">
      <c r="B3428" s="10" t="s">
        <v>3610</v>
      </c>
    </row>
    <row r="3429" spans="2:2">
      <c r="B3429" s="10" t="s">
        <v>3611</v>
      </c>
    </row>
    <row r="3430" spans="2:2">
      <c r="B3430" s="10" t="s">
        <v>3612</v>
      </c>
    </row>
    <row r="3431" spans="2:2">
      <c r="B3431" s="10" t="s">
        <v>3613</v>
      </c>
    </row>
    <row r="3432" spans="2:2">
      <c r="B3432" s="10" t="s">
        <v>3614</v>
      </c>
    </row>
    <row r="3433" spans="2:2">
      <c r="B3433" s="10" t="s">
        <v>3615</v>
      </c>
    </row>
    <row r="3434" spans="2:2">
      <c r="B3434" s="10" t="s">
        <v>3616</v>
      </c>
    </row>
    <row r="3435" spans="2:2">
      <c r="B3435" s="10" t="s">
        <v>3617</v>
      </c>
    </row>
    <row r="3436" spans="2:2">
      <c r="B3436" s="10" t="s">
        <v>3618</v>
      </c>
    </row>
    <row r="3437" spans="2:2">
      <c r="B3437" s="10" t="s">
        <v>3619</v>
      </c>
    </row>
    <row r="3438" spans="2:2">
      <c r="B3438" s="10" t="s">
        <v>3620</v>
      </c>
    </row>
    <row r="3439" spans="2:2">
      <c r="B3439" s="10" t="s">
        <v>3621</v>
      </c>
    </row>
    <row r="3440" spans="2:2">
      <c r="B3440" s="10" t="s">
        <v>3622</v>
      </c>
    </row>
    <row r="3441" spans="2:2">
      <c r="B3441" s="10" t="s">
        <v>3623</v>
      </c>
    </row>
    <row r="3442" spans="2:2">
      <c r="B3442" s="10" t="s">
        <v>3624</v>
      </c>
    </row>
    <row r="3443" spans="2:2">
      <c r="B3443" s="10" t="s">
        <v>3625</v>
      </c>
    </row>
    <row r="3444" spans="2:2">
      <c r="B3444" s="10" t="s">
        <v>3626</v>
      </c>
    </row>
    <row r="3445" spans="2:2">
      <c r="B3445" s="10" t="s">
        <v>3627</v>
      </c>
    </row>
    <row r="3446" spans="2:2">
      <c r="B3446" s="10" t="s">
        <v>3628</v>
      </c>
    </row>
    <row r="3447" spans="2:2">
      <c r="B3447" s="10" t="s">
        <v>3629</v>
      </c>
    </row>
    <row r="3448" spans="2:2">
      <c r="B3448" s="10" t="s">
        <v>3630</v>
      </c>
    </row>
    <row r="3449" spans="2:2">
      <c r="B3449" s="10" t="s">
        <v>3631</v>
      </c>
    </row>
    <row r="3450" spans="2:2">
      <c r="B3450" s="10" t="s">
        <v>3632</v>
      </c>
    </row>
    <row r="3451" spans="2:2">
      <c r="B3451" s="10" t="s">
        <v>3633</v>
      </c>
    </row>
    <row r="3452" spans="2:2">
      <c r="B3452" s="10" t="s">
        <v>3634</v>
      </c>
    </row>
    <row r="3453" spans="2:2">
      <c r="B3453" s="10" t="s">
        <v>3635</v>
      </c>
    </row>
    <row r="3454" spans="2:2">
      <c r="B3454" s="10" t="s">
        <v>3636</v>
      </c>
    </row>
    <row r="3455" spans="2:2">
      <c r="B3455" s="10" t="s">
        <v>3637</v>
      </c>
    </row>
    <row r="3456" spans="2:2">
      <c r="B3456" s="10" t="s">
        <v>3638</v>
      </c>
    </row>
    <row r="3457" spans="2:2">
      <c r="B3457" s="10" t="s">
        <v>3639</v>
      </c>
    </row>
    <row r="3458" spans="2:2">
      <c r="B3458" s="10" t="s">
        <v>3640</v>
      </c>
    </row>
    <row r="3459" spans="2:2">
      <c r="B3459" s="10" t="s">
        <v>3641</v>
      </c>
    </row>
    <row r="3460" spans="2:2">
      <c r="B3460" s="10" t="s">
        <v>3642</v>
      </c>
    </row>
    <row r="3461" spans="2:2">
      <c r="B3461" s="10" t="s">
        <v>3643</v>
      </c>
    </row>
    <row r="3462" spans="2:2">
      <c r="B3462" s="10" t="s">
        <v>3644</v>
      </c>
    </row>
    <row r="3463" spans="2:2">
      <c r="B3463" s="10" t="s">
        <v>3645</v>
      </c>
    </row>
    <row r="3464" spans="2:2">
      <c r="B3464" s="10" t="s">
        <v>3646</v>
      </c>
    </row>
    <row r="3465" spans="2:2">
      <c r="B3465" s="10" t="s">
        <v>3647</v>
      </c>
    </row>
    <row r="3466" spans="2:2">
      <c r="B3466" s="10" t="s">
        <v>3648</v>
      </c>
    </row>
    <row r="3467" spans="2:2">
      <c r="B3467" s="10" t="s">
        <v>3649</v>
      </c>
    </row>
    <row r="3468" spans="2:2">
      <c r="B3468" s="10" t="s">
        <v>3650</v>
      </c>
    </row>
    <row r="3469" spans="2:2">
      <c r="B3469" s="10" t="s">
        <v>3651</v>
      </c>
    </row>
    <row r="3470" spans="2:2">
      <c r="B3470" s="10" t="s">
        <v>3652</v>
      </c>
    </row>
    <row r="3471" spans="2:2">
      <c r="B3471" s="10" t="s">
        <v>3653</v>
      </c>
    </row>
    <row r="3472" spans="2:2">
      <c r="B3472" s="10" t="s">
        <v>3654</v>
      </c>
    </row>
    <row r="3473" spans="2:2">
      <c r="B3473" s="10" t="s">
        <v>3655</v>
      </c>
    </row>
    <row r="3474" spans="2:2">
      <c r="B3474" s="10" t="s">
        <v>3656</v>
      </c>
    </row>
    <row r="3475" spans="2:2">
      <c r="B3475" s="10" t="s">
        <v>3657</v>
      </c>
    </row>
    <row r="3476" spans="2:2">
      <c r="B3476" s="10" t="s">
        <v>3658</v>
      </c>
    </row>
    <row r="3477" spans="2:2">
      <c r="B3477" s="10" t="s">
        <v>3659</v>
      </c>
    </row>
    <row r="3478" spans="2:2">
      <c r="B3478" s="10" t="s">
        <v>3660</v>
      </c>
    </row>
    <row r="3479" spans="2:2">
      <c r="B3479" s="10" t="s">
        <v>3661</v>
      </c>
    </row>
    <row r="3480" spans="2:2">
      <c r="B3480" s="10" t="s">
        <v>3662</v>
      </c>
    </row>
    <row r="3481" spans="2:2">
      <c r="B3481" s="10" t="s">
        <v>3663</v>
      </c>
    </row>
    <row r="3482" spans="2:2">
      <c r="B3482" s="10" t="s">
        <v>3664</v>
      </c>
    </row>
    <row r="3483" spans="2:2">
      <c r="B3483" s="10" t="s">
        <v>3665</v>
      </c>
    </row>
    <row r="3484" spans="2:2">
      <c r="B3484" s="10" t="s">
        <v>3666</v>
      </c>
    </row>
    <row r="3485" spans="2:2">
      <c r="B3485" s="10" t="s">
        <v>3667</v>
      </c>
    </row>
    <row r="3486" spans="2:2">
      <c r="B3486" s="10" t="s">
        <v>3668</v>
      </c>
    </row>
    <row r="3487" spans="2:2">
      <c r="B3487" s="10" t="s">
        <v>3669</v>
      </c>
    </row>
    <row r="3488" spans="2:2">
      <c r="B3488" s="10" t="s">
        <v>3670</v>
      </c>
    </row>
    <row r="3489" spans="2:2">
      <c r="B3489" s="10" t="s">
        <v>3671</v>
      </c>
    </row>
    <row r="3490" spans="2:2">
      <c r="B3490" s="10" t="s">
        <v>3672</v>
      </c>
    </row>
    <row r="3491" spans="2:2">
      <c r="B3491" s="10" t="s">
        <v>3673</v>
      </c>
    </row>
    <row r="3492" spans="2:2">
      <c r="B3492" s="10" t="s">
        <v>3674</v>
      </c>
    </row>
    <row r="3493" spans="2:2">
      <c r="B3493" s="10" t="s">
        <v>3675</v>
      </c>
    </row>
    <row r="3494" spans="2:2">
      <c r="B3494" s="10" t="s">
        <v>3676</v>
      </c>
    </row>
    <row r="3495" spans="2:2">
      <c r="B3495" s="10" t="s">
        <v>3677</v>
      </c>
    </row>
    <row r="3496" spans="2:2">
      <c r="B3496" s="10" t="s">
        <v>3678</v>
      </c>
    </row>
    <row r="3497" spans="2:2">
      <c r="B3497" s="10" t="s">
        <v>3679</v>
      </c>
    </row>
    <row r="3498" spans="2:2">
      <c r="B3498" s="10" t="s">
        <v>3680</v>
      </c>
    </row>
    <row r="3499" spans="2:2">
      <c r="B3499" s="10" t="s">
        <v>3681</v>
      </c>
    </row>
    <row r="3500" spans="2:2">
      <c r="B3500" s="10" t="s">
        <v>3682</v>
      </c>
    </row>
    <row r="3501" spans="2:2">
      <c r="B3501" s="10" t="s">
        <v>3683</v>
      </c>
    </row>
    <row r="3502" spans="2:2">
      <c r="B3502" s="10" t="s">
        <v>3684</v>
      </c>
    </row>
    <row r="3503" spans="2:2">
      <c r="B3503" s="10" t="s">
        <v>3685</v>
      </c>
    </row>
    <row r="3504" spans="2:2">
      <c r="B3504" s="10" t="s">
        <v>3686</v>
      </c>
    </row>
    <row r="3505" spans="2:2">
      <c r="B3505" s="10" t="s">
        <v>3687</v>
      </c>
    </row>
    <row r="3506" spans="2:2">
      <c r="B3506" s="10" t="s">
        <v>3688</v>
      </c>
    </row>
    <row r="3507" spans="2:2">
      <c r="B3507" s="10" t="s">
        <v>3689</v>
      </c>
    </row>
    <row r="3508" spans="2:2">
      <c r="B3508" s="10" t="s">
        <v>3690</v>
      </c>
    </row>
    <row r="3509" spans="2:2">
      <c r="B3509" s="10" t="s">
        <v>3691</v>
      </c>
    </row>
    <row r="3510" spans="2:2">
      <c r="B3510" s="10" t="s">
        <v>3692</v>
      </c>
    </row>
    <row r="3511" spans="2:2">
      <c r="B3511" s="10" t="s">
        <v>3693</v>
      </c>
    </row>
    <row r="3512" spans="2:2">
      <c r="B3512" s="10" t="s">
        <v>3694</v>
      </c>
    </row>
    <row r="3513" spans="2:2">
      <c r="B3513" s="10" t="s">
        <v>3695</v>
      </c>
    </row>
    <row r="3514" spans="2:2">
      <c r="B3514" s="10" t="s">
        <v>3696</v>
      </c>
    </row>
    <row r="3515" spans="2:2">
      <c r="B3515" s="10" t="s">
        <v>3697</v>
      </c>
    </row>
    <row r="3516" spans="2:2">
      <c r="B3516" s="10" t="s">
        <v>3698</v>
      </c>
    </row>
    <row r="3517" spans="2:2">
      <c r="B3517" s="10" t="s">
        <v>3699</v>
      </c>
    </row>
    <row r="3518" spans="2:2">
      <c r="B3518" s="10" t="s">
        <v>3700</v>
      </c>
    </row>
    <row r="3519" spans="2:2">
      <c r="B3519" s="10" t="s">
        <v>3701</v>
      </c>
    </row>
    <row r="3520" spans="2:2">
      <c r="B3520" s="10" t="s">
        <v>3702</v>
      </c>
    </row>
    <row r="3521" spans="2:2">
      <c r="B3521" s="10" t="s">
        <v>3703</v>
      </c>
    </row>
    <row r="3522" spans="2:2">
      <c r="B3522" s="10" t="s">
        <v>3704</v>
      </c>
    </row>
    <row r="3523" spans="2:2">
      <c r="B3523" s="10" t="s">
        <v>3705</v>
      </c>
    </row>
    <row r="3524" spans="2:2">
      <c r="B3524" s="10" t="s">
        <v>3706</v>
      </c>
    </row>
    <row r="3525" spans="2:2">
      <c r="B3525" s="10" t="s">
        <v>3707</v>
      </c>
    </row>
    <row r="3526" spans="2:2">
      <c r="B3526" s="10" t="s">
        <v>3708</v>
      </c>
    </row>
    <row r="3527" spans="2:2">
      <c r="B3527" s="10" t="s">
        <v>3709</v>
      </c>
    </row>
    <row r="3528" spans="2:2">
      <c r="B3528" s="10" t="s">
        <v>3710</v>
      </c>
    </row>
    <row r="3529" spans="2:2">
      <c r="B3529" s="10" t="s">
        <v>3711</v>
      </c>
    </row>
    <row r="3530" spans="2:2">
      <c r="B3530" s="10" t="s">
        <v>3712</v>
      </c>
    </row>
    <row r="3531" spans="2:2">
      <c r="B3531" s="10" t="s">
        <v>3713</v>
      </c>
    </row>
    <row r="3532" spans="2:2">
      <c r="B3532" s="10" t="s">
        <v>3714</v>
      </c>
    </row>
    <row r="3533" spans="2:2">
      <c r="B3533" s="10" t="s">
        <v>3715</v>
      </c>
    </row>
    <row r="3534" spans="2:2">
      <c r="B3534" s="10" t="s">
        <v>3716</v>
      </c>
    </row>
    <row r="3535" spans="2:2">
      <c r="B3535" s="10" t="s">
        <v>3717</v>
      </c>
    </row>
    <row r="3536" spans="2:2">
      <c r="B3536" s="10" t="s">
        <v>3718</v>
      </c>
    </row>
    <row r="3537" spans="2:2">
      <c r="B3537" s="10" t="s">
        <v>3719</v>
      </c>
    </row>
    <row r="3538" spans="2:2">
      <c r="B3538" s="10" t="s">
        <v>3720</v>
      </c>
    </row>
    <row r="3539" spans="2:2">
      <c r="B3539" s="10" t="s">
        <v>3721</v>
      </c>
    </row>
    <row r="3540" spans="2:2">
      <c r="B3540" s="10" t="s">
        <v>3722</v>
      </c>
    </row>
    <row r="3541" spans="2:2">
      <c r="B3541" s="10" t="s">
        <v>3723</v>
      </c>
    </row>
    <row r="3542" spans="2:2">
      <c r="B3542" s="10" t="s">
        <v>3724</v>
      </c>
    </row>
    <row r="3543" spans="2:2">
      <c r="B3543" s="10" t="s">
        <v>3725</v>
      </c>
    </row>
    <row r="3544" spans="2:2">
      <c r="B3544" s="10" t="s">
        <v>3726</v>
      </c>
    </row>
    <row r="3545" spans="2:2">
      <c r="B3545" s="10" t="s">
        <v>3727</v>
      </c>
    </row>
    <row r="3546" spans="2:2">
      <c r="B3546" s="10" t="s">
        <v>3728</v>
      </c>
    </row>
    <row r="3547" spans="2:2">
      <c r="B3547" s="10" t="s">
        <v>3729</v>
      </c>
    </row>
    <row r="3548" spans="2:2">
      <c r="B3548" s="10" t="s">
        <v>3730</v>
      </c>
    </row>
    <row r="3549" spans="2:2">
      <c r="B3549" s="10" t="s">
        <v>3731</v>
      </c>
    </row>
    <row r="3550" spans="2:2">
      <c r="B3550" s="10" t="s">
        <v>3732</v>
      </c>
    </row>
    <row r="3551" spans="2:2">
      <c r="B3551" s="10" t="s">
        <v>3733</v>
      </c>
    </row>
    <row r="3552" spans="2:2">
      <c r="B3552" s="10" t="s">
        <v>3734</v>
      </c>
    </row>
    <row r="3553" spans="2:2">
      <c r="B3553" s="10" t="s">
        <v>3735</v>
      </c>
    </row>
    <row r="3554" spans="2:2">
      <c r="B3554" s="10" t="s">
        <v>3736</v>
      </c>
    </row>
    <row r="3555" spans="2:2">
      <c r="B3555" s="10" t="s">
        <v>3737</v>
      </c>
    </row>
    <row r="3556" spans="2:2">
      <c r="B3556" s="10" t="s">
        <v>3738</v>
      </c>
    </row>
    <row r="3557" spans="2:2">
      <c r="B3557" s="10" t="s">
        <v>3739</v>
      </c>
    </row>
    <row r="3558" spans="2:2">
      <c r="B3558" s="10" t="s">
        <v>3740</v>
      </c>
    </row>
    <row r="3559" spans="2:2">
      <c r="B3559" s="10" t="s">
        <v>3741</v>
      </c>
    </row>
    <row r="3560" spans="2:2">
      <c r="B3560" s="10" t="s">
        <v>3742</v>
      </c>
    </row>
    <row r="3561" spans="2:2">
      <c r="B3561" s="10" t="s">
        <v>3743</v>
      </c>
    </row>
    <row r="3562" spans="2:2">
      <c r="B3562" s="10" t="s">
        <v>3744</v>
      </c>
    </row>
    <row r="3563" spans="2:2">
      <c r="B3563" s="10" t="s">
        <v>3745</v>
      </c>
    </row>
    <row r="3564" spans="2:2">
      <c r="B3564" s="10" t="s">
        <v>3746</v>
      </c>
    </row>
    <row r="3565" spans="2:2">
      <c r="B3565" s="10" t="s">
        <v>3747</v>
      </c>
    </row>
    <row r="3566" spans="2:2">
      <c r="B3566" s="10" t="s">
        <v>3748</v>
      </c>
    </row>
    <row r="3567" spans="2:2">
      <c r="B3567" s="10" t="s">
        <v>3749</v>
      </c>
    </row>
    <row r="3568" spans="2:2">
      <c r="B3568" s="10" t="s">
        <v>3750</v>
      </c>
    </row>
    <row r="3569" spans="2:2">
      <c r="B3569" s="10" t="s">
        <v>3751</v>
      </c>
    </row>
    <row r="3570" spans="2:2">
      <c r="B3570" s="10" t="s">
        <v>3752</v>
      </c>
    </row>
    <row r="3571" spans="2:2">
      <c r="B3571" s="10" t="s">
        <v>3753</v>
      </c>
    </row>
    <row r="3572" spans="2:2">
      <c r="B3572" s="10" t="s">
        <v>3754</v>
      </c>
    </row>
    <row r="3573" spans="2:2">
      <c r="B3573" s="10" t="s">
        <v>3755</v>
      </c>
    </row>
    <row r="3574" spans="2:2">
      <c r="B3574" s="10" t="s">
        <v>3756</v>
      </c>
    </row>
    <row r="3575" spans="2:2">
      <c r="B3575" s="10" t="s">
        <v>3757</v>
      </c>
    </row>
    <row r="3576" spans="2:2">
      <c r="B3576" s="10" t="s">
        <v>3758</v>
      </c>
    </row>
    <row r="3577" spans="2:2">
      <c r="B3577" s="10" t="s">
        <v>3759</v>
      </c>
    </row>
    <row r="3578" spans="2:2">
      <c r="B3578" s="10" t="s">
        <v>3760</v>
      </c>
    </row>
    <row r="3579" spans="2:2">
      <c r="B3579" s="10" t="s">
        <v>3761</v>
      </c>
    </row>
    <row r="3580" spans="2:2">
      <c r="B3580" s="10" t="s">
        <v>3762</v>
      </c>
    </row>
    <row r="3581" spans="2:2">
      <c r="B3581" s="10" t="s">
        <v>3763</v>
      </c>
    </row>
    <row r="3582" spans="2:2">
      <c r="B3582" s="10" t="s">
        <v>3764</v>
      </c>
    </row>
    <row r="3583" spans="2:2">
      <c r="B3583" s="10" t="s">
        <v>3765</v>
      </c>
    </row>
    <row r="3584" spans="2:2">
      <c r="B3584" s="10" t="s">
        <v>3766</v>
      </c>
    </row>
    <row r="3585" spans="2:2">
      <c r="B3585" s="10" t="s">
        <v>3767</v>
      </c>
    </row>
    <row r="3586" spans="2:2">
      <c r="B3586" s="10" t="s">
        <v>3768</v>
      </c>
    </row>
    <row r="3587" spans="2:2">
      <c r="B3587" s="10" t="s">
        <v>3769</v>
      </c>
    </row>
    <row r="3588" spans="2:2">
      <c r="B3588" s="10" t="s">
        <v>3770</v>
      </c>
    </row>
    <row r="3589" spans="2:2">
      <c r="B3589" s="10" t="s">
        <v>3771</v>
      </c>
    </row>
    <row r="3590" spans="2:2">
      <c r="B3590" s="10" t="s">
        <v>3772</v>
      </c>
    </row>
    <row r="3591" spans="2:2">
      <c r="B3591" s="10" t="s">
        <v>3773</v>
      </c>
    </row>
    <row r="3592" spans="2:2">
      <c r="B3592" s="10" t="s">
        <v>3774</v>
      </c>
    </row>
    <row r="3593" spans="2:2">
      <c r="B3593" s="10" t="s">
        <v>3775</v>
      </c>
    </row>
    <row r="3594" spans="2:2">
      <c r="B3594" s="10" t="s">
        <v>3776</v>
      </c>
    </row>
    <row r="3595" spans="2:2">
      <c r="B3595" s="10" t="s">
        <v>3777</v>
      </c>
    </row>
    <row r="3596" spans="2:2">
      <c r="B3596" s="10" t="s">
        <v>3778</v>
      </c>
    </row>
    <row r="3597" spans="2:2">
      <c r="B3597" s="10" t="s">
        <v>3779</v>
      </c>
    </row>
    <row r="3598" spans="2:2">
      <c r="B3598" s="10" t="s">
        <v>3780</v>
      </c>
    </row>
    <row r="3599" spans="2:2">
      <c r="B3599" s="10" t="s">
        <v>3781</v>
      </c>
    </row>
    <row r="3600" spans="2:2">
      <c r="B3600" s="10" t="s">
        <v>3782</v>
      </c>
    </row>
    <row r="3601" spans="2:2">
      <c r="B3601" s="10" t="s">
        <v>3783</v>
      </c>
    </row>
    <row r="3602" spans="2:2">
      <c r="B3602" s="10" t="s">
        <v>3784</v>
      </c>
    </row>
    <row r="3603" spans="2:2">
      <c r="B3603" s="10" t="s">
        <v>3785</v>
      </c>
    </row>
    <row r="3604" spans="2:2">
      <c r="B3604" s="10" t="s">
        <v>3786</v>
      </c>
    </row>
    <row r="3605" spans="2:2">
      <c r="B3605" s="10" t="s">
        <v>3787</v>
      </c>
    </row>
    <row r="3606" spans="2:2">
      <c r="B3606" s="10" t="s">
        <v>3788</v>
      </c>
    </row>
    <row r="3607" spans="2:2">
      <c r="B3607" s="10" t="s">
        <v>3789</v>
      </c>
    </row>
    <row r="3608" spans="2:2">
      <c r="B3608" s="10" t="s">
        <v>3790</v>
      </c>
    </row>
    <row r="3609" spans="2:2">
      <c r="B3609" s="10" t="s">
        <v>3791</v>
      </c>
    </row>
    <row r="3610" spans="2:2">
      <c r="B3610" s="10" t="s">
        <v>3792</v>
      </c>
    </row>
    <row r="3611" spans="2:2">
      <c r="B3611" s="10" t="s">
        <v>3793</v>
      </c>
    </row>
    <row r="3612" spans="2:2">
      <c r="B3612" s="10" t="s">
        <v>3794</v>
      </c>
    </row>
    <row r="3613" spans="2:2">
      <c r="B3613" s="10" t="s">
        <v>3795</v>
      </c>
    </row>
    <row r="3614" spans="2:2">
      <c r="B3614" s="10" t="s">
        <v>3796</v>
      </c>
    </row>
    <row r="3615" spans="2:2">
      <c r="B3615" s="10" t="s">
        <v>3797</v>
      </c>
    </row>
    <row r="3616" spans="2:2">
      <c r="B3616" s="10" t="s">
        <v>3798</v>
      </c>
    </row>
    <row r="3617" spans="2:2">
      <c r="B3617" s="10" t="s">
        <v>3799</v>
      </c>
    </row>
    <row r="3618" spans="2:2">
      <c r="B3618" s="10" t="s">
        <v>3800</v>
      </c>
    </row>
    <row r="3619" spans="2:2">
      <c r="B3619" s="10" t="s">
        <v>3801</v>
      </c>
    </row>
    <row r="3620" spans="2:2">
      <c r="B3620" s="10" t="s">
        <v>3802</v>
      </c>
    </row>
    <row r="3621" spans="2:2">
      <c r="B3621" s="10" t="s">
        <v>3803</v>
      </c>
    </row>
    <row r="3622" spans="2:2">
      <c r="B3622" s="10" t="s">
        <v>3804</v>
      </c>
    </row>
    <row r="3623" spans="2:2">
      <c r="B3623" s="10" t="s">
        <v>3805</v>
      </c>
    </row>
    <row r="3624" spans="2:2">
      <c r="B3624" s="10" t="s">
        <v>3806</v>
      </c>
    </row>
    <row r="3625" spans="2:2">
      <c r="B3625" s="10" t="s">
        <v>3807</v>
      </c>
    </row>
    <row r="3626" spans="2:2">
      <c r="B3626" s="10" t="s">
        <v>3808</v>
      </c>
    </row>
    <row r="3627" spans="2:2">
      <c r="B3627" s="10" t="s">
        <v>3809</v>
      </c>
    </row>
    <row r="3628" spans="2:2">
      <c r="B3628" s="10" t="s">
        <v>3810</v>
      </c>
    </row>
    <row r="3629" spans="2:2">
      <c r="B3629" s="10" t="s">
        <v>3811</v>
      </c>
    </row>
    <row r="3630" spans="2:2">
      <c r="B3630" s="10" t="s">
        <v>3812</v>
      </c>
    </row>
    <row r="3631" spans="2:2">
      <c r="B3631" s="10" t="s">
        <v>3813</v>
      </c>
    </row>
    <row r="3632" spans="2:2">
      <c r="B3632" s="10" t="s">
        <v>3814</v>
      </c>
    </row>
    <row r="3633" spans="2:2">
      <c r="B3633" s="10" t="s">
        <v>3815</v>
      </c>
    </row>
    <row r="3634" spans="2:2">
      <c r="B3634" s="10" t="s">
        <v>3816</v>
      </c>
    </row>
    <row r="3635" spans="2:2">
      <c r="B3635" s="10" t="s">
        <v>3817</v>
      </c>
    </row>
    <row r="3636" spans="2:2">
      <c r="B3636" s="10" t="s">
        <v>3818</v>
      </c>
    </row>
    <row r="3637" spans="2:2">
      <c r="B3637" s="10" t="s">
        <v>3819</v>
      </c>
    </row>
    <row r="3638" spans="2:2">
      <c r="B3638" s="10" t="s">
        <v>3820</v>
      </c>
    </row>
    <row r="3639" spans="2:2">
      <c r="B3639" s="10" t="s">
        <v>3821</v>
      </c>
    </row>
    <row r="3640" spans="2:2">
      <c r="B3640" s="10" t="s">
        <v>3822</v>
      </c>
    </row>
    <row r="3641" spans="2:2">
      <c r="B3641" s="10" t="s">
        <v>3823</v>
      </c>
    </row>
    <row r="3642" spans="2:2">
      <c r="B3642" s="10" t="s">
        <v>3824</v>
      </c>
    </row>
    <row r="3643" spans="2:2">
      <c r="B3643" s="10" t="s">
        <v>3825</v>
      </c>
    </row>
    <row r="3644" spans="2:2">
      <c r="B3644" s="10" t="s">
        <v>3826</v>
      </c>
    </row>
    <row r="3645" spans="2:2">
      <c r="B3645" s="10" t="s">
        <v>3827</v>
      </c>
    </row>
    <row r="3646" spans="2:2">
      <c r="B3646" s="10" t="s">
        <v>3828</v>
      </c>
    </row>
    <row r="3647" spans="2:2">
      <c r="B3647" s="10" t="s">
        <v>3829</v>
      </c>
    </row>
    <row r="3648" spans="2:2">
      <c r="B3648" s="10" t="s">
        <v>3830</v>
      </c>
    </row>
    <row r="3649" spans="2:2">
      <c r="B3649" s="10" t="s">
        <v>3831</v>
      </c>
    </row>
    <row r="3650" spans="2:2">
      <c r="B3650" s="10" t="s">
        <v>3832</v>
      </c>
    </row>
    <row r="3651" spans="2:2">
      <c r="B3651" s="10" t="s">
        <v>3833</v>
      </c>
    </row>
    <row r="3652" spans="2:2">
      <c r="B3652" s="10" t="s">
        <v>3834</v>
      </c>
    </row>
    <row r="3653" spans="2:2">
      <c r="B3653" s="10" t="s">
        <v>3835</v>
      </c>
    </row>
    <row r="3654" spans="2:2">
      <c r="B3654" s="10" t="s">
        <v>3836</v>
      </c>
    </row>
    <row r="3655" spans="2:2">
      <c r="B3655" s="10" t="s">
        <v>3837</v>
      </c>
    </row>
    <row r="3656" spans="2:2">
      <c r="B3656" s="10" t="s">
        <v>3838</v>
      </c>
    </row>
    <row r="3657" spans="2:2">
      <c r="B3657" s="10" t="s">
        <v>3839</v>
      </c>
    </row>
    <row r="3658" spans="2:2">
      <c r="B3658" s="10" t="s">
        <v>3840</v>
      </c>
    </row>
    <row r="3659" spans="2:2">
      <c r="B3659" s="10" t="s">
        <v>3841</v>
      </c>
    </row>
    <row r="3660" spans="2:2">
      <c r="B3660" s="10" t="s">
        <v>3842</v>
      </c>
    </row>
    <row r="3661" spans="2:2">
      <c r="B3661" s="10" t="s">
        <v>3843</v>
      </c>
    </row>
    <row r="3662" spans="2:2">
      <c r="B3662" s="10" t="s">
        <v>3844</v>
      </c>
    </row>
    <row r="3663" spans="2:2">
      <c r="B3663" s="10" t="s">
        <v>3845</v>
      </c>
    </row>
    <row r="3664" spans="2:2">
      <c r="B3664" s="10" t="s">
        <v>3846</v>
      </c>
    </row>
    <row r="3665" spans="2:2">
      <c r="B3665" s="10" t="s">
        <v>3847</v>
      </c>
    </row>
    <row r="3666" spans="2:2">
      <c r="B3666" s="10" t="s">
        <v>3848</v>
      </c>
    </row>
    <row r="3667" spans="2:2">
      <c r="B3667" s="10" t="s">
        <v>3849</v>
      </c>
    </row>
    <row r="3668" spans="2:2">
      <c r="B3668" s="10" t="s">
        <v>3850</v>
      </c>
    </row>
    <row r="3669" spans="2:2">
      <c r="B3669" s="10" t="s">
        <v>3851</v>
      </c>
    </row>
    <row r="3670" spans="2:2">
      <c r="B3670" s="10" t="s">
        <v>3852</v>
      </c>
    </row>
    <row r="3671" spans="2:2">
      <c r="B3671" s="10" t="s">
        <v>3853</v>
      </c>
    </row>
    <row r="3672" spans="2:2">
      <c r="B3672" s="10" t="s">
        <v>3854</v>
      </c>
    </row>
    <row r="3673" spans="2:2">
      <c r="B3673" s="10" t="s">
        <v>3855</v>
      </c>
    </row>
    <row r="3674" spans="2:2">
      <c r="B3674" s="10" t="s">
        <v>3856</v>
      </c>
    </row>
    <row r="3675" spans="2:2">
      <c r="B3675" s="10" t="s">
        <v>3857</v>
      </c>
    </row>
    <row r="3676" spans="2:2">
      <c r="B3676" s="10" t="s">
        <v>3858</v>
      </c>
    </row>
    <row r="3677" spans="2:2">
      <c r="B3677" s="10" t="s">
        <v>3859</v>
      </c>
    </row>
    <row r="3678" spans="2:2">
      <c r="B3678" s="10" t="s">
        <v>3860</v>
      </c>
    </row>
    <row r="3679" spans="2:2">
      <c r="B3679" s="10" t="s">
        <v>3861</v>
      </c>
    </row>
    <row r="3680" spans="2:2">
      <c r="B3680" s="10" t="s">
        <v>3862</v>
      </c>
    </row>
    <row r="3681" spans="2:2">
      <c r="B3681" s="10" t="s">
        <v>3863</v>
      </c>
    </row>
    <row r="3682" spans="2:2">
      <c r="B3682" s="10" t="s">
        <v>3864</v>
      </c>
    </row>
    <row r="3683" spans="2:2">
      <c r="B3683" s="10" t="s">
        <v>3865</v>
      </c>
    </row>
    <row r="3684" spans="2:2">
      <c r="B3684" s="10" t="s">
        <v>3866</v>
      </c>
    </row>
    <row r="3685" spans="2:2">
      <c r="B3685" s="10" t="s">
        <v>3867</v>
      </c>
    </row>
    <row r="3686" spans="2:2">
      <c r="B3686" s="10" t="s">
        <v>3868</v>
      </c>
    </row>
    <row r="3687" spans="2:2">
      <c r="B3687" s="10" t="s">
        <v>3869</v>
      </c>
    </row>
    <row r="3688" spans="2:2">
      <c r="B3688" s="10" t="s">
        <v>3870</v>
      </c>
    </row>
    <row r="3689" spans="2:2">
      <c r="B3689" s="10" t="s">
        <v>3871</v>
      </c>
    </row>
    <row r="3690" spans="2:2">
      <c r="B3690" s="10" t="s">
        <v>3872</v>
      </c>
    </row>
    <row r="3691" spans="2:2">
      <c r="B3691" s="10" t="s">
        <v>3873</v>
      </c>
    </row>
    <row r="3692" spans="2:2">
      <c r="B3692" s="10" t="s">
        <v>3874</v>
      </c>
    </row>
    <row r="3693" spans="2:2">
      <c r="B3693" s="10" t="s">
        <v>3875</v>
      </c>
    </row>
    <row r="3694" spans="2:2">
      <c r="B3694" s="10" t="s">
        <v>3876</v>
      </c>
    </row>
    <row r="3695" spans="2:2">
      <c r="B3695" s="10" t="s">
        <v>3877</v>
      </c>
    </row>
    <row r="3696" spans="2:2">
      <c r="B3696" s="10" t="s">
        <v>3878</v>
      </c>
    </row>
    <row r="3697" spans="2:2">
      <c r="B3697" s="10" t="s">
        <v>3879</v>
      </c>
    </row>
    <row r="3698" spans="2:2">
      <c r="B3698" s="10" t="s">
        <v>3880</v>
      </c>
    </row>
    <row r="3699" spans="2:2">
      <c r="B3699" s="10" t="s">
        <v>3881</v>
      </c>
    </row>
    <row r="3700" spans="2:2">
      <c r="B3700" s="10" t="s">
        <v>3882</v>
      </c>
    </row>
    <row r="3701" spans="2:2">
      <c r="B3701" s="10" t="s">
        <v>3883</v>
      </c>
    </row>
    <row r="3702" spans="2:2">
      <c r="B3702" s="10" t="s">
        <v>3884</v>
      </c>
    </row>
    <row r="3703" spans="2:2">
      <c r="B3703" s="10" t="s">
        <v>3885</v>
      </c>
    </row>
    <row r="3704" spans="2:2">
      <c r="B3704" s="10" t="s">
        <v>3886</v>
      </c>
    </row>
    <row r="3705" spans="2:2">
      <c r="B3705" s="10" t="s">
        <v>3887</v>
      </c>
    </row>
    <row r="3706" spans="2:2">
      <c r="B3706" s="10" t="s">
        <v>3888</v>
      </c>
    </row>
    <row r="3707" spans="2:2">
      <c r="B3707" s="10" t="s">
        <v>3889</v>
      </c>
    </row>
    <row r="3708" spans="2:2">
      <c r="B3708" s="10" t="s">
        <v>3890</v>
      </c>
    </row>
    <row r="3709" spans="2:2">
      <c r="B3709" s="10" t="s">
        <v>3891</v>
      </c>
    </row>
    <row r="3710" spans="2:2">
      <c r="B3710" s="10" t="s">
        <v>3892</v>
      </c>
    </row>
    <row r="3711" spans="2:2">
      <c r="B3711" s="10" t="s">
        <v>3893</v>
      </c>
    </row>
    <row r="3712" spans="2:2">
      <c r="B3712" s="10" t="s">
        <v>3894</v>
      </c>
    </row>
    <row r="3713" spans="2:2">
      <c r="B3713" s="10" t="s">
        <v>3895</v>
      </c>
    </row>
    <row r="3714" spans="2:2">
      <c r="B3714" s="10" t="s">
        <v>3896</v>
      </c>
    </row>
    <row r="3715" spans="2:2">
      <c r="B3715" s="10" t="s">
        <v>3897</v>
      </c>
    </row>
    <row r="3716" spans="2:2">
      <c r="B3716" s="10" t="s">
        <v>3898</v>
      </c>
    </row>
    <row r="3717" spans="2:2">
      <c r="B3717" s="10" t="s">
        <v>3899</v>
      </c>
    </row>
    <row r="3718" spans="2:2">
      <c r="B3718" s="10" t="s">
        <v>3900</v>
      </c>
    </row>
    <row r="3719" spans="2:2">
      <c r="B3719" s="10" t="s">
        <v>3901</v>
      </c>
    </row>
    <row r="3720" spans="2:2">
      <c r="B3720" s="10" t="s">
        <v>3902</v>
      </c>
    </row>
    <row r="3721" spans="2:2">
      <c r="B3721" s="10" t="s">
        <v>3903</v>
      </c>
    </row>
    <row r="3722" spans="2:2">
      <c r="B3722" s="10" t="s">
        <v>3904</v>
      </c>
    </row>
    <row r="3723" spans="2:2">
      <c r="B3723" s="10" t="s">
        <v>3905</v>
      </c>
    </row>
    <row r="3724" spans="2:2">
      <c r="B3724" s="10" t="s">
        <v>3906</v>
      </c>
    </row>
    <row r="3725" spans="2:2">
      <c r="B3725" s="10" t="s">
        <v>3907</v>
      </c>
    </row>
    <row r="3726" spans="2:2">
      <c r="B3726" s="10" t="s">
        <v>3908</v>
      </c>
    </row>
    <row r="3727" spans="2:2">
      <c r="B3727" s="10" t="s">
        <v>3909</v>
      </c>
    </row>
    <row r="3728" spans="2:2">
      <c r="B3728" s="10" t="s">
        <v>3910</v>
      </c>
    </row>
    <row r="3729" spans="2:2">
      <c r="B3729" s="10" t="s">
        <v>3911</v>
      </c>
    </row>
    <row r="3730" spans="2:2">
      <c r="B3730" s="10" t="s">
        <v>3912</v>
      </c>
    </row>
    <row r="3731" spans="2:2">
      <c r="B3731" s="10" t="s">
        <v>3913</v>
      </c>
    </row>
    <row r="3732" spans="2:2">
      <c r="B3732" s="10" t="s">
        <v>3914</v>
      </c>
    </row>
    <row r="3733" spans="2:2">
      <c r="B3733" s="10" t="s">
        <v>3915</v>
      </c>
    </row>
    <row r="3734" spans="2:2">
      <c r="B3734" s="10" t="s">
        <v>3916</v>
      </c>
    </row>
    <row r="3735" spans="2:2">
      <c r="B3735" s="10" t="s">
        <v>3917</v>
      </c>
    </row>
    <row r="3736" spans="2:2">
      <c r="B3736" s="10" t="s">
        <v>3918</v>
      </c>
    </row>
    <row r="3737" spans="2:2">
      <c r="B3737" s="10" t="s">
        <v>3919</v>
      </c>
    </row>
    <row r="3738" spans="2:2">
      <c r="B3738" s="10" t="s">
        <v>3920</v>
      </c>
    </row>
    <row r="3739" spans="2:2">
      <c r="B3739" s="10" t="s">
        <v>3921</v>
      </c>
    </row>
    <row r="3740" spans="2:2">
      <c r="B3740" s="10" t="s">
        <v>3922</v>
      </c>
    </row>
    <row r="3741" spans="2:2">
      <c r="B3741" s="10" t="s">
        <v>3923</v>
      </c>
    </row>
    <row r="3742" spans="2:2">
      <c r="B3742" s="10" t="s">
        <v>3924</v>
      </c>
    </row>
    <row r="3743" spans="2:2">
      <c r="B3743" s="10" t="s">
        <v>3925</v>
      </c>
    </row>
    <row r="3744" spans="2:2">
      <c r="B3744" s="10" t="s">
        <v>3926</v>
      </c>
    </row>
    <row r="3745" spans="2:2">
      <c r="B3745" s="10" t="s">
        <v>3927</v>
      </c>
    </row>
    <row r="3746" spans="2:2">
      <c r="B3746" s="10" t="s">
        <v>3928</v>
      </c>
    </row>
    <row r="3747" spans="2:2">
      <c r="B3747" s="10" t="s">
        <v>3929</v>
      </c>
    </row>
    <row r="3748" spans="2:2">
      <c r="B3748" s="10" t="s">
        <v>3930</v>
      </c>
    </row>
    <row r="3749" spans="2:2">
      <c r="B3749" s="10" t="s">
        <v>3931</v>
      </c>
    </row>
    <row r="3750" spans="2:2">
      <c r="B3750" s="10" t="s">
        <v>3932</v>
      </c>
    </row>
    <row r="3751" spans="2:2">
      <c r="B3751" s="10" t="s">
        <v>3933</v>
      </c>
    </row>
    <row r="3752" spans="2:2">
      <c r="B3752" s="10" t="s">
        <v>3934</v>
      </c>
    </row>
    <row r="3753" spans="2:2">
      <c r="B3753" s="10" t="s">
        <v>3935</v>
      </c>
    </row>
    <row r="3754" spans="2:2">
      <c r="B3754" s="10" t="s">
        <v>3936</v>
      </c>
    </row>
    <row r="3755" spans="2:2">
      <c r="B3755" s="10" t="s">
        <v>3937</v>
      </c>
    </row>
    <row r="3756" spans="2:2">
      <c r="B3756" s="10" t="s">
        <v>3938</v>
      </c>
    </row>
    <row r="3757" spans="2:2">
      <c r="B3757" s="10" t="s">
        <v>3939</v>
      </c>
    </row>
    <row r="3758" spans="2:2">
      <c r="B3758" s="10" t="s">
        <v>3940</v>
      </c>
    </row>
    <row r="3759" spans="2:2">
      <c r="B3759" s="10" t="s">
        <v>3941</v>
      </c>
    </row>
    <row r="3760" spans="2:2">
      <c r="B3760" s="10" t="s">
        <v>3942</v>
      </c>
    </row>
    <row r="3761" spans="2:2">
      <c r="B3761" s="10" t="s">
        <v>3943</v>
      </c>
    </row>
    <row r="3762" spans="2:2">
      <c r="B3762" s="10" t="s">
        <v>3944</v>
      </c>
    </row>
    <row r="3763" spans="2:2">
      <c r="B3763" s="10" t="s">
        <v>3945</v>
      </c>
    </row>
    <row r="3764" spans="2:2">
      <c r="B3764" s="10" t="s">
        <v>3946</v>
      </c>
    </row>
    <row r="3765" spans="2:2">
      <c r="B3765" s="10" t="s">
        <v>3947</v>
      </c>
    </row>
    <row r="3766" spans="2:2">
      <c r="B3766" s="10" t="s">
        <v>3948</v>
      </c>
    </row>
    <row r="3767" spans="2:2">
      <c r="B3767" s="10" t="s">
        <v>3949</v>
      </c>
    </row>
    <row r="3768" spans="2:2">
      <c r="B3768" s="10" t="s">
        <v>3950</v>
      </c>
    </row>
    <row r="3769" spans="2:2">
      <c r="B3769" s="10" t="s">
        <v>3951</v>
      </c>
    </row>
    <row r="3770" spans="2:2">
      <c r="B3770" s="10" t="s">
        <v>3952</v>
      </c>
    </row>
    <row r="3771" spans="2:2">
      <c r="B3771" s="10" t="s">
        <v>3953</v>
      </c>
    </row>
    <row r="3772" spans="2:2">
      <c r="B3772" s="10" t="s">
        <v>3954</v>
      </c>
    </row>
    <row r="3773" spans="2:2">
      <c r="B3773" s="10" t="s">
        <v>3955</v>
      </c>
    </row>
    <row r="3774" spans="2:2">
      <c r="B3774" s="10" t="s">
        <v>3956</v>
      </c>
    </row>
    <row r="3775" spans="2:2">
      <c r="B3775" s="10" t="s">
        <v>3957</v>
      </c>
    </row>
    <row r="3776" spans="2:2">
      <c r="B3776" s="10" t="s">
        <v>3958</v>
      </c>
    </row>
    <row r="3777" spans="2:2">
      <c r="B3777" s="10" t="s">
        <v>3959</v>
      </c>
    </row>
    <row r="3778" spans="2:2">
      <c r="B3778" s="10" t="s">
        <v>3960</v>
      </c>
    </row>
    <row r="3779" spans="2:2">
      <c r="B3779" s="10" t="s">
        <v>3961</v>
      </c>
    </row>
    <row r="3780" spans="2:2">
      <c r="B3780" s="10" t="s">
        <v>3962</v>
      </c>
    </row>
    <row r="3781" spans="2:2">
      <c r="B3781" s="10" t="s">
        <v>3963</v>
      </c>
    </row>
    <row r="3782" spans="2:2">
      <c r="B3782" s="10" t="s">
        <v>3964</v>
      </c>
    </row>
    <row r="3783" spans="2:2">
      <c r="B3783" s="10" t="s">
        <v>3965</v>
      </c>
    </row>
    <row r="3784" spans="2:2">
      <c r="B3784" s="10" t="s">
        <v>3966</v>
      </c>
    </row>
    <row r="3785" spans="2:2">
      <c r="B3785" s="10" t="s">
        <v>3967</v>
      </c>
    </row>
    <row r="3786" spans="2:2">
      <c r="B3786" s="10" t="s">
        <v>3968</v>
      </c>
    </row>
    <row r="3787" spans="2:2">
      <c r="B3787" s="10" t="s">
        <v>3969</v>
      </c>
    </row>
    <row r="3788" spans="2:2">
      <c r="B3788" s="10" t="s">
        <v>3970</v>
      </c>
    </row>
    <row r="3789" spans="2:2">
      <c r="B3789" s="10" t="s">
        <v>3971</v>
      </c>
    </row>
    <row r="3790" spans="2:2">
      <c r="B3790" s="10" t="s">
        <v>3972</v>
      </c>
    </row>
    <row r="3791" spans="2:2">
      <c r="B3791" s="10" t="s">
        <v>3973</v>
      </c>
    </row>
    <row r="3792" spans="2:2">
      <c r="B3792" s="10" t="s">
        <v>3974</v>
      </c>
    </row>
    <row r="3793" spans="2:2">
      <c r="B3793" s="10" t="s">
        <v>3975</v>
      </c>
    </row>
    <row r="3794" spans="2:2">
      <c r="B3794" s="10" t="s">
        <v>3976</v>
      </c>
    </row>
    <row r="3795" spans="2:2">
      <c r="B3795" s="10" t="s">
        <v>3977</v>
      </c>
    </row>
    <row r="3796" spans="2:2">
      <c r="B3796" s="10" t="s">
        <v>3978</v>
      </c>
    </row>
    <row r="3797" spans="2:2">
      <c r="B3797" s="10" t="s">
        <v>3979</v>
      </c>
    </row>
    <row r="3798" spans="2:2">
      <c r="B3798" s="10" t="s">
        <v>3980</v>
      </c>
    </row>
    <row r="3799" spans="2:2">
      <c r="B3799" s="10" t="s">
        <v>3981</v>
      </c>
    </row>
    <row r="3800" spans="2:2">
      <c r="B3800" s="10" t="s">
        <v>3982</v>
      </c>
    </row>
    <row r="3801" spans="2:2">
      <c r="B3801" s="10" t="s">
        <v>3983</v>
      </c>
    </row>
    <row r="3802" spans="2:2">
      <c r="B3802" s="10" t="s">
        <v>3984</v>
      </c>
    </row>
    <row r="3803" spans="2:2">
      <c r="B3803" s="10" t="s">
        <v>3985</v>
      </c>
    </row>
    <row r="3804" spans="2:2">
      <c r="B3804" s="10" t="s">
        <v>3986</v>
      </c>
    </row>
    <row r="3805" spans="2:2">
      <c r="B3805" s="10" t="s">
        <v>3987</v>
      </c>
    </row>
    <row r="3806" spans="2:2">
      <c r="B3806" s="10" t="s">
        <v>3988</v>
      </c>
    </row>
    <row r="3807" spans="2:2">
      <c r="B3807" s="10" t="s">
        <v>3989</v>
      </c>
    </row>
    <row r="3808" spans="2:2">
      <c r="B3808" s="10" t="s">
        <v>3990</v>
      </c>
    </row>
    <row r="3809" spans="2:2">
      <c r="B3809" s="10" t="s">
        <v>3991</v>
      </c>
    </row>
    <row r="3810" spans="2:2">
      <c r="B3810" s="10" t="s">
        <v>3992</v>
      </c>
    </row>
    <row r="3811" spans="2:2">
      <c r="B3811" s="10" t="s">
        <v>3993</v>
      </c>
    </row>
    <row r="3812" spans="2:2">
      <c r="B3812" s="10" t="s">
        <v>3994</v>
      </c>
    </row>
    <row r="3813" spans="2:2">
      <c r="B3813" s="10" t="s">
        <v>3995</v>
      </c>
    </row>
    <row r="3814" spans="2:2">
      <c r="B3814" s="10" t="s">
        <v>3996</v>
      </c>
    </row>
    <row r="3815" spans="2:2">
      <c r="B3815" s="10" t="s">
        <v>3997</v>
      </c>
    </row>
    <row r="3816" spans="2:2">
      <c r="B3816" s="10" t="s">
        <v>3998</v>
      </c>
    </row>
    <row r="3817" spans="2:2">
      <c r="B3817" s="10" t="s">
        <v>3999</v>
      </c>
    </row>
    <row r="3818" spans="2:2">
      <c r="B3818" s="10" t="s">
        <v>4000</v>
      </c>
    </row>
    <row r="3819" spans="2:2">
      <c r="B3819" s="10" t="s">
        <v>4001</v>
      </c>
    </row>
    <row r="3820" spans="2:2">
      <c r="B3820" s="10" t="s">
        <v>4002</v>
      </c>
    </row>
    <row r="3821" spans="2:2">
      <c r="B3821" s="10" t="s">
        <v>4003</v>
      </c>
    </row>
    <row r="3822" spans="2:2">
      <c r="B3822" s="10" t="s">
        <v>4004</v>
      </c>
    </row>
    <row r="3823" spans="2:2">
      <c r="B3823" s="10" t="s">
        <v>4005</v>
      </c>
    </row>
    <row r="3824" spans="2:2">
      <c r="B3824" s="10" t="s">
        <v>4006</v>
      </c>
    </row>
    <row r="3825" spans="2:2">
      <c r="B3825" s="10" t="s">
        <v>4007</v>
      </c>
    </row>
    <row r="3826" spans="2:2">
      <c r="B3826" s="10" t="s">
        <v>4008</v>
      </c>
    </row>
    <row r="3827" spans="2:2">
      <c r="B3827" s="10" t="s">
        <v>4009</v>
      </c>
    </row>
    <row r="3828" spans="2:2">
      <c r="B3828" s="10" t="s">
        <v>4010</v>
      </c>
    </row>
    <row r="3829" spans="2:2">
      <c r="B3829" s="10" t="s">
        <v>4011</v>
      </c>
    </row>
    <row r="3830" spans="2:2">
      <c r="B3830" s="10" t="s">
        <v>4012</v>
      </c>
    </row>
    <row r="3831" spans="2:2">
      <c r="B3831" s="10" t="s">
        <v>4013</v>
      </c>
    </row>
    <row r="3832" spans="2:2">
      <c r="B3832" s="10" t="s">
        <v>4014</v>
      </c>
    </row>
    <row r="3833" spans="2:2">
      <c r="B3833" s="10" t="s">
        <v>4015</v>
      </c>
    </row>
    <row r="3834" spans="2:2">
      <c r="B3834" s="10" t="s">
        <v>4016</v>
      </c>
    </row>
    <row r="3835" spans="2:2">
      <c r="B3835" s="10" t="s">
        <v>4017</v>
      </c>
    </row>
    <row r="3836" spans="2:2">
      <c r="B3836" s="10" t="s">
        <v>4018</v>
      </c>
    </row>
    <row r="3837" spans="2:2">
      <c r="B3837" s="10" t="s">
        <v>4019</v>
      </c>
    </row>
    <row r="3838" spans="2:2">
      <c r="B3838" s="10" t="s">
        <v>4020</v>
      </c>
    </row>
    <row r="3839" spans="2:2">
      <c r="B3839" s="10" t="s">
        <v>4021</v>
      </c>
    </row>
    <row r="3840" spans="2:2">
      <c r="B3840" s="10" t="s">
        <v>4022</v>
      </c>
    </row>
    <row r="3841" spans="2:2">
      <c r="B3841" s="10" t="s">
        <v>4023</v>
      </c>
    </row>
    <row r="3842" spans="2:2">
      <c r="B3842" s="10" t="s">
        <v>4024</v>
      </c>
    </row>
    <row r="3843" spans="2:2">
      <c r="B3843" s="10" t="s">
        <v>4025</v>
      </c>
    </row>
    <row r="3844" spans="2:2">
      <c r="B3844" s="10" t="s">
        <v>4026</v>
      </c>
    </row>
    <row r="3845" spans="2:2">
      <c r="B3845" s="10" t="s">
        <v>4027</v>
      </c>
    </row>
    <row r="3846" spans="2:2">
      <c r="B3846" s="10" t="s">
        <v>4028</v>
      </c>
    </row>
    <row r="3847" spans="2:2">
      <c r="B3847" s="10" t="s">
        <v>4029</v>
      </c>
    </row>
    <row r="3848" spans="2:2">
      <c r="B3848" s="10" t="s">
        <v>4030</v>
      </c>
    </row>
    <row r="3849" spans="2:2">
      <c r="B3849" s="10" t="s">
        <v>4031</v>
      </c>
    </row>
    <row r="3850" spans="2:2">
      <c r="B3850" s="10" t="s">
        <v>4032</v>
      </c>
    </row>
    <row r="3851" spans="2:2">
      <c r="B3851" s="10" t="s">
        <v>4033</v>
      </c>
    </row>
    <row r="3852" spans="2:2">
      <c r="B3852" s="10" t="s">
        <v>4034</v>
      </c>
    </row>
    <row r="3853" spans="2:2">
      <c r="B3853" s="10" t="s">
        <v>4035</v>
      </c>
    </row>
    <row r="3854" spans="2:2">
      <c r="B3854" s="10" t="s">
        <v>4036</v>
      </c>
    </row>
    <row r="3855" spans="2:2">
      <c r="B3855" s="10" t="s">
        <v>4037</v>
      </c>
    </row>
    <row r="3856" spans="2:2">
      <c r="B3856" s="10" t="s">
        <v>4038</v>
      </c>
    </row>
    <row r="3857" spans="2:2">
      <c r="B3857" s="10" t="s">
        <v>4039</v>
      </c>
    </row>
    <row r="3858" spans="2:2">
      <c r="B3858" s="10" t="s">
        <v>4040</v>
      </c>
    </row>
    <row r="3859" spans="2:2">
      <c r="B3859" s="10" t="s">
        <v>4041</v>
      </c>
    </row>
    <row r="3860" spans="2:2">
      <c r="B3860" s="10" t="s">
        <v>4042</v>
      </c>
    </row>
    <row r="3861" spans="2:2">
      <c r="B3861" s="10" t="s">
        <v>4043</v>
      </c>
    </row>
    <row r="3862" spans="2:2">
      <c r="B3862" s="10" t="s">
        <v>4044</v>
      </c>
    </row>
    <row r="3863" spans="2:2">
      <c r="B3863" s="10" t="s">
        <v>4045</v>
      </c>
    </row>
    <row r="3864" spans="2:2">
      <c r="B3864" s="10" t="s">
        <v>4046</v>
      </c>
    </row>
    <row r="3865" spans="2:2">
      <c r="B3865" s="10" t="s">
        <v>4047</v>
      </c>
    </row>
    <row r="3866" spans="2:2">
      <c r="B3866" s="10" t="s">
        <v>4048</v>
      </c>
    </row>
    <row r="3867" spans="2:2">
      <c r="B3867" s="10" t="s">
        <v>4049</v>
      </c>
    </row>
    <row r="3868" spans="2:2">
      <c r="B3868" s="10" t="s">
        <v>4050</v>
      </c>
    </row>
    <row r="3869" spans="2:2">
      <c r="B3869" s="10" t="s">
        <v>4051</v>
      </c>
    </row>
    <row r="3870" spans="2:2">
      <c r="B3870" s="10" t="s">
        <v>4052</v>
      </c>
    </row>
    <row r="3871" spans="2:2">
      <c r="B3871" s="10" t="s">
        <v>4053</v>
      </c>
    </row>
    <row r="3872" spans="2:2">
      <c r="B3872" s="10" t="s">
        <v>4054</v>
      </c>
    </row>
    <row r="3873" spans="2:2">
      <c r="B3873" s="10" t="s">
        <v>4055</v>
      </c>
    </row>
    <row r="3874" spans="2:2">
      <c r="B3874" s="10" t="s">
        <v>4056</v>
      </c>
    </row>
    <row r="3875" spans="2:2">
      <c r="B3875" s="10" t="s">
        <v>4057</v>
      </c>
    </row>
    <row r="3876" spans="2:2">
      <c r="B3876" s="10" t="s">
        <v>4058</v>
      </c>
    </row>
    <row r="3877" spans="2:2">
      <c r="B3877" s="10" t="s">
        <v>4059</v>
      </c>
    </row>
    <row r="3878" spans="2:2">
      <c r="B3878" s="10" t="s">
        <v>4060</v>
      </c>
    </row>
    <row r="3879" spans="2:2">
      <c r="B3879" s="10" t="s">
        <v>4061</v>
      </c>
    </row>
    <row r="3880" spans="2:2">
      <c r="B3880" s="10" t="s">
        <v>4062</v>
      </c>
    </row>
    <row r="3881" spans="2:2">
      <c r="B3881" s="10" t="s">
        <v>4063</v>
      </c>
    </row>
    <row r="3882" spans="2:2">
      <c r="B3882" s="10" t="s">
        <v>4064</v>
      </c>
    </row>
    <row r="3883" spans="2:2">
      <c r="B3883" s="10" t="s">
        <v>4065</v>
      </c>
    </row>
    <row r="3884" spans="2:2">
      <c r="B3884" s="10" t="s">
        <v>4066</v>
      </c>
    </row>
    <row r="3885" spans="2:2">
      <c r="B3885" s="10" t="s">
        <v>4067</v>
      </c>
    </row>
    <row r="3886" spans="2:2">
      <c r="B3886" s="10" t="s">
        <v>4068</v>
      </c>
    </row>
    <row r="3887" spans="2:2">
      <c r="B3887" s="10" t="s">
        <v>4069</v>
      </c>
    </row>
    <row r="3888" spans="2:2">
      <c r="B3888" s="10" t="s">
        <v>4070</v>
      </c>
    </row>
    <row r="3889" spans="2:2">
      <c r="B3889" s="10" t="s">
        <v>4071</v>
      </c>
    </row>
    <row r="3890" spans="2:2">
      <c r="B3890" s="10" t="s">
        <v>4072</v>
      </c>
    </row>
    <row r="3891" spans="2:2">
      <c r="B3891" s="10" t="s">
        <v>4073</v>
      </c>
    </row>
    <row r="3892" spans="2:2">
      <c r="B3892" s="10" t="s">
        <v>4074</v>
      </c>
    </row>
    <row r="3893" spans="2:2">
      <c r="B3893" s="10" t="s">
        <v>4075</v>
      </c>
    </row>
    <row r="3894" spans="2:2">
      <c r="B3894" s="10" t="s">
        <v>4076</v>
      </c>
    </row>
    <row r="3895" spans="2:2">
      <c r="B3895" s="10" t="s">
        <v>4077</v>
      </c>
    </row>
    <row r="3896" spans="2:2">
      <c r="B3896" s="10" t="s">
        <v>4078</v>
      </c>
    </row>
    <row r="3897" spans="2:2">
      <c r="B3897" s="10" t="s">
        <v>4079</v>
      </c>
    </row>
    <row r="3898" spans="2:2">
      <c r="B3898" s="10" t="s">
        <v>4080</v>
      </c>
    </row>
    <row r="3899" spans="2:2">
      <c r="B3899" s="10" t="s">
        <v>4081</v>
      </c>
    </row>
    <row r="3900" spans="2:2">
      <c r="B3900" s="10" t="s">
        <v>4082</v>
      </c>
    </row>
    <row r="3901" spans="2:2">
      <c r="B3901" s="10" t="s">
        <v>4083</v>
      </c>
    </row>
    <row r="3902" spans="2:2">
      <c r="B3902" s="10" t="s">
        <v>4084</v>
      </c>
    </row>
    <row r="3903" spans="2:2">
      <c r="B3903" s="10" t="s">
        <v>4085</v>
      </c>
    </row>
    <row r="3904" spans="2:2">
      <c r="B3904" s="10" t="s">
        <v>4086</v>
      </c>
    </row>
    <row r="3905" spans="2:2">
      <c r="B3905" s="10" t="s">
        <v>4087</v>
      </c>
    </row>
    <row r="3906" spans="2:2">
      <c r="B3906" s="10" t="s">
        <v>4088</v>
      </c>
    </row>
    <row r="3907" spans="2:2">
      <c r="B3907" s="10" t="s">
        <v>4089</v>
      </c>
    </row>
    <row r="3908" spans="2:2">
      <c r="B3908" s="10" t="s">
        <v>4090</v>
      </c>
    </row>
    <row r="3909" spans="2:2">
      <c r="B3909" s="10" t="s">
        <v>4091</v>
      </c>
    </row>
    <row r="3910" spans="2:2">
      <c r="B3910" s="10" t="s">
        <v>4092</v>
      </c>
    </row>
    <row r="3911" spans="2:2">
      <c r="B3911" s="10" t="s">
        <v>4093</v>
      </c>
    </row>
    <row r="3912" spans="2:2">
      <c r="B3912" s="10" t="s">
        <v>4094</v>
      </c>
    </row>
    <row r="3913" spans="2:2">
      <c r="B3913" s="10" t="s">
        <v>4095</v>
      </c>
    </row>
    <row r="3914" spans="2:2">
      <c r="B3914" s="10" t="s">
        <v>4096</v>
      </c>
    </row>
    <row r="3915" spans="2:2">
      <c r="B3915" s="10" t="s">
        <v>4097</v>
      </c>
    </row>
    <row r="3916" spans="2:2">
      <c r="B3916" s="10" t="s">
        <v>4098</v>
      </c>
    </row>
    <row r="3917" spans="2:2">
      <c r="B3917" s="10" t="s">
        <v>4099</v>
      </c>
    </row>
    <row r="3918" spans="2:2">
      <c r="B3918" s="10" t="s">
        <v>4100</v>
      </c>
    </row>
    <row r="3919" spans="2:2">
      <c r="B3919" s="10" t="s">
        <v>4101</v>
      </c>
    </row>
    <row r="3920" spans="2:2">
      <c r="B3920" s="10" t="s">
        <v>4102</v>
      </c>
    </row>
    <row r="3921" spans="2:2">
      <c r="B3921" s="10" t="s">
        <v>4103</v>
      </c>
    </row>
    <row r="3922" spans="2:2">
      <c r="B3922" s="10" t="s">
        <v>4104</v>
      </c>
    </row>
    <row r="3923" spans="2:2">
      <c r="B3923" s="10" t="s">
        <v>4105</v>
      </c>
    </row>
    <row r="3924" spans="2:2">
      <c r="B3924" s="10" t="s">
        <v>4106</v>
      </c>
    </row>
    <row r="3925" spans="2:2">
      <c r="B3925" s="10" t="s">
        <v>4107</v>
      </c>
    </row>
    <row r="3926" spans="2:2">
      <c r="B3926" s="10" t="s">
        <v>4108</v>
      </c>
    </row>
    <row r="3927" spans="2:2">
      <c r="B3927" s="10" t="s">
        <v>4109</v>
      </c>
    </row>
    <row r="3928" spans="2:2">
      <c r="B3928" s="10" t="s">
        <v>4110</v>
      </c>
    </row>
    <row r="3929" spans="2:2">
      <c r="B3929" s="10" t="s">
        <v>4111</v>
      </c>
    </row>
    <row r="3930" spans="2:2">
      <c r="B3930" s="10" t="s">
        <v>4112</v>
      </c>
    </row>
    <row r="3931" spans="2:2">
      <c r="B3931" s="10" t="s">
        <v>4113</v>
      </c>
    </row>
    <row r="3932" spans="2:2">
      <c r="B3932" s="10" t="s">
        <v>4114</v>
      </c>
    </row>
    <row r="3933" spans="2:2">
      <c r="B3933" s="10" t="s">
        <v>4115</v>
      </c>
    </row>
    <row r="3934" spans="2:2">
      <c r="B3934" s="10" t="s">
        <v>4116</v>
      </c>
    </row>
    <row r="3935" spans="2:2">
      <c r="B3935" s="10" t="s">
        <v>4117</v>
      </c>
    </row>
    <row r="3936" spans="2:2">
      <c r="B3936" s="10" t="s">
        <v>4118</v>
      </c>
    </row>
    <row r="3937" spans="2:2">
      <c r="B3937" s="10" t="s">
        <v>4119</v>
      </c>
    </row>
    <row r="3938" spans="2:2">
      <c r="B3938" s="10" t="s">
        <v>4120</v>
      </c>
    </row>
    <row r="3939" spans="2:2">
      <c r="B3939" s="10" t="s">
        <v>4121</v>
      </c>
    </row>
    <row r="3940" spans="2:2">
      <c r="B3940" s="10" t="s">
        <v>4122</v>
      </c>
    </row>
    <row r="3941" spans="2:2">
      <c r="B3941" s="10" t="s">
        <v>4123</v>
      </c>
    </row>
    <row r="3942" spans="2:2">
      <c r="B3942" s="10" t="s">
        <v>4124</v>
      </c>
    </row>
    <row r="3943" spans="2:2">
      <c r="B3943" s="10" t="s">
        <v>4125</v>
      </c>
    </row>
    <row r="3944" spans="2:2">
      <c r="B3944" s="10" t="s">
        <v>4126</v>
      </c>
    </row>
    <row r="3945" spans="2:2">
      <c r="B3945" s="10" t="s">
        <v>4127</v>
      </c>
    </row>
    <row r="3946" spans="2:2">
      <c r="B3946" s="10" t="s">
        <v>4128</v>
      </c>
    </row>
    <row r="3947" spans="2:2">
      <c r="B3947" s="10" t="s">
        <v>4129</v>
      </c>
    </row>
    <row r="3948" spans="2:2">
      <c r="B3948" s="10" t="s">
        <v>4130</v>
      </c>
    </row>
    <row r="3949" spans="2:2">
      <c r="B3949" s="10" t="s">
        <v>4131</v>
      </c>
    </row>
    <row r="3950" spans="2:2">
      <c r="B3950" s="10" t="s">
        <v>4132</v>
      </c>
    </row>
    <row r="3951" spans="2:2">
      <c r="B3951" s="10" t="s">
        <v>4133</v>
      </c>
    </row>
    <row r="3952" spans="2:2">
      <c r="B3952" s="10" t="s">
        <v>4134</v>
      </c>
    </row>
    <row r="3953" spans="2:2">
      <c r="B3953" s="10" t="s">
        <v>4135</v>
      </c>
    </row>
    <row r="3954" spans="2:2">
      <c r="B3954" s="10" t="s">
        <v>4136</v>
      </c>
    </row>
    <row r="3955" spans="2:2">
      <c r="B3955" s="10" t="s">
        <v>4137</v>
      </c>
    </row>
    <row r="3956" spans="2:2">
      <c r="B3956" s="10" t="s">
        <v>4138</v>
      </c>
    </row>
    <row r="3957" spans="2:2">
      <c r="B3957" s="10" t="s">
        <v>4139</v>
      </c>
    </row>
    <row r="3958" spans="2:2">
      <c r="B3958" s="10" t="s">
        <v>4140</v>
      </c>
    </row>
    <row r="3959" spans="2:2">
      <c r="B3959" s="10" t="s">
        <v>4141</v>
      </c>
    </row>
    <row r="3960" spans="2:2">
      <c r="B3960" s="10" t="s">
        <v>4142</v>
      </c>
    </row>
    <row r="3961" spans="2:2">
      <c r="B3961" s="10" t="s">
        <v>4143</v>
      </c>
    </row>
    <row r="3962" spans="2:2">
      <c r="B3962" s="10" t="s">
        <v>4144</v>
      </c>
    </row>
    <row r="3963" spans="2:2">
      <c r="B3963" s="10" t="s">
        <v>4145</v>
      </c>
    </row>
    <row r="3964" spans="2:2">
      <c r="B3964" s="10" t="s">
        <v>4146</v>
      </c>
    </row>
    <row r="3965" spans="2:2">
      <c r="B3965" s="10" t="s">
        <v>4147</v>
      </c>
    </row>
    <row r="3966" spans="2:2">
      <c r="B3966" s="10" t="s">
        <v>4148</v>
      </c>
    </row>
    <row r="3967" spans="2:2">
      <c r="B3967" s="10" t="s">
        <v>4149</v>
      </c>
    </row>
    <row r="3968" spans="2:2">
      <c r="B3968" s="10" t="s">
        <v>4150</v>
      </c>
    </row>
    <row r="3969" spans="2:2">
      <c r="B3969" s="10" t="s">
        <v>4151</v>
      </c>
    </row>
    <row r="3970" spans="2:2">
      <c r="B3970" s="10" t="s">
        <v>4152</v>
      </c>
    </row>
    <row r="3971" spans="2:2">
      <c r="B3971" s="10" t="s">
        <v>4153</v>
      </c>
    </row>
    <row r="3972" spans="2:2">
      <c r="B3972" s="10" t="s">
        <v>4154</v>
      </c>
    </row>
    <row r="3973" spans="2:2">
      <c r="B3973" s="10" t="s">
        <v>4155</v>
      </c>
    </row>
    <row r="3974" spans="2:2">
      <c r="B3974" s="10" t="s">
        <v>4156</v>
      </c>
    </row>
    <row r="3975" spans="2:2">
      <c r="B3975" s="10" t="s">
        <v>4157</v>
      </c>
    </row>
    <row r="3976" spans="2:2">
      <c r="B3976" s="10" t="s">
        <v>4158</v>
      </c>
    </row>
    <row r="3977" spans="2:2">
      <c r="B3977" s="10" t="s">
        <v>4159</v>
      </c>
    </row>
    <row r="3978" spans="2:2">
      <c r="B3978" s="10" t="s">
        <v>4160</v>
      </c>
    </row>
    <row r="3979" spans="2:2">
      <c r="B3979" s="10" t="s">
        <v>4161</v>
      </c>
    </row>
    <row r="3980" spans="2:2">
      <c r="B3980" s="10" t="s">
        <v>4162</v>
      </c>
    </row>
    <row r="3981" spans="2:2">
      <c r="B3981" s="10" t="s">
        <v>4163</v>
      </c>
    </row>
    <row r="3982" spans="2:2">
      <c r="B3982" s="10" t="s">
        <v>4164</v>
      </c>
    </row>
    <row r="3983" spans="2:2">
      <c r="B3983" s="10" t="s">
        <v>4165</v>
      </c>
    </row>
    <row r="3984" spans="2:2">
      <c r="B3984" s="10" t="s">
        <v>4166</v>
      </c>
    </row>
    <row r="3985" spans="2:2">
      <c r="B3985" s="10" t="s">
        <v>4167</v>
      </c>
    </row>
    <row r="3986" spans="2:2">
      <c r="B3986" s="10" t="s">
        <v>4168</v>
      </c>
    </row>
    <row r="3987" spans="2:2">
      <c r="B3987" s="10" t="s">
        <v>4169</v>
      </c>
    </row>
    <row r="3988" spans="2:2">
      <c r="B3988" s="10" t="s">
        <v>4170</v>
      </c>
    </row>
    <row r="3989" spans="2:2">
      <c r="B3989" s="10" t="s">
        <v>4171</v>
      </c>
    </row>
    <row r="3990" spans="2:2">
      <c r="B3990" s="10" t="s">
        <v>4172</v>
      </c>
    </row>
    <row r="3991" spans="2:2">
      <c r="B3991" s="10" t="s">
        <v>4173</v>
      </c>
    </row>
    <row r="3992" spans="2:2">
      <c r="B3992" s="10" t="s">
        <v>4174</v>
      </c>
    </row>
    <row r="3993" spans="2:2">
      <c r="B3993" s="10" t="s">
        <v>4175</v>
      </c>
    </row>
    <row r="3994" spans="2:2">
      <c r="B3994" s="10" t="s">
        <v>4176</v>
      </c>
    </row>
    <row r="3995" spans="2:2">
      <c r="B3995" s="10" t="s">
        <v>4177</v>
      </c>
    </row>
    <row r="3996" spans="2:2">
      <c r="B3996" s="10" t="s">
        <v>4178</v>
      </c>
    </row>
    <row r="3997" spans="2:2">
      <c r="B3997" s="10" t="s">
        <v>4179</v>
      </c>
    </row>
    <row r="3998" spans="2:2">
      <c r="B3998" s="10" t="s">
        <v>4180</v>
      </c>
    </row>
    <row r="3999" spans="2:2">
      <c r="B3999" s="10" t="s">
        <v>4181</v>
      </c>
    </row>
    <row r="4000" spans="2:2">
      <c r="B4000" s="10" t="s">
        <v>4182</v>
      </c>
    </row>
    <row r="4001" spans="2:2">
      <c r="B4001" s="10" t="s">
        <v>4183</v>
      </c>
    </row>
    <row r="4002" spans="2:2">
      <c r="B4002" s="10" t="s">
        <v>4184</v>
      </c>
    </row>
    <row r="4003" spans="2:2">
      <c r="B4003" s="10" t="s">
        <v>4185</v>
      </c>
    </row>
    <row r="4004" spans="2:2">
      <c r="B4004" s="10" t="s">
        <v>4186</v>
      </c>
    </row>
    <row r="4005" spans="2:2">
      <c r="B4005" s="10" t="s">
        <v>4187</v>
      </c>
    </row>
    <row r="4006" spans="2:2">
      <c r="B4006" s="10" t="s">
        <v>4188</v>
      </c>
    </row>
    <row r="4007" spans="2:2">
      <c r="B4007" s="10" t="s">
        <v>4189</v>
      </c>
    </row>
    <row r="4008" spans="2:2">
      <c r="B4008" s="10" t="s">
        <v>4190</v>
      </c>
    </row>
    <row r="4009" spans="2:2">
      <c r="B4009" s="10" t="s">
        <v>4191</v>
      </c>
    </row>
    <row r="4010" spans="2:2">
      <c r="B4010" s="10" t="s">
        <v>4192</v>
      </c>
    </row>
    <row r="4011" spans="2:2">
      <c r="B4011" s="10" t="s">
        <v>4193</v>
      </c>
    </row>
    <row r="4012" spans="2:2">
      <c r="B4012" s="10" t="s">
        <v>4194</v>
      </c>
    </row>
    <row r="4013" spans="2:2">
      <c r="B4013" s="10" t="s">
        <v>4195</v>
      </c>
    </row>
    <row r="4014" spans="2:2">
      <c r="B4014" s="10" t="s">
        <v>4196</v>
      </c>
    </row>
    <row r="4015" spans="2:2">
      <c r="B4015" s="10" t="s">
        <v>4197</v>
      </c>
    </row>
    <row r="4016" spans="2:2">
      <c r="B4016" s="10" t="s">
        <v>4198</v>
      </c>
    </row>
    <row r="4017" spans="2:2">
      <c r="B4017" s="10" t="s">
        <v>4199</v>
      </c>
    </row>
    <row r="4018" spans="2:2">
      <c r="B4018" s="10" t="s">
        <v>4200</v>
      </c>
    </row>
    <row r="4019" spans="2:2">
      <c r="B4019" s="10" t="s">
        <v>4201</v>
      </c>
    </row>
    <row r="4020" spans="2:2">
      <c r="B4020" s="10" t="s">
        <v>4202</v>
      </c>
    </row>
    <row r="4021" spans="2:2">
      <c r="B4021" s="10" t="s">
        <v>4203</v>
      </c>
    </row>
    <row r="4022" spans="2:2">
      <c r="B4022" s="10" t="s">
        <v>4204</v>
      </c>
    </row>
    <row r="4023" spans="2:2">
      <c r="B4023" s="10" t="s">
        <v>4205</v>
      </c>
    </row>
    <row r="4024" spans="2:2">
      <c r="B4024" s="10" t="s">
        <v>4206</v>
      </c>
    </row>
    <row r="4025" spans="2:2">
      <c r="B4025" s="10" t="s">
        <v>4207</v>
      </c>
    </row>
    <row r="4026" spans="2:2">
      <c r="B4026" s="10" t="s">
        <v>4208</v>
      </c>
    </row>
    <row r="4027" spans="2:2">
      <c r="B4027" s="10" t="s">
        <v>4209</v>
      </c>
    </row>
    <row r="4028" spans="2:2">
      <c r="B4028" s="10" t="s">
        <v>4210</v>
      </c>
    </row>
    <row r="4029" spans="2:2">
      <c r="B4029" s="10" t="s">
        <v>4211</v>
      </c>
    </row>
    <row r="4030" spans="2:2">
      <c r="B4030" s="10" t="s">
        <v>4212</v>
      </c>
    </row>
    <row r="4031" spans="2:2">
      <c r="B4031" s="10" t="s">
        <v>4213</v>
      </c>
    </row>
    <row r="4032" spans="2:2">
      <c r="B4032" s="10" t="s">
        <v>4214</v>
      </c>
    </row>
    <row r="4033" spans="2:2">
      <c r="B4033" s="10" t="s">
        <v>4215</v>
      </c>
    </row>
    <row r="4034" spans="2:2">
      <c r="B4034" s="10" t="s">
        <v>4216</v>
      </c>
    </row>
    <row r="4035" spans="2:2">
      <c r="B4035" s="10" t="s">
        <v>4217</v>
      </c>
    </row>
    <row r="4036" spans="2:2">
      <c r="B4036" s="10" t="s">
        <v>4218</v>
      </c>
    </row>
    <row r="4037" spans="2:2">
      <c r="B4037" s="10" t="s">
        <v>4219</v>
      </c>
    </row>
    <row r="4038" spans="2:2">
      <c r="B4038" s="10" t="s">
        <v>4220</v>
      </c>
    </row>
    <row r="4039" spans="2:2">
      <c r="B4039" s="10" t="s">
        <v>4221</v>
      </c>
    </row>
    <row r="4040" spans="2:2">
      <c r="B4040" s="10" t="s">
        <v>4222</v>
      </c>
    </row>
    <row r="4041" spans="2:2">
      <c r="B4041" s="10" t="s">
        <v>4223</v>
      </c>
    </row>
    <row r="4042" spans="2:2">
      <c r="B4042" s="10" t="s">
        <v>4224</v>
      </c>
    </row>
    <row r="4043" spans="2:2">
      <c r="B4043" s="10" t="s">
        <v>4225</v>
      </c>
    </row>
    <row r="4044" spans="2:2">
      <c r="B4044" s="10" t="s">
        <v>4226</v>
      </c>
    </row>
    <row r="4045" spans="2:2">
      <c r="B4045" s="10" t="s">
        <v>4227</v>
      </c>
    </row>
    <row r="4046" spans="2:2">
      <c r="B4046" s="10" t="s">
        <v>4228</v>
      </c>
    </row>
    <row r="4047" spans="2:2">
      <c r="B4047" s="10" t="s">
        <v>4229</v>
      </c>
    </row>
    <row r="4048" spans="2:2">
      <c r="B4048" s="10" t="s">
        <v>4230</v>
      </c>
    </row>
    <row r="4049" spans="2:2">
      <c r="B4049" s="10" t="s">
        <v>4231</v>
      </c>
    </row>
    <row r="4050" spans="2:2">
      <c r="B4050" s="10" t="s">
        <v>4232</v>
      </c>
    </row>
    <row r="4051" spans="2:2">
      <c r="B4051" s="10" t="s">
        <v>4233</v>
      </c>
    </row>
    <row r="4052" spans="2:2">
      <c r="B4052" s="10" t="s">
        <v>4234</v>
      </c>
    </row>
    <row r="4053" spans="2:2">
      <c r="B4053" s="10" t="s">
        <v>4235</v>
      </c>
    </row>
    <row r="4054" spans="2:2">
      <c r="B4054" s="10" t="s">
        <v>4236</v>
      </c>
    </row>
    <row r="4055" spans="2:2">
      <c r="B4055" s="10" t="s">
        <v>4237</v>
      </c>
    </row>
    <row r="4056" spans="2:2">
      <c r="B4056" s="10" t="s">
        <v>4238</v>
      </c>
    </row>
    <row r="4057" spans="2:2">
      <c r="B4057" s="10" t="s">
        <v>4239</v>
      </c>
    </row>
    <row r="4058" spans="2:2">
      <c r="B4058" s="10" t="s">
        <v>4240</v>
      </c>
    </row>
    <row r="4059" spans="2:2">
      <c r="B4059" s="10" t="s">
        <v>4241</v>
      </c>
    </row>
    <row r="4060" spans="2:2">
      <c r="B4060" s="10" t="s">
        <v>4242</v>
      </c>
    </row>
    <row r="4061" spans="2:2">
      <c r="B4061" s="10" t="s">
        <v>4243</v>
      </c>
    </row>
    <row r="4062" spans="2:2">
      <c r="B4062" s="10" t="s">
        <v>4244</v>
      </c>
    </row>
    <row r="4063" spans="2:2">
      <c r="B4063" s="10" t="s">
        <v>4245</v>
      </c>
    </row>
    <row r="4064" spans="2:2">
      <c r="B4064" s="10" t="s">
        <v>4246</v>
      </c>
    </row>
    <row r="4065" spans="2:2">
      <c r="B4065" s="10" t="s">
        <v>4247</v>
      </c>
    </row>
    <row r="4066" spans="2:2">
      <c r="B4066" s="10" t="s">
        <v>4248</v>
      </c>
    </row>
    <row r="4067" spans="2:2">
      <c r="B4067" s="10" t="s">
        <v>4249</v>
      </c>
    </row>
    <row r="4068" spans="2:2">
      <c r="B4068" s="10" t="s">
        <v>4250</v>
      </c>
    </row>
    <row r="4069" spans="2:2">
      <c r="B4069" s="10" t="s">
        <v>4251</v>
      </c>
    </row>
    <row r="4070" spans="2:2">
      <c r="B4070" s="10" t="s">
        <v>4252</v>
      </c>
    </row>
    <row r="4071" spans="2:2">
      <c r="B4071" s="10" t="s">
        <v>4253</v>
      </c>
    </row>
    <row r="4072" spans="2:2">
      <c r="B4072" s="10" t="s">
        <v>4254</v>
      </c>
    </row>
    <row r="4073" spans="2:2">
      <c r="B4073" s="10" t="s">
        <v>4255</v>
      </c>
    </row>
    <row r="4074" spans="2:2">
      <c r="B4074" s="10" t="s">
        <v>4256</v>
      </c>
    </row>
    <row r="4075" spans="2:2">
      <c r="B4075" s="10" t="s">
        <v>4257</v>
      </c>
    </row>
    <row r="4076" spans="2:2">
      <c r="B4076" s="10" t="s">
        <v>4258</v>
      </c>
    </row>
    <row r="4077" spans="2:2">
      <c r="B4077" s="10" t="s">
        <v>4259</v>
      </c>
    </row>
    <row r="4078" spans="2:2">
      <c r="B4078" s="10" t="s">
        <v>4260</v>
      </c>
    </row>
    <row r="4079" spans="2:2">
      <c r="B4079" s="10" t="s">
        <v>4261</v>
      </c>
    </row>
    <row r="4080" spans="2:2">
      <c r="B4080" s="10" t="s">
        <v>4262</v>
      </c>
    </row>
    <row r="4081" spans="2:2">
      <c r="B4081" s="10" t="s">
        <v>4263</v>
      </c>
    </row>
    <row r="4082" spans="2:2">
      <c r="B4082" s="10" t="s">
        <v>4264</v>
      </c>
    </row>
    <row r="4083" spans="2:2">
      <c r="B4083" s="10" t="s">
        <v>4265</v>
      </c>
    </row>
    <row r="4084" spans="2:2">
      <c r="B4084" s="10" t="s">
        <v>4266</v>
      </c>
    </row>
    <row r="4085" spans="2:2">
      <c r="B4085" s="10" t="s">
        <v>4267</v>
      </c>
    </row>
    <row r="4086" spans="2:2">
      <c r="B4086" s="10" t="s">
        <v>4268</v>
      </c>
    </row>
    <row r="4087" spans="2:2">
      <c r="B4087" s="10" t="s">
        <v>4269</v>
      </c>
    </row>
    <row r="4088" spans="2:2">
      <c r="B4088" s="10" t="s">
        <v>4270</v>
      </c>
    </row>
    <row r="4089" spans="2:2">
      <c r="B4089" s="10" t="s">
        <v>4271</v>
      </c>
    </row>
    <row r="4090" spans="2:2">
      <c r="B4090" s="10" t="s">
        <v>4272</v>
      </c>
    </row>
    <row r="4091" spans="2:2">
      <c r="B4091" s="10" t="s">
        <v>4273</v>
      </c>
    </row>
    <row r="4092" spans="2:2">
      <c r="B4092" s="10" t="s">
        <v>4274</v>
      </c>
    </row>
    <row r="4093" spans="2:2">
      <c r="B4093" s="10" t="s">
        <v>4275</v>
      </c>
    </row>
    <row r="4094" spans="2:2">
      <c r="B4094" s="10" t="s">
        <v>4276</v>
      </c>
    </row>
    <row r="4095" spans="2:2">
      <c r="B4095" s="10" t="s">
        <v>4277</v>
      </c>
    </row>
    <row r="4096" spans="2:2">
      <c r="B4096" s="10" t="s">
        <v>4278</v>
      </c>
    </row>
    <row r="4097" spans="2:2">
      <c r="B4097" s="10" t="s">
        <v>4279</v>
      </c>
    </row>
    <row r="4098" spans="2:2">
      <c r="B4098" s="10" t="s">
        <v>4280</v>
      </c>
    </row>
    <row r="4099" spans="2:2">
      <c r="B4099" s="10" t="s">
        <v>4281</v>
      </c>
    </row>
    <row r="4100" spans="2:2">
      <c r="B4100" s="10" t="s">
        <v>4282</v>
      </c>
    </row>
    <row r="4101" spans="2:2">
      <c r="B4101" s="10" t="s">
        <v>4283</v>
      </c>
    </row>
    <row r="4102" spans="2:2">
      <c r="B4102" s="10" t="s">
        <v>4284</v>
      </c>
    </row>
    <row r="4103" spans="2:2">
      <c r="B4103" s="10" t="s">
        <v>4285</v>
      </c>
    </row>
    <row r="4104" spans="2:2">
      <c r="B4104" s="10" t="s">
        <v>4286</v>
      </c>
    </row>
    <row r="4105" spans="2:2">
      <c r="B4105" s="10" t="s">
        <v>4287</v>
      </c>
    </row>
    <row r="4106" spans="2:2">
      <c r="B4106" s="10" t="s">
        <v>4288</v>
      </c>
    </row>
    <row r="4107" spans="2:2">
      <c r="B4107" s="10" t="s">
        <v>4289</v>
      </c>
    </row>
    <row r="4108" spans="2:2">
      <c r="B4108" s="10" t="s">
        <v>4290</v>
      </c>
    </row>
    <row r="4109" spans="2:2">
      <c r="B4109" s="10" t="s">
        <v>4291</v>
      </c>
    </row>
    <row r="4110" spans="2:2">
      <c r="B4110" s="10" t="s">
        <v>4292</v>
      </c>
    </row>
    <row r="4111" spans="2:2">
      <c r="B4111" s="10" t="s">
        <v>4293</v>
      </c>
    </row>
    <row r="4112" spans="2:2">
      <c r="B4112" s="10" t="s">
        <v>4294</v>
      </c>
    </row>
    <row r="4113" spans="2:2">
      <c r="B4113" s="10" t="s">
        <v>4295</v>
      </c>
    </row>
    <row r="4114" spans="2:2">
      <c r="B4114" s="10" t="s">
        <v>4296</v>
      </c>
    </row>
    <row r="4115" spans="2:2">
      <c r="B4115" s="10" t="s">
        <v>4297</v>
      </c>
    </row>
    <row r="4116" spans="2:2">
      <c r="B4116" s="10" t="s">
        <v>4298</v>
      </c>
    </row>
    <row r="4117" spans="2:2">
      <c r="B4117" s="10" t="s">
        <v>4299</v>
      </c>
    </row>
    <row r="4118" spans="2:2">
      <c r="B4118" s="10" t="s">
        <v>4300</v>
      </c>
    </row>
    <row r="4119" spans="2:2">
      <c r="B4119" s="10" t="s">
        <v>4301</v>
      </c>
    </row>
    <row r="4120" spans="2:2">
      <c r="B4120" s="10" t="s">
        <v>4302</v>
      </c>
    </row>
    <row r="4121" spans="2:2">
      <c r="B4121" s="10" t="s">
        <v>4303</v>
      </c>
    </row>
    <row r="4122" spans="2:2">
      <c r="B4122" s="10" t="s">
        <v>4304</v>
      </c>
    </row>
    <row r="4123" spans="2:2">
      <c r="B4123" s="10" t="s">
        <v>4305</v>
      </c>
    </row>
    <row r="4124" spans="2:2">
      <c r="B4124" s="10" t="s">
        <v>4306</v>
      </c>
    </row>
    <row r="4125" spans="2:2">
      <c r="B4125" s="10" t="s">
        <v>4307</v>
      </c>
    </row>
    <row r="4126" spans="2:2">
      <c r="B4126" s="10" t="s">
        <v>4308</v>
      </c>
    </row>
    <row r="4127" spans="2:2">
      <c r="B4127" s="10" t="s">
        <v>4309</v>
      </c>
    </row>
    <row r="4128" spans="2:2">
      <c r="B4128" s="10" t="s">
        <v>4310</v>
      </c>
    </row>
    <row r="4129" spans="2:2">
      <c r="B4129" s="10" t="s">
        <v>4311</v>
      </c>
    </row>
    <row r="4130" spans="2:2">
      <c r="B4130" s="10" t="s">
        <v>4312</v>
      </c>
    </row>
    <row r="4131" spans="2:2">
      <c r="B4131" s="10" t="s">
        <v>4313</v>
      </c>
    </row>
    <row r="4132" spans="2:2">
      <c r="B4132" s="10" t="s">
        <v>4314</v>
      </c>
    </row>
    <row r="4133" spans="2:2">
      <c r="B4133" s="10" t="s">
        <v>4315</v>
      </c>
    </row>
    <row r="4134" spans="2:2">
      <c r="B4134" s="10" t="s">
        <v>4316</v>
      </c>
    </row>
    <row r="4135" spans="2:2">
      <c r="B4135" s="10" t="s">
        <v>4317</v>
      </c>
    </row>
    <row r="4136" spans="2:2">
      <c r="B4136" s="10" t="s">
        <v>4318</v>
      </c>
    </row>
    <row r="4137" spans="2:2">
      <c r="B4137" s="10" t="s">
        <v>4319</v>
      </c>
    </row>
    <row r="4138" spans="2:2">
      <c r="B4138" s="10" t="s">
        <v>4320</v>
      </c>
    </row>
    <row r="4139" spans="2:2">
      <c r="B4139" s="10" t="s">
        <v>4321</v>
      </c>
    </row>
    <row r="4140" spans="2:2">
      <c r="B4140" s="10" t="s">
        <v>4322</v>
      </c>
    </row>
    <row r="4141" spans="2:2">
      <c r="B4141" s="10" t="s">
        <v>4323</v>
      </c>
    </row>
    <row r="4142" spans="2:2">
      <c r="B4142" s="10" t="s">
        <v>4324</v>
      </c>
    </row>
    <row r="4143" spans="2:2">
      <c r="B4143" s="10" t="s">
        <v>4325</v>
      </c>
    </row>
    <row r="4144" spans="2:2">
      <c r="B4144" s="10" t="s">
        <v>4326</v>
      </c>
    </row>
    <row r="4145" spans="2:2">
      <c r="B4145" s="10" t="s">
        <v>4327</v>
      </c>
    </row>
    <row r="4146" spans="2:2">
      <c r="B4146" s="10" t="s">
        <v>4328</v>
      </c>
    </row>
    <row r="4147" spans="2:2">
      <c r="B4147" s="10" t="s">
        <v>4329</v>
      </c>
    </row>
    <row r="4148" spans="2:2">
      <c r="B4148" s="10" t="s">
        <v>4330</v>
      </c>
    </row>
    <row r="4149" spans="2:2">
      <c r="B4149" s="10" t="s">
        <v>4331</v>
      </c>
    </row>
    <row r="4150" spans="2:2">
      <c r="B4150" s="10" t="s">
        <v>4332</v>
      </c>
    </row>
    <row r="4151" spans="2:2">
      <c r="B4151" s="10" t="s">
        <v>4333</v>
      </c>
    </row>
    <row r="4152" spans="2:2">
      <c r="B4152" s="10" t="s">
        <v>4334</v>
      </c>
    </row>
    <row r="4153" spans="2:2">
      <c r="B4153" s="10" t="s">
        <v>4335</v>
      </c>
    </row>
    <row r="4154" spans="2:2">
      <c r="B4154" s="10" t="s">
        <v>4336</v>
      </c>
    </row>
    <row r="4155" spans="2:2">
      <c r="B4155" s="10" t="s">
        <v>4337</v>
      </c>
    </row>
    <row r="4156" spans="2:2">
      <c r="B4156" s="10" t="s">
        <v>4338</v>
      </c>
    </row>
    <row r="4157" spans="2:2">
      <c r="B4157" s="10" t="s">
        <v>4339</v>
      </c>
    </row>
    <row r="4158" spans="2:2">
      <c r="B4158" s="10" t="s">
        <v>4340</v>
      </c>
    </row>
    <row r="4159" spans="2:2">
      <c r="B4159" s="10" t="s">
        <v>4341</v>
      </c>
    </row>
    <row r="4160" spans="2:2">
      <c r="B4160" s="10" t="s">
        <v>4342</v>
      </c>
    </row>
    <row r="4161" spans="2:2">
      <c r="B4161" s="10" t="s">
        <v>4343</v>
      </c>
    </row>
    <row r="4162" spans="2:2">
      <c r="B4162" s="10" t="s">
        <v>4344</v>
      </c>
    </row>
    <row r="4163" spans="2:2">
      <c r="B4163" s="10" t="s">
        <v>4345</v>
      </c>
    </row>
    <row r="4164" spans="2:2">
      <c r="B4164" s="10" t="s">
        <v>4346</v>
      </c>
    </row>
    <row r="4165" spans="2:2">
      <c r="B4165" s="10" t="s">
        <v>4347</v>
      </c>
    </row>
    <row r="4166" spans="2:2">
      <c r="B4166" s="10" t="s">
        <v>4348</v>
      </c>
    </row>
    <row r="4167" spans="2:2">
      <c r="B4167" s="10" t="s">
        <v>4349</v>
      </c>
    </row>
    <row r="4168" spans="2:2">
      <c r="B4168" s="10" t="s">
        <v>4350</v>
      </c>
    </row>
    <row r="4169" spans="2:2">
      <c r="B4169" s="10" t="s">
        <v>4351</v>
      </c>
    </row>
    <row r="4170" spans="2:2">
      <c r="B4170" s="10" t="s">
        <v>4352</v>
      </c>
    </row>
    <row r="4171" spans="2:2">
      <c r="B4171" s="10" t="s">
        <v>4353</v>
      </c>
    </row>
    <row r="4172" spans="2:2">
      <c r="B4172" s="10" t="s">
        <v>4354</v>
      </c>
    </row>
    <row r="4173" spans="2:2">
      <c r="B4173" s="10" t="s">
        <v>4355</v>
      </c>
    </row>
    <row r="4174" spans="2:2">
      <c r="B4174" s="10" t="s">
        <v>4356</v>
      </c>
    </row>
    <row r="4175" spans="2:2">
      <c r="B4175" s="10" t="s">
        <v>4357</v>
      </c>
    </row>
    <row r="4176" spans="2:2">
      <c r="B4176" s="10" t="s">
        <v>4358</v>
      </c>
    </row>
    <row r="4177" spans="2:2">
      <c r="B4177" s="10" t="s">
        <v>4359</v>
      </c>
    </row>
    <row r="4178" spans="2:2">
      <c r="B4178" s="10" t="s">
        <v>4360</v>
      </c>
    </row>
    <row r="4179" spans="2:2">
      <c r="B4179" s="10" t="s">
        <v>4361</v>
      </c>
    </row>
    <row r="4180" spans="2:2">
      <c r="B4180" s="10" t="s">
        <v>4362</v>
      </c>
    </row>
    <row r="4181" spans="2:2">
      <c r="B4181" s="10" t="s">
        <v>4363</v>
      </c>
    </row>
    <row r="4182" spans="2:2">
      <c r="B4182" s="10" t="s">
        <v>4364</v>
      </c>
    </row>
    <row r="4183" spans="2:2">
      <c r="B4183" s="10" t="s">
        <v>4365</v>
      </c>
    </row>
    <row r="4184" spans="2:2">
      <c r="B4184" s="10" t="s">
        <v>4366</v>
      </c>
    </row>
    <row r="4185" spans="2:2">
      <c r="B4185" s="10" t="s">
        <v>4367</v>
      </c>
    </row>
    <row r="4186" spans="2:2">
      <c r="B4186" s="10" t="s">
        <v>4368</v>
      </c>
    </row>
    <row r="4187" spans="2:2">
      <c r="B4187" s="10" t="s">
        <v>4369</v>
      </c>
    </row>
    <row r="4188" spans="2:2">
      <c r="B4188" s="10" t="s">
        <v>4370</v>
      </c>
    </row>
    <row r="4189" spans="2:2">
      <c r="B4189" s="10" t="s">
        <v>4371</v>
      </c>
    </row>
    <row r="4190" spans="2:2">
      <c r="B4190" s="10" t="s">
        <v>4372</v>
      </c>
    </row>
    <row r="4191" spans="2:2">
      <c r="B4191" s="10" t="s">
        <v>4373</v>
      </c>
    </row>
    <row r="4192" spans="2:2">
      <c r="B4192" s="10" t="s">
        <v>4374</v>
      </c>
    </row>
    <row r="4193" spans="2:2">
      <c r="B4193" s="10" t="s">
        <v>4375</v>
      </c>
    </row>
    <row r="4194" spans="2:2">
      <c r="B4194" s="10" t="s">
        <v>4376</v>
      </c>
    </row>
    <row r="4195" spans="2:2">
      <c r="B4195" s="10" t="s">
        <v>4377</v>
      </c>
    </row>
    <row r="4196" spans="2:2">
      <c r="B4196" s="10" t="s">
        <v>4378</v>
      </c>
    </row>
    <row r="4197" spans="2:2">
      <c r="B4197" s="10" t="s">
        <v>4379</v>
      </c>
    </row>
    <row r="4198" spans="2:2">
      <c r="B4198" s="10" t="s">
        <v>4380</v>
      </c>
    </row>
    <row r="4199" spans="2:2">
      <c r="B4199" s="10" t="s">
        <v>4381</v>
      </c>
    </row>
    <row r="4200" spans="2:2">
      <c r="B4200" s="10" t="s">
        <v>4382</v>
      </c>
    </row>
    <row r="4201" spans="2:2">
      <c r="B4201" s="10" t="s">
        <v>4383</v>
      </c>
    </row>
    <row r="4202" spans="2:2">
      <c r="B4202" s="10" t="s">
        <v>4384</v>
      </c>
    </row>
    <row r="4203" spans="2:2">
      <c r="B4203" s="10" t="s">
        <v>4385</v>
      </c>
    </row>
    <row r="4204" spans="2:2">
      <c r="B4204" s="10" t="s">
        <v>4386</v>
      </c>
    </row>
    <row r="4205" spans="2:2">
      <c r="B4205" s="10" t="s">
        <v>4387</v>
      </c>
    </row>
    <row r="4206" spans="2:2">
      <c r="B4206" s="10" t="s">
        <v>4388</v>
      </c>
    </row>
    <row r="4207" spans="2:2">
      <c r="B4207" s="10" t="s">
        <v>4389</v>
      </c>
    </row>
    <row r="4208" spans="2:2">
      <c r="B4208" s="10" t="s">
        <v>4390</v>
      </c>
    </row>
    <row r="4209" spans="2:2">
      <c r="B4209" s="10" t="s">
        <v>4391</v>
      </c>
    </row>
    <row r="4210" spans="2:2">
      <c r="B4210" s="10" t="s">
        <v>4392</v>
      </c>
    </row>
    <row r="4211" spans="2:2">
      <c r="B4211" s="10" t="s">
        <v>4393</v>
      </c>
    </row>
    <row r="4212" spans="2:2">
      <c r="B4212" s="10" t="s">
        <v>4394</v>
      </c>
    </row>
    <row r="4213" spans="2:2">
      <c r="B4213" s="10" t="s">
        <v>4395</v>
      </c>
    </row>
    <row r="4214" spans="2:2">
      <c r="B4214" s="10" t="s">
        <v>4396</v>
      </c>
    </row>
    <row r="4215" spans="2:2">
      <c r="B4215" s="10" t="s">
        <v>4397</v>
      </c>
    </row>
    <row r="4216" spans="2:2">
      <c r="B4216" s="10" t="s">
        <v>4398</v>
      </c>
    </row>
    <row r="4217" spans="2:2">
      <c r="B4217" s="10" t="s">
        <v>4399</v>
      </c>
    </row>
    <row r="4218" spans="2:2">
      <c r="B4218" s="10" t="s">
        <v>4400</v>
      </c>
    </row>
    <row r="4219" spans="2:2">
      <c r="B4219" s="10" t="s">
        <v>4401</v>
      </c>
    </row>
    <row r="4220" spans="2:2">
      <c r="B4220" s="10" t="s">
        <v>4402</v>
      </c>
    </row>
    <row r="4221" spans="2:2">
      <c r="B4221" s="10" t="s">
        <v>4403</v>
      </c>
    </row>
    <row r="4222" spans="2:2">
      <c r="B4222" s="10" t="s">
        <v>4404</v>
      </c>
    </row>
    <row r="4223" spans="2:2">
      <c r="B4223" s="10" t="s">
        <v>4405</v>
      </c>
    </row>
    <row r="4224" spans="2:2">
      <c r="B4224" s="10" t="s">
        <v>4406</v>
      </c>
    </row>
    <row r="4225" spans="2:2">
      <c r="B4225" s="10" t="s">
        <v>4407</v>
      </c>
    </row>
    <row r="4226" spans="2:2">
      <c r="B4226" s="10" t="s">
        <v>4408</v>
      </c>
    </row>
    <row r="4227" spans="2:2">
      <c r="B4227" s="10" t="s">
        <v>4409</v>
      </c>
    </row>
    <row r="4228" spans="2:2">
      <c r="B4228" s="10" t="s">
        <v>4410</v>
      </c>
    </row>
    <row r="4229" spans="2:2">
      <c r="B4229" s="10" t="s">
        <v>4411</v>
      </c>
    </row>
    <row r="4230" spans="2:2">
      <c r="B4230" s="10" t="s">
        <v>4412</v>
      </c>
    </row>
    <row r="4231" spans="2:2">
      <c r="B4231" s="10" t="s">
        <v>4413</v>
      </c>
    </row>
    <row r="4232" spans="2:2">
      <c r="B4232" s="10" t="s">
        <v>4414</v>
      </c>
    </row>
    <row r="4233" spans="2:2">
      <c r="B4233" s="10" t="s">
        <v>4415</v>
      </c>
    </row>
    <row r="4234" spans="2:2">
      <c r="B4234" s="10" t="s">
        <v>4416</v>
      </c>
    </row>
    <row r="4235" spans="2:2">
      <c r="B4235" s="10" t="s">
        <v>4417</v>
      </c>
    </row>
    <row r="4236" spans="2:2">
      <c r="B4236" s="10" t="s">
        <v>4418</v>
      </c>
    </row>
    <row r="4237" spans="2:2">
      <c r="B4237" s="10" t="s">
        <v>4419</v>
      </c>
    </row>
    <row r="4238" spans="2:2">
      <c r="B4238" s="10" t="s">
        <v>4420</v>
      </c>
    </row>
    <row r="4239" spans="2:2">
      <c r="B4239" s="10" t="s">
        <v>4421</v>
      </c>
    </row>
    <row r="4240" spans="2:2">
      <c r="B4240" s="10" t="s">
        <v>4422</v>
      </c>
    </row>
    <row r="4241" spans="2:2">
      <c r="B4241" s="10" t="s">
        <v>4423</v>
      </c>
    </row>
    <row r="4242" spans="2:2">
      <c r="B4242" s="10" t="s">
        <v>4424</v>
      </c>
    </row>
    <row r="4243" spans="2:2">
      <c r="B4243" s="10" t="s">
        <v>4425</v>
      </c>
    </row>
    <row r="4244" spans="2:2">
      <c r="B4244" s="10" t="s">
        <v>4426</v>
      </c>
    </row>
    <row r="4245" spans="2:2">
      <c r="B4245" s="10" t="s">
        <v>4427</v>
      </c>
    </row>
    <row r="4246" spans="2:2">
      <c r="B4246" s="10" t="s">
        <v>4428</v>
      </c>
    </row>
    <row r="4247" spans="2:2">
      <c r="B4247" s="10" t="s">
        <v>4429</v>
      </c>
    </row>
    <row r="4248" spans="2:2">
      <c r="B4248" s="10" t="s">
        <v>4430</v>
      </c>
    </row>
    <row r="4249" spans="2:2">
      <c r="B4249" s="10" t="s">
        <v>4431</v>
      </c>
    </row>
    <row r="4250" spans="2:2">
      <c r="B4250" s="10" t="s">
        <v>4432</v>
      </c>
    </row>
    <row r="4251" spans="2:2">
      <c r="B4251" s="10" t="s">
        <v>4433</v>
      </c>
    </row>
    <row r="4252" spans="2:2">
      <c r="B4252" s="10" t="s">
        <v>4434</v>
      </c>
    </row>
    <row r="4253" spans="2:2">
      <c r="B4253" s="10" t="s">
        <v>4435</v>
      </c>
    </row>
    <row r="4254" spans="2:2">
      <c r="B4254" s="10" t="s">
        <v>4436</v>
      </c>
    </row>
    <row r="4255" spans="2:2">
      <c r="B4255" s="10" t="s">
        <v>4437</v>
      </c>
    </row>
    <row r="4256" spans="2:2">
      <c r="B4256" s="10" t="s">
        <v>4438</v>
      </c>
    </row>
    <row r="4257" spans="2:2">
      <c r="B4257" s="10" t="s">
        <v>4439</v>
      </c>
    </row>
    <row r="4258" spans="2:2">
      <c r="B4258" s="10" t="s">
        <v>4440</v>
      </c>
    </row>
    <row r="4259" spans="2:2">
      <c r="B4259" s="10" t="s">
        <v>4441</v>
      </c>
    </row>
    <row r="4260" spans="2:2">
      <c r="B4260" s="10" t="s">
        <v>4442</v>
      </c>
    </row>
    <row r="4261" spans="2:2">
      <c r="B4261" s="10" t="s">
        <v>4443</v>
      </c>
    </row>
    <row r="4262" spans="2:2">
      <c r="B4262" s="10" t="s">
        <v>4444</v>
      </c>
    </row>
    <row r="4263" spans="2:2">
      <c r="B4263" s="10" t="s">
        <v>4445</v>
      </c>
    </row>
    <row r="4264" spans="2:2">
      <c r="B4264" s="10" t="s">
        <v>4446</v>
      </c>
    </row>
    <row r="4265" spans="2:2">
      <c r="B4265" s="10" t="s">
        <v>4447</v>
      </c>
    </row>
    <row r="4266" spans="2:2">
      <c r="B4266" s="10" t="s">
        <v>4448</v>
      </c>
    </row>
    <row r="4267" spans="2:2">
      <c r="B4267" s="10" t="s">
        <v>4449</v>
      </c>
    </row>
    <row r="4268" spans="2:2">
      <c r="B4268" s="10" t="s">
        <v>4450</v>
      </c>
    </row>
    <row r="4269" spans="2:2">
      <c r="B4269" s="10" t="s">
        <v>4451</v>
      </c>
    </row>
    <row r="4270" spans="2:2">
      <c r="B4270" s="10" t="s">
        <v>4452</v>
      </c>
    </row>
    <row r="4271" spans="2:2">
      <c r="B4271" s="10" t="s">
        <v>4453</v>
      </c>
    </row>
    <row r="4272" spans="2:2">
      <c r="B4272" s="10" t="s">
        <v>4454</v>
      </c>
    </row>
    <row r="4273" spans="2:2">
      <c r="B4273" s="10" t="s">
        <v>4455</v>
      </c>
    </row>
    <row r="4274" spans="2:2">
      <c r="B4274" s="10" t="s">
        <v>4456</v>
      </c>
    </row>
    <row r="4275" spans="2:2">
      <c r="B4275" s="10" t="s">
        <v>4457</v>
      </c>
    </row>
    <row r="4276" spans="2:2">
      <c r="B4276" s="10" t="s">
        <v>4458</v>
      </c>
    </row>
    <row r="4277" spans="2:2">
      <c r="B4277" s="10" t="s">
        <v>4459</v>
      </c>
    </row>
    <row r="4278" spans="2:2">
      <c r="B4278" s="10" t="s">
        <v>4460</v>
      </c>
    </row>
    <row r="4279" spans="2:2">
      <c r="B4279" s="10" t="s">
        <v>4461</v>
      </c>
    </row>
    <row r="4280" spans="2:2">
      <c r="B4280" s="10" t="s">
        <v>4462</v>
      </c>
    </row>
    <row r="4281" spans="2:2">
      <c r="B4281" s="10" t="s">
        <v>4463</v>
      </c>
    </row>
    <row r="4282" spans="2:2">
      <c r="B4282" s="10" t="s">
        <v>4464</v>
      </c>
    </row>
    <row r="4283" spans="2:2">
      <c r="B4283" s="10" t="s">
        <v>4465</v>
      </c>
    </row>
    <row r="4284" spans="2:2">
      <c r="B4284" s="10" t="s">
        <v>4466</v>
      </c>
    </row>
    <row r="4285" spans="2:2">
      <c r="B4285" s="10" t="s">
        <v>4467</v>
      </c>
    </row>
    <row r="4286" spans="2:2">
      <c r="B4286" s="10" t="s">
        <v>4468</v>
      </c>
    </row>
    <row r="4287" spans="2:2">
      <c r="B4287" s="10" t="s">
        <v>4469</v>
      </c>
    </row>
    <row r="4288" spans="2:2">
      <c r="B4288" s="10" t="s">
        <v>4470</v>
      </c>
    </row>
    <row r="4289" spans="2:2">
      <c r="B4289" s="10" t="s">
        <v>4471</v>
      </c>
    </row>
    <row r="4290" spans="2:2">
      <c r="B4290" s="10" t="s">
        <v>4472</v>
      </c>
    </row>
    <row r="4291" spans="2:2">
      <c r="B4291" s="10" t="s">
        <v>4473</v>
      </c>
    </row>
    <row r="4292" spans="2:2">
      <c r="B4292" s="10" t="s">
        <v>4474</v>
      </c>
    </row>
    <row r="4293" spans="2:2">
      <c r="B4293" s="10" t="s">
        <v>4475</v>
      </c>
    </row>
    <row r="4294" spans="2:2">
      <c r="B4294" s="10" t="s">
        <v>4476</v>
      </c>
    </row>
    <row r="4295" spans="2:2">
      <c r="B4295" s="10" t="s">
        <v>4477</v>
      </c>
    </row>
    <row r="4296" spans="2:2">
      <c r="B4296" s="10" t="s">
        <v>4478</v>
      </c>
    </row>
    <row r="4297" spans="2:2">
      <c r="B4297" s="10" t="s">
        <v>4479</v>
      </c>
    </row>
    <row r="4298" spans="2:2">
      <c r="B4298" s="10" t="s">
        <v>4480</v>
      </c>
    </row>
    <row r="4299" spans="2:2">
      <c r="B4299" s="10" t="s">
        <v>4481</v>
      </c>
    </row>
    <row r="4300" spans="2:2">
      <c r="B4300" s="10" t="s">
        <v>4482</v>
      </c>
    </row>
    <row r="4301" spans="2:2">
      <c r="B4301" s="10" t="s">
        <v>4483</v>
      </c>
    </row>
    <row r="4302" spans="2:2">
      <c r="B4302" s="10" t="s">
        <v>4484</v>
      </c>
    </row>
    <row r="4303" spans="2:2">
      <c r="B4303" s="10" t="s">
        <v>4485</v>
      </c>
    </row>
    <row r="4304" spans="2:2">
      <c r="B4304" s="10" t="s">
        <v>4486</v>
      </c>
    </row>
    <row r="4305" spans="2:2">
      <c r="B4305" s="10" t="s">
        <v>4487</v>
      </c>
    </row>
    <row r="4306" spans="2:2">
      <c r="B4306" s="10" t="s">
        <v>4488</v>
      </c>
    </row>
    <row r="4307" spans="2:2">
      <c r="B4307" s="10" t="s">
        <v>4489</v>
      </c>
    </row>
    <row r="4308" spans="2:2">
      <c r="B4308" s="10" t="s">
        <v>4490</v>
      </c>
    </row>
    <row r="4309" spans="2:2">
      <c r="B4309" s="10" t="s">
        <v>4491</v>
      </c>
    </row>
    <row r="4310" spans="2:2">
      <c r="B4310" s="10" t="s">
        <v>4492</v>
      </c>
    </row>
    <row r="4311" spans="2:2">
      <c r="B4311" s="10" t="s">
        <v>4493</v>
      </c>
    </row>
    <row r="4312" spans="2:2">
      <c r="B4312" s="10" t="s">
        <v>4494</v>
      </c>
    </row>
    <row r="4313" spans="2:2">
      <c r="B4313" s="10" t="s">
        <v>4495</v>
      </c>
    </row>
    <row r="4314" spans="2:2">
      <c r="B4314" s="10" t="s">
        <v>4496</v>
      </c>
    </row>
    <row r="4315" spans="2:2">
      <c r="B4315" s="10" t="s">
        <v>4497</v>
      </c>
    </row>
    <row r="4316" spans="2:2">
      <c r="B4316" s="10" t="s">
        <v>4498</v>
      </c>
    </row>
    <row r="4317" spans="2:2">
      <c r="B4317" s="10" t="s">
        <v>4499</v>
      </c>
    </row>
    <row r="4318" spans="2:2">
      <c r="B4318" s="10" t="s">
        <v>4500</v>
      </c>
    </row>
    <row r="4319" spans="2:2">
      <c r="B4319" s="10" t="s">
        <v>4501</v>
      </c>
    </row>
    <row r="4320" spans="2:2">
      <c r="B4320" s="10" t="s">
        <v>4502</v>
      </c>
    </row>
    <row r="4321" spans="2:2">
      <c r="B4321" s="10" t="s">
        <v>4503</v>
      </c>
    </row>
    <row r="4322" spans="2:2">
      <c r="B4322" s="10" t="s">
        <v>4504</v>
      </c>
    </row>
    <row r="4323" spans="2:2">
      <c r="B4323" s="10" t="s">
        <v>4505</v>
      </c>
    </row>
    <row r="4324" spans="2:2">
      <c r="B4324" s="10" t="s">
        <v>4506</v>
      </c>
    </row>
    <row r="4325" spans="2:2">
      <c r="B4325" s="10" t="s">
        <v>4507</v>
      </c>
    </row>
    <row r="4326" spans="2:2">
      <c r="B4326" s="10" t="s">
        <v>4508</v>
      </c>
    </row>
    <row r="4327" spans="2:2">
      <c r="B4327" s="10" t="s">
        <v>4509</v>
      </c>
    </row>
    <row r="4328" spans="2:2">
      <c r="B4328" s="10" t="s">
        <v>4510</v>
      </c>
    </row>
    <row r="4329" spans="2:2">
      <c r="B4329" s="10" t="s">
        <v>4511</v>
      </c>
    </row>
    <row r="4330" spans="2:2">
      <c r="B4330" s="10" t="s">
        <v>4512</v>
      </c>
    </row>
    <row r="4331" spans="2:2">
      <c r="B4331" s="10" t="s">
        <v>4513</v>
      </c>
    </row>
    <row r="4332" spans="2:2">
      <c r="B4332" s="10" t="s">
        <v>4514</v>
      </c>
    </row>
    <row r="4333" spans="2:2">
      <c r="B4333" s="10" t="s">
        <v>4515</v>
      </c>
    </row>
    <row r="4334" spans="2:2">
      <c r="B4334" s="10" t="s">
        <v>4516</v>
      </c>
    </row>
    <row r="4335" spans="2:2">
      <c r="B4335" s="10" t="s">
        <v>4517</v>
      </c>
    </row>
    <row r="4336" spans="2:2">
      <c r="B4336" s="10" t="s">
        <v>4518</v>
      </c>
    </row>
    <row r="4337" spans="2:2">
      <c r="B4337" s="10" t="s">
        <v>4519</v>
      </c>
    </row>
    <row r="4338" spans="2:2">
      <c r="B4338" s="10" t="s">
        <v>4520</v>
      </c>
    </row>
    <row r="4339" spans="2:2">
      <c r="B4339" s="10" t="s">
        <v>4521</v>
      </c>
    </row>
    <row r="4340" spans="2:2">
      <c r="B4340" s="10" t="s">
        <v>4522</v>
      </c>
    </row>
    <row r="4341" spans="2:2">
      <c r="B4341" s="10" t="s">
        <v>4523</v>
      </c>
    </row>
    <row r="4342" spans="2:2">
      <c r="B4342" s="10" t="s">
        <v>4524</v>
      </c>
    </row>
    <row r="4343" spans="2:2">
      <c r="B4343" s="10" t="s">
        <v>4525</v>
      </c>
    </row>
    <row r="4344" spans="2:2">
      <c r="B4344" s="10" t="s">
        <v>4526</v>
      </c>
    </row>
    <row r="4345" spans="2:2">
      <c r="B4345" s="10" t="s">
        <v>4527</v>
      </c>
    </row>
    <row r="4346" spans="2:2">
      <c r="B4346" s="10" t="s">
        <v>4528</v>
      </c>
    </row>
    <row r="4347" spans="2:2">
      <c r="B4347" s="10" t="s">
        <v>4529</v>
      </c>
    </row>
    <row r="4348" spans="2:2">
      <c r="B4348" s="10" t="s">
        <v>4530</v>
      </c>
    </row>
    <row r="4349" spans="2:2">
      <c r="B4349" s="10" t="s">
        <v>4531</v>
      </c>
    </row>
    <row r="4350" spans="2:2">
      <c r="B4350" s="10" t="s">
        <v>4532</v>
      </c>
    </row>
    <row r="4351" spans="2:2">
      <c r="B4351" s="10" t="s">
        <v>4533</v>
      </c>
    </row>
    <row r="4352" spans="2:2">
      <c r="B4352" s="10" t="s">
        <v>4534</v>
      </c>
    </row>
    <row r="4353" spans="2:2">
      <c r="B4353" s="10" t="s">
        <v>4535</v>
      </c>
    </row>
    <row r="4354" spans="2:2">
      <c r="B4354" s="10" t="s">
        <v>4536</v>
      </c>
    </row>
    <row r="4355" spans="2:2">
      <c r="B4355" s="10" t="s">
        <v>4537</v>
      </c>
    </row>
    <row r="4356" spans="2:2">
      <c r="B4356" s="10" t="s">
        <v>4538</v>
      </c>
    </row>
    <row r="4357" spans="2:2">
      <c r="B4357" s="10" t="s">
        <v>4539</v>
      </c>
    </row>
    <row r="4358" spans="2:2">
      <c r="B4358" s="10" t="s">
        <v>4540</v>
      </c>
    </row>
    <row r="4359" spans="2:2">
      <c r="B4359" s="10" t="s">
        <v>4541</v>
      </c>
    </row>
    <row r="4360" spans="2:2">
      <c r="B4360" s="10" t="s">
        <v>4542</v>
      </c>
    </row>
    <row r="4361" spans="2:2">
      <c r="B4361" s="10" t="s">
        <v>4543</v>
      </c>
    </row>
    <row r="4362" spans="2:2">
      <c r="B4362" s="10" t="s">
        <v>4544</v>
      </c>
    </row>
    <row r="4363" spans="2:2">
      <c r="B4363" s="10" t="s">
        <v>4545</v>
      </c>
    </row>
    <row r="4364" spans="2:2">
      <c r="B4364" s="10" t="s">
        <v>4546</v>
      </c>
    </row>
    <row r="4365" spans="2:2">
      <c r="B4365" s="10" t="s">
        <v>4547</v>
      </c>
    </row>
    <row r="4366" spans="2:2">
      <c r="B4366" s="10" t="s">
        <v>4548</v>
      </c>
    </row>
    <row r="4367" spans="2:2">
      <c r="B4367" s="10" t="s">
        <v>4549</v>
      </c>
    </row>
    <row r="4368" spans="2:2">
      <c r="B4368" s="10" t="s">
        <v>4550</v>
      </c>
    </row>
    <row r="4369" spans="2:2">
      <c r="B4369" s="10" t="s">
        <v>4551</v>
      </c>
    </row>
    <row r="4370" spans="2:2">
      <c r="B4370" s="10" t="s">
        <v>4552</v>
      </c>
    </row>
    <row r="4371" spans="2:2">
      <c r="B4371" s="10" t="s">
        <v>4553</v>
      </c>
    </row>
    <row r="4372" spans="2:2">
      <c r="B4372" s="10" t="s">
        <v>4554</v>
      </c>
    </row>
    <row r="4373" spans="2:2">
      <c r="B4373" s="10" t="s">
        <v>4555</v>
      </c>
    </row>
    <row r="4374" spans="2:2">
      <c r="B4374" s="10" t="s">
        <v>4556</v>
      </c>
    </row>
    <row r="4375" spans="2:2">
      <c r="B4375" s="10" t="s">
        <v>4557</v>
      </c>
    </row>
    <row r="4376" spans="2:2">
      <c r="B4376" s="10" t="s">
        <v>4558</v>
      </c>
    </row>
    <row r="4377" spans="2:2">
      <c r="B4377" s="10" t="s">
        <v>4559</v>
      </c>
    </row>
    <row r="4378" spans="2:2">
      <c r="B4378" s="10" t="s">
        <v>4560</v>
      </c>
    </row>
    <row r="4379" spans="2:2">
      <c r="B4379" s="10" t="s">
        <v>4561</v>
      </c>
    </row>
    <row r="4380" spans="2:2">
      <c r="B4380" s="10" t="s">
        <v>4562</v>
      </c>
    </row>
    <row r="4381" spans="2:2">
      <c r="B4381" s="10" t="s">
        <v>4563</v>
      </c>
    </row>
    <row r="4382" spans="2:2">
      <c r="B4382" s="10" t="s">
        <v>4564</v>
      </c>
    </row>
    <row r="4383" spans="2:2">
      <c r="B4383" s="10" t="s">
        <v>4565</v>
      </c>
    </row>
    <row r="4384" spans="2:2">
      <c r="B4384" s="10" t="s">
        <v>4566</v>
      </c>
    </row>
    <row r="4385" spans="2:2">
      <c r="B4385" s="10" t="s">
        <v>4567</v>
      </c>
    </row>
    <row r="4386" spans="2:2">
      <c r="B4386" s="10" t="s">
        <v>4568</v>
      </c>
    </row>
    <row r="4387" spans="2:2">
      <c r="B4387" s="10" t="s">
        <v>4569</v>
      </c>
    </row>
    <row r="4388" spans="2:2">
      <c r="B4388" s="10" t="s">
        <v>4570</v>
      </c>
    </row>
    <row r="4389" spans="2:2">
      <c r="B4389" s="10" t="s">
        <v>4571</v>
      </c>
    </row>
    <row r="4390" spans="2:2">
      <c r="B4390" s="10" t="s">
        <v>4572</v>
      </c>
    </row>
    <row r="4391" spans="2:2">
      <c r="B4391" s="10" t="s">
        <v>4573</v>
      </c>
    </row>
    <row r="4392" spans="2:2">
      <c r="B4392" s="10" t="s">
        <v>4574</v>
      </c>
    </row>
    <row r="4393" spans="2:2">
      <c r="B4393" s="10" t="s">
        <v>4575</v>
      </c>
    </row>
    <row r="4394" spans="2:2">
      <c r="B4394" s="10" t="s">
        <v>4576</v>
      </c>
    </row>
    <row r="4395" spans="2:2">
      <c r="B4395" s="10" t="s">
        <v>4577</v>
      </c>
    </row>
    <row r="4396" spans="2:2">
      <c r="B4396" s="10" t="s">
        <v>4578</v>
      </c>
    </row>
    <row r="4397" spans="2:2">
      <c r="B4397" s="10" t="s">
        <v>4579</v>
      </c>
    </row>
    <row r="4398" spans="2:2">
      <c r="B4398" s="10" t="s">
        <v>4580</v>
      </c>
    </row>
    <row r="4399" spans="2:2">
      <c r="B4399" s="10" t="s">
        <v>4581</v>
      </c>
    </row>
    <row r="4400" spans="2:2">
      <c r="B4400" s="10" t="s">
        <v>4582</v>
      </c>
    </row>
    <row r="4401" spans="2:2">
      <c r="B4401" s="10" t="s">
        <v>4583</v>
      </c>
    </row>
    <row r="4402" spans="2:2">
      <c r="B4402" s="10" t="s">
        <v>4584</v>
      </c>
    </row>
    <row r="4403" spans="2:2">
      <c r="B4403" s="10" t="s">
        <v>4585</v>
      </c>
    </row>
    <row r="4404" spans="2:2">
      <c r="B4404" s="10" t="s">
        <v>4586</v>
      </c>
    </row>
    <row r="4405" spans="2:2">
      <c r="B4405" s="10" t="s">
        <v>4587</v>
      </c>
    </row>
    <row r="4406" spans="2:2">
      <c r="B4406" s="10" t="s">
        <v>4588</v>
      </c>
    </row>
    <row r="4407" spans="2:2">
      <c r="B4407" s="10" t="s">
        <v>4589</v>
      </c>
    </row>
    <row r="4408" spans="2:2">
      <c r="B4408" s="10" t="s">
        <v>4590</v>
      </c>
    </row>
    <row r="4409" spans="2:2">
      <c r="B4409" s="10" t="s">
        <v>4591</v>
      </c>
    </row>
    <row r="4410" spans="2:2">
      <c r="B4410" s="10" t="s">
        <v>4592</v>
      </c>
    </row>
    <row r="4411" spans="2:2">
      <c r="B4411" s="10" t="s">
        <v>4593</v>
      </c>
    </row>
    <row r="4412" spans="2:2">
      <c r="B4412" s="10" t="s">
        <v>4594</v>
      </c>
    </row>
    <row r="4413" spans="2:2">
      <c r="B4413" s="10" t="s">
        <v>4595</v>
      </c>
    </row>
    <row r="4414" spans="2:2">
      <c r="B4414" s="10" t="s">
        <v>4596</v>
      </c>
    </row>
    <row r="4415" spans="2:2">
      <c r="B4415" s="10" t="s">
        <v>4597</v>
      </c>
    </row>
    <row r="4416" spans="2:2">
      <c r="B4416" s="10" t="s">
        <v>4598</v>
      </c>
    </row>
    <row r="4417" spans="2:2">
      <c r="B4417" s="10" t="s">
        <v>4599</v>
      </c>
    </row>
    <row r="4418" spans="2:2">
      <c r="B4418" s="10" t="s">
        <v>4600</v>
      </c>
    </row>
    <row r="4419" spans="2:2">
      <c r="B4419" s="10" t="s">
        <v>4601</v>
      </c>
    </row>
    <row r="4420" spans="2:2">
      <c r="B4420" s="10" t="s">
        <v>4602</v>
      </c>
    </row>
    <row r="4421" spans="2:2">
      <c r="B4421" s="10" t="s">
        <v>4603</v>
      </c>
    </row>
    <row r="4422" spans="2:2">
      <c r="B4422" s="10" t="s">
        <v>4604</v>
      </c>
    </row>
    <row r="4423" spans="2:2">
      <c r="B4423" s="10" t="s">
        <v>4605</v>
      </c>
    </row>
    <row r="4424" spans="2:2">
      <c r="B4424" s="10" t="s">
        <v>4606</v>
      </c>
    </row>
    <row r="4425" spans="2:2">
      <c r="B4425" s="10" t="s">
        <v>4607</v>
      </c>
    </row>
    <row r="4426" spans="2:2">
      <c r="B4426" s="10" t="s">
        <v>4608</v>
      </c>
    </row>
    <row r="4427" spans="2:2">
      <c r="B4427" s="10" t="s">
        <v>4609</v>
      </c>
    </row>
    <row r="4428" spans="2:2">
      <c r="B4428" s="10" t="s">
        <v>4610</v>
      </c>
    </row>
    <row r="4429" spans="2:2">
      <c r="B4429" s="10" t="s">
        <v>4611</v>
      </c>
    </row>
    <row r="4430" spans="2:2">
      <c r="B4430" s="10" t="s">
        <v>4612</v>
      </c>
    </row>
    <row r="4431" spans="2:2">
      <c r="B4431" s="10" t="s">
        <v>4613</v>
      </c>
    </row>
    <row r="4432" spans="2:2">
      <c r="B4432" s="10" t="s">
        <v>4614</v>
      </c>
    </row>
    <row r="4433" spans="2:2">
      <c r="B4433" s="10" t="s">
        <v>4615</v>
      </c>
    </row>
    <row r="4434" spans="2:2">
      <c r="B4434" s="10" t="s">
        <v>4616</v>
      </c>
    </row>
    <row r="4435" spans="2:2">
      <c r="B4435" s="10" t="s">
        <v>4617</v>
      </c>
    </row>
    <row r="4436" spans="2:2">
      <c r="B4436" s="10" t="s">
        <v>4618</v>
      </c>
    </row>
    <row r="4437" spans="2:2">
      <c r="B4437" s="10" t="s">
        <v>4619</v>
      </c>
    </row>
    <row r="4438" spans="2:2">
      <c r="B4438" s="10" t="s">
        <v>4620</v>
      </c>
    </row>
    <row r="4439" spans="2:2">
      <c r="B4439" s="10" t="s">
        <v>4621</v>
      </c>
    </row>
    <row r="4440" spans="2:2">
      <c r="B4440" s="10" t="s">
        <v>4622</v>
      </c>
    </row>
    <row r="4441" spans="2:2">
      <c r="B4441" s="10" t="s">
        <v>4623</v>
      </c>
    </row>
    <row r="4442" spans="2:2">
      <c r="B4442" s="10" t="s">
        <v>4624</v>
      </c>
    </row>
    <row r="4443" spans="2:2">
      <c r="B4443" s="10" t="s">
        <v>4625</v>
      </c>
    </row>
    <row r="4444" spans="2:2">
      <c r="B4444" s="10" t="s">
        <v>4626</v>
      </c>
    </row>
    <row r="4445" spans="2:2">
      <c r="B4445" s="10" t="s">
        <v>4627</v>
      </c>
    </row>
    <row r="4446" spans="2:2">
      <c r="B4446" s="10" t="s">
        <v>4628</v>
      </c>
    </row>
    <row r="4447" spans="2:2">
      <c r="B4447" s="10" t="s">
        <v>4629</v>
      </c>
    </row>
    <row r="4448" spans="2:2">
      <c r="B4448" s="10" t="s">
        <v>4630</v>
      </c>
    </row>
    <row r="4449" spans="2:2">
      <c r="B4449" s="10" t="s">
        <v>4631</v>
      </c>
    </row>
    <row r="4450" spans="2:2">
      <c r="B4450" s="10" t="s">
        <v>4632</v>
      </c>
    </row>
    <row r="4451" spans="2:2">
      <c r="B4451" s="10" t="s">
        <v>4633</v>
      </c>
    </row>
    <row r="4452" spans="2:2">
      <c r="B4452" s="10" t="s">
        <v>4634</v>
      </c>
    </row>
    <row r="4453" spans="2:2">
      <c r="B4453" s="10" t="s">
        <v>4635</v>
      </c>
    </row>
    <row r="4454" spans="2:2">
      <c r="B4454" s="10" t="s">
        <v>4636</v>
      </c>
    </row>
    <row r="4455" spans="2:2">
      <c r="B4455" s="10" t="s">
        <v>4637</v>
      </c>
    </row>
    <row r="4456" spans="2:2">
      <c r="B4456" s="10" t="s">
        <v>4638</v>
      </c>
    </row>
    <row r="4457" spans="2:2">
      <c r="B4457" s="10" t="s">
        <v>4639</v>
      </c>
    </row>
    <row r="4458" spans="2:2">
      <c r="B4458" s="10" t="s">
        <v>4640</v>
      </c>
    </row>
    <row r="4459" spans="2:2">
      <c r="B4459" s="10" t="s">
        <v>4641</v>
      </c>
    </row>
    <row r="4460" spans="2:2">
      <c r="B4460" s="10" t="s">
        <v>4642</v>
      </c>
    </row>
    <row r="4461" spans="2:2">
      <c r="B4461" s="10" t="s">
        <v>4643</v>
      </c>
    </row>
    <row r="4462" spans="2:2">
      <c r="B4462" s="10" t="s">
        <v>4644</v>
      </c>
    </row>
    <row r="4463" spans="2:2">
      <c r="B4463" s="10" t="s">
        <v>4645</v>
      </c>
    </row>
    <row r="4464" spans="2:2">
      <c r="B4464" s="10" t="s">
        <v>4646</v>
      </c>
    </row>
    <row r="4465" spans="2:2">
      <c r="B4465" s="10" t="s">
        <v>4647</v>
      </c>
    </row>
    <row r="4466" spans="2:2">
      <c r="B4466" s="10" t="s">
        <v>4648</v>
      </c>
    </row>
    <row r="4467" spans="2:2">
      <c r="B4467" s="10" t="s">
        <v>4649</v>
      </c>
    </row>
    <row r="4468" spans="2:2">
      <c r="B4468" s="10" t="s">
        <v>4650</v>
      </c>
    </row>
    <row r="4469" spans="2:2">
      <c r="B4469" s="10" t="s">
        <v>4651</v>
      </c>
    </row>
    <row r="4470" spans="2:2">
      <c r="B4470" s="10" t="s">
        <v>4652</v>
      </c>
    </row>
    <row r="4471" spans="2:2">
      <c r="B4471" s="10" t="s">
        <v>4653</v>
      </c>
    </row>
    <row r="4472" spans="2:2">
      <c r="B4472" s="10" t="s">
        <v>4654</v>
      </c>
    </row>
    <row r="4473" spans="2:2">
      <c r="B4473" s="10" t="s">
        <v>4655</v>
      </c>
    </row>
    <row r="4474" spans="2:2">
      <c r="B4474" s="10" t="s">
        <v>4656</v>
      </c>
    </row>
    <row r="4475" spans="2:2">
      <c r="B4475" s="10" t="s">
        <v>4657</v>
      </c>
    </row>
    <row r="4476" spans="2:2">
      <c r="B4476" s="10" t="s">
        <v>4658</v>
      </c>
    </row>
    <row r="4477" spans="2:2">
      <c r="B4477" s="10" t="s">
        <v>4659</v>
      </c>
    </row>
    <row r="4478" spans="2:2">
      <c r="B4478" s="10" t="s">
        <v>4660</v>
      </c>
    </row>
    <row r="4479" spans="2:2">
      <c r="B4479" s="10" t="s">
        <v>4661</v>
      </c>
    </row>
    <row r="4480" spans="2:2">
      <c r="B4480" s="10" t="s">
        <v>4662</v>
      </c>
    </row>
    <row r="4481" spans="2:2">
      <c r="B4481" s="10" t="s">
        <v>4663</v>
      </c>
    </row>
    <row r="4482" spans="2:2">
      <c r="B4482" s="10" t="s">
        <v>4664</v>
      </c>
    </row>
    <row r="4483" spans="2:2">
      <c r="B4483" s="10" t="s">
        <v>4665</v>
      </c>
    </row>
    <row r="4484" spans="2:2">
      <c r="B4484" s="10" t="s">
        <v>4666</v>
      </c>
    </row>
    <row r="4485" spans="2:2">
      <c r="B4485" s="10" t="s">
        <v>4667</v>
      </c>
    </row>
    <row r="4486" spans="2:2">
      <c r="B4486" s="10" t="s">
        <v>4668</v>
      </c>
    </row>
    <row r="4487" spans="2:2">
      <c r="B4487" s="10" t="s">
        <v>4669</v>
      </c>
    </row>
    <row r="4488" spans="2:2">
      <c r="B4488" s="10" t="s">
        <v>4670</v>
      </c>
    </row>
    <row r="4489" spans="2:2">
      <c r="B4489" s="10" t="s">
        <v>4671</v>
      </c>
    </row>
    <row r="4490" spans="2:2">
      <c r="B4490" s="10" t="s">
        <v>4672</v>
      </c>
    </row>
    <row r="4491" spans="2:2">
      <c r="B4491" s="10" t="s">
        <v>4673</v>
      </c>
    </row>
    <row r="4492" spans="2:2">
      <c r="B4492" s="10" t="s">
        <v>4674</v>
      </c>
    </row>
    <row r="4493" spans="2:2">
      <c r="B4493" s="10" t="s">
        <v>4675</v>
      </c>
    </row>
    <row r="4494" spans="2:2">
      <c r="B4494" s="10" t="s">
        <v>4676</v>
      </c>
    </row>
    <row r="4495" spans="2:2">
      <c r="B4495" s="10" t="s">
        <v>4677</v>
      </c>
    </row>
    <row r="4496" spans="2:2">
      <c r="B4496" s="10" t="s">
        <v>4678</v>
      </c>
    </row>
    <row r="4497" spans="2:2">
      <c r="B4497" s="10" t="s">
        <v>4679</v>
      </c>
    </row>
    <row r="4498" spans="2:2">
      <c r="B4498" s="10" t="s">
        <v>4680</v>
      </c>
    </row>
    <row r="4499" spans="2:2">
      <c r="B4499" s="10" t="s">
        <v>4681</v>
      </c>
    </row>
    <row r="4500" spans="2:2">
      <c r="B4500" s="10" t="s">
        <v>4682</v>
      </c>
    </row>
    <row r="4501" spans="2:2">
      <c r="B4501" s="10" t="s">
        <v>4683</v>
      </c>
    </row>
    <row r="4502" spans="2:2">
      <c r="B4502" s="10" t="s">
        <v>4684</v>
      </c>
    </row>
    <row r="4503" spans="2:2">
      <c r="B4503" s="10" t="s">
        <v>4685</v>
      </c>
    </row>
    <row r="4504" spans="2:2">
      <c r="B4504" s="10" t="s">
        <v>4686</v>
      </c>
    </row>
    <row r="4505" spans="2:2">
      <c r="B4505" s="10" t="s">
        <v>4687</v>
      </c>
    </row>
    <row r="4506" spans="2:2">
      <c r="B4506" s="10" t="s">
        <v>4688</v>
      </c>
    </row>
    <row r="4507" spans="2:2">
      <c r="B4507" s="10" t="s">
        <v>4689</v>
      </c>
    </row>
    <row r="4508" spans="2:2">
      <c r="B4508" s="10" t="s">
        <v>4690</v>
      </c>
    </row>
    <row r="4509" spans="2:2">
      <c r="B4509" s="10" t="s">
        <v>4691</v>
      </c>
    </row>
    <row r="4510" spans="2:2">
      <c r="B4510" s="10" t="s">
        <v>4692</v>
      </c>
    </row>
    <row r="4511" spans="2:2">
      <c r="B4511" s="10" t="s">
        <v>4693</v>
      </c>
    </row>
    <row r="4512" spans="2:2">
      <c r="B4512" s="10" t="s">
        <v>4694</v>
      </c>
    </row>
    <row r="4513" spans="2:2">
      <c r="B4513" s="10" t="s">
        <v>4695</v>
      </c>
    </row>
    <row r="4514" spans="2:2">
      <c r="B4514" s="10" t="s">
        <v>4696</v>
      </c>
    </row>
    <row r="4515" spans="2:2">
      <c r="B4515" s="10" t="s">
        <v>4697</v>
      </c>
    </row>
    <row r="4516" spans="2:2">
      <c r="B4516" s="10" t="s">
        <v>4698</v>
      </c>
    </row>
    <row r="4517" spans="2:2">
      <c r="B4517" s="10" t="s">
        <v>4699</v>
      </c>
    </row>
    <row r="4518" spans="2:2">
      <c r="B4518" s="10" t="s">
        <v>4700</v>
      </c>
    </row>
    <row r="4519" spans="2:2">
      <c r="B4519" s="10" t="s">
        <v>4701</v>
      </c>
    </row>
    <row r="4520" spans="2:2">
      <c r="B4520" s="10" t="s">
        <v>4702</v>
      </c>
    </row>
    <row r="4521" spans="2:2">
      <c r="B4521" s="10" t="s">
        <v>4703</v>
      </c>
    </row>
    <row r="4522" spans="2:2">
      <c r="B4522" s="10" t="s">
        <v>4704</v>
      </c>
    </row>
    <row r="4523" spans="2:2">
      <c r="B4523" s="10" t="s">
        <v>4705</v>
      </c>
    </row>
    <row r="4524" spans="2:2">
      <c r="B4524" s="10" t="s">
        <v>4706</v>
      </c>
    </row>
    <row r="4525" spans="2:2">
      <c r="B4525" s="10" t="s">
        <v>4707</v>
      </c>
    </row>
    <row r="4526" spans="2:2">
      <c r="B4526" s="10" t="s">
        <v>4708</v>
      </c>
    </row>
    <row r="4527" spans="2:2">
      <c r="B4527" s="10" t="s">
        <v>4709</v>
      </c>
    </row>
    <row r="4528" spans="2:2">
      <c r="B4528" s="10" t="s">
        <v>4710</v>
      </c>
    </row>
    <row r="4529" spans="2:2">
      <c r="B4529" s="10" t="s">
        <v>4711</v>
      </c>
    </row>
    <row r="4530" spans="2:2">
      <c r="B4530" s="10" t="s">
        <v>4712</v>
      </c>
    </row>
    <row r="4531" spans="2:2">
      <c r="B4531" s="10" t="s">
        <v>4713</v>
      </c>
    </row>
    <row r="4532" spans="2:2">
      <c r="B4532" s="10" t="s">
        <v>4714</v>
      </c>
    </row>
    <row r="4533" spans="2:2">
      <c r="B4533" s="10" t="s">
        <v>4715</v>
      </c>
    </row>
    <row r="4534" spans="2:2">
      <c r="B4534" s="10" t="s">
        <v>4716</v>
      </c>
    </row>
    <row r="4535" spans="2:2">
      <c r="B4535" s="10" t="s">
        <v>4717</v>
      </c>
    </row>
    <row r="4536" spans="2:2">
      <c r="B4536" s="10" t="s">
        <v>4718</v>
      </c>
    </row>
    <row r="4537" spans="2:2">
      <c r="B4537" s="10" t="s">
        <v>4719</v>
      </c>
    </row>
    <row r="4538" spans="2:2">
      <c r="B4538" s="10" t="s">
        <v>4720</v>
      </c>
    </row>
    <row r="4539" spans="2:2">
      <c r="B4539" s="10" t="s">
        <v>4721</v>
      </c>
    </row>
    <row r="4540" spans="2:2">
      <c r="B4540" s="10" t="s">
        <v>4722</v>
      </c>
    </row>
    <row r="4541" spans="2:2">
      <c r="B4541" s="10" t="s">
        <v>4723</v>
      </c>
    </row>
    <row r="4542" spans="2:2">
      <c r="B4542" s="10" t="s">
        <v>4724</v>
      </c>
    </row>
    <row r="4543" spans="2:2">
      <c r="B4543" s="10" t="s">
        <v>4725</v>
      </c>
    </row>
    <row r="4544" spans="2:2">
      <c r="B4544" s="10" t="s">
        <v>4726</v>
      </c>
    </row>
    <row r="4545" spans="2:2">
      <c r="B4545" s="10" t="s">
        <v>4727</v>
      </c>
    </row>
    <row r="4546" spans="2:2">
      <c r="B4546" s="10" t="s">
        <v>4728</v>
      </c>
    </row>
    <row r="4547" spans="2:2">
      <c r="B4547" s="10" t="s">
        <v>4729</v>
      </c>
    </row>
    <row r="4548" spans="2:2">
      <c r="B4548" s="10" t="s">
        <v>4730</v>
      </c>
    </row>
    <row r="4549" spans="2:2">
      <c r="B4549" s="10" t="s">
        <v>4731</v>
      </c>
    </row>
    <row r="4550" spans="2:2">
      <c r="B4550" s="10" t="s">
        <v>4732</v>
      </c>
    </row>
    <row r="4551" spans="2:2">
      <c r="B4551" s="10" t="s">
        <v>4733</v>
      </c>
    </row>
    <row r="4552" spans="2:2">
      <c r="B4552" s="10" t="s">
        <v>4734</v>
      </c>
    </row>
    <row r="4553" spans="2:2">
      <c r="B4553" s="10" t="s">
        <v>4735</v>
      </c>
    </row>
    <row r="4554" spans="2:2">
      <c r="B4554" s="10" t="s">
        <v>4736</v>
      </c>
    </row>
    <row r="4555" spans="2:2">
      <c r="B4555" s="10" t="s">
        <v>4737</v>
      </c>
    </row>
    <row r="4556" spans="2:2">
      <c r="B4556" s="10" t="s">
        <v>4738</v>
      </c>
    </row>
    <row r="4557" spans="2:2">
      <c r="B4557" s="10" t="s">
        <v>4739</v>
      </c>
    </row>
    <row r="4558" spans="2:2">
      <c r="B4558" s="10" t="s">
        <v>4740</v>
      </c>
    </row>
    <row r="4559" spans="2:2">
      <c r="B4559" s="10" t="s">
        <v>4741</v>
      </c>
    </row>
    <row r="4560" spans="2:2">
      <c r="B4560" s="10" t="s">
        <v>4742</v>
      </c>
    </row>
    <row r="4561" spans="2:2">
      <c r="B4561" s="10" t="s">
        <v>4743</v>
      </c>
    </row>
    <row r="4562" spans="2:2">
      <c r="B4562" s="10" t="s">
        <v>4744</v>
      </c>
    </row>
    <row r="4563" spans="2:2">
      <c r="B4563" s="10" t="s">
        <v>4745</v>
      </c>
    </row>
    <row r="4564" spans="2:2">
      <c r="B4564" s="10" t="s">
        <v>4746</v>
      </c>
    </row>
    <row r="4565" spans="2:2">
      <c r="B4565" s="10" t="s">
        <v>4747</v>
      </c>
    </row>
    <row r="4566" spans="2:2">
      <c r="B4566" s="10" t="s">
        <v>4748</v>
      </c>
    </row>
    <row r="4567" spans="2:2">
      <c r="B4567" s="10" t="s">
        <v>4749</v>
      </c>
    </row>
    <row r="4568" spans="2:2">
      <c r="B4568" s="10" t="s">
        <v>4750</v>
      </c>
    </row>
    <row r="4569" spans="2:2">
      <c r="B4569" s="10" t="s">
        <v>4751</v>
      </c>
    </row>
    <row r="4570" spans="2:2">
      <c r="B4570" s="10" t="s">
        <v>4752</v>
      </c>
    </row>
    <row r="4571" spans="2:2">
      <c r="B4571" s="10" t="s">
        <v>4753</v>
      </c>
    </row>
    <row r="4572" spans="2:2">
      <c r="B4572" s="10" t="s">
        <v>4754</v>
      </c>
    </row>
    <row r="4573" spans="2:2">
      <c r="B4573" s="10" t="s">
        <v>4755</v>
      </c>
    </row>
    <row r="4574" spans="2:2">
      <c r="B4574" s="10" t="s">
        <v>4756</v>
      </c>
    </row>
    <row r="4575" spans="2:2">
      <c r="B4575" s="10" t="s">
        <v>4757</v>
      </c>
    </row>
    <row r="4576" spans="2:2">
      <c r="B4576" s="10" t="s">
        <v>4758</v>
      </c>
    </row>
    <row r="4577" spans="2:2">
      <c r="B4577" s="10" t="s">
        <v>4759</v>
      </c>
    </row>
    <row r="4578" spans="2:2">
      <c r="B4578" s="10" t="s">
        <v>4760</v>
      </c>
    </row>
    <row r="4579" spans="2:2">
      <c r="B4579" s="10" t="s">
        <v>4761</v>
      </c>
    </row>
    <row r="4580" spans="2:2">
      <c r="B4580" s="10" t="s">
        <v>4762</v>
      </c>
    </row>
    <row r="4581" spans="2:2">
      <c r="B4581" s="10" t="s">
        <v>4763</v>
      </c>
    </row>
    <row r="4582" spans="2:2">
      <c r="B4582" s="10" t="s">
        <v>4764</v>
      </c>
    </row>
    <row r="4583" spans="2:2">
      <c r="B4583" s="10" t="s">
        <v>4765</v>
      </c>
    </row>
    <row r="4584" spans="2:2">
      <c r="B4584" s="10" t="s">
        <v>4766</v>
      </c>
    </row>
    <row r="4585" spans="2:2">
      <c r="B4585" s="10" t="s">
        <v>4767</v>
      </c>
    </row>
    <row r="4586" spans="2:2">
      <c r="B4586" s="10" t="s">
        <v>4768</v>
      </c>
    </row>
    <row r="4587" spans="2:2">
      <c r="B4587" s="10" t="s">
        <v>4769</v>
      </c>
    </row>
    <row r="4588" spans="2:2">
      <c r="B4588" s="10" t="s">
        <v>4770</v>
      </c>
    </row>
    <row r="4589" spans="2:2">
      <c r="B4589" s="10" t="s">
        <v>4771</v>
      </c>
    </row>
    <row r="4590" spans="2:2">
      <c r="B4590" s="10" t="s">
        <v>4772</v>
      </c>
    </row>
    <row r="4591" spans="2:2">
      <c r="B4591" s="10" t="s">
        <v>4773</v>
      </c>
    </row>
    <row r="4592" spans="2:2">
      <c r="B4592" s="10" t="s">
        <v>4774</v>
      </c>
    </row>
    <row r="4593" spans="2:2">
      <c r="B4593" s="10" t="s">
        <v>4775</v>
      </c>
    </row>
    <row r="4594" spans="2:2">
      <c r="B4594" s="10" t="s">
        <v>4776</v>
      </c>
    </row>
    <row r="4595" spans="2:2">
      <c r="B4595" s="10" t="s">
        <v>4777</v>
      </c>
    </row>
    <row r="4596" spans="2:2">
      <c r="B4596" s="10" t="s">
        <v>4778</v>
      </c>
    </row>
    <row r="4597" spans="2:2">
      <c r="B4597" s="10" t="s">
        <v>4779</v>
      </c>
    </row>
    <row r="4598" spans="2:2">
      <c r="B4598" s="10" t="s">
        <v>4780</v>
      </c>
    </row>
    <row r="4599" spans="2:2">
      <c r="B4599" s="10" t="s">
        <v>4781</v>
      </c>
    </row>
    <row r="4600" spans="2:2">
      <c r="B4600" s="10" t="s">
        <v>4782</v>
      </c>
    </row>
    <row r="4601" spans="2:2">
      <c r="B4601" s="10" t="s">
        <v>4783</v>
      </c>
    </row>
    <row r="4602" spans="2:2">
      <c r="B4602" s="10" t="s">
        <v>4784</v>
      </c>
    </row>
    <row r="4603" spans="2:2">
      <c r="B4603" s="10" t="s">
        <v>4785</v>
      </c>
    </row>
    <row r="4604" spans="2:2">
      <c r="B4604" s="10" t="s">
        <v>4786</v>
      </c>
    </row>
    <row r="4605" spans="2:2">
      <c r="B4605" s="10" t="s">
        <v>4787</v>
      </c>
    </row>
    <row r="4606" spans="2:2">
      <c r="B4606" s="10" t="s">
        <v>4788</v>
      </c>
    </row>
    <row r="4607" spans="2:2">
      <c r="B4607" s="10" t="s">
        <v>4789</v>
      </c>
    </row>
    <row r="4608" spans="2:2">
      <c r="B4608" s="10" t="s">
        <v>4790</v>
      </c>
    </row>
    <row r="4609" spans="2:2">
      <c r="B4609" s="10" t="s">
        <v>4791</v>
      </c>
    </row>
    <row r="4610" spans="2:2">
      <c r="B4610" s="10" t="s">
        <v>4792</v>
      </c>
    </row>
    <row r="4611" spans="2:2">
      <c r="B4611" s="10" t="s">
        <v>4793</v>
      </c>
    </row>
    <row r="4612" spans="2:2">
      <c r="B4612" s="10" t="s">
        <v>4794</v>
      </c>
    </row>
    <row r="4613" spans="2:2">
      <c r="B4613" s="10" t="s">
        <v>4795</v>
      </c>
    </row>
    <row r="4614" spans="2:2">
      <c r="B4614" s="10" t="s">
        <v>4796</v>
      </c>
    </row>
    <row r="4615" spans="2:2">
      <c r="B4615" s="10" t="s">
        <v>4797</v>
      </c>
    </row>
    <row r="4616" spans="2:2">
      <c r="B4616" s="10" t="s">
        <v>4798</v>
      </c>
    </row>
    <row r="4617" spans="2:2">
      <c r="B4617" s="10" t="s">
        <v>4799</v>
      </c>
    </row>
    <row r="4618" spans="2:2">
      <c r="B4618" s="10" t="s">
        <v>4800</v>
      </c>
    </row>
    <row r="4619" spans="2:2">
      <c r="B4619" s="10" t="s">
        <v>4801</v>
      </c>
    </row>
    <row r="4620" spans="2:2">
      <c r="B4620" s="10" t="s">
        <v>4802</v>
      </c>
    </row>
    <row r="4621" spans="2:2">
      <c r="B4621" s="10" t="s">
        <v>4803</v>
      </c>
    </row>
    <row r="4622" spans="2:2">
      <c r="B4622" s="10" t="s">
        <v>4804</v>
      </c>
    </row>
    <row r="4623" spans="2:2">
      <c r="B4623" s="10" t="s">
        <v>4805</v>
      </c>
    </row>
    <row r="4624" spans="2:2">
      <c r="B4624" s="10" t="s">
        <v>4806</v>
      </c>
    </row>
    <row r="4625" spans="2:2">
      <c r="B4625" s="10" t="s">
        <v>4807</v>
      </c>
    </row>
    <row r="4626" spans="2:2">
      <c r="B4626" s="10" t="s">
        <v>4808</v>
      </c>
    </row>
    <row r="4627" spans="2:2">
      <c r="B4627" s="10" t="s">
        <v>4809</v>
      </c>
    </row>
    <row r="4628" spans="2:2">
      <c r="B4628" s="10" t="s">
        <v>4810</v>
      </c>
    </row>
    <row r="4629" spans="2:2">
      <c r="B4629" s="10" t="s">
        <v>4811</v>
      </c>
    </row>
    <row r="4630" spans="2:2">
      <c r="B4630" s="10" t="s">
        <v>4812</v>
      </c>
    </row>
    <row r="4631" spans="2:2">
      <c r="B4631" s="10" t="s">
        <v>4813</v>
      </c>
    </row>
    <row r="4632" spans="2:2">
      <c r="B4632" s="10" t="s">
        <v>4814</v>
      </c>
    </row>
    <row r="4633" spans="2:2">
      <c r="B4633" s="10" t="s">
        <v>4815</v>
      </c>
    </row>
    <row r="4634" spans="2:2">
      <c r="B4634" s="10" t="s">
        <v>4816</v>
      </c>
    </row>
    <row r="4635" spans="2:2">
      <c r="B4635" s="10" t="s">
        <v>4817</v>
      </c>
    </row>
    <row r="4636" spans="2:2">
      <c r="B4636" s="10" t="s">
        <v>4818</v>
      </c>
    </row>
    <row r="4637" spans="2:2">
      <c r="B4637" s="10" t="s">
        <v>4819</v>
      </c>
    </row>
    <row r="4638" spans="2:2">
      <c r="B4638" s="10" t="s">
        <v>4820</v>
      </c>
    </row>
    <row r="4639" spans="2:2">
      <c r="B4639" s="10" t="s">
        <v>4821</v>
      </c>
    </row>
    <row r="4640" spans="2:2">
      <c r="B4640" s="10" t="s">
        <v>4822</v>
      </c>
    </row>
    <row r="4641" spans="2:2">
      <c r="B4641" s="10" t="s">
        <v>4823</v>
      </c>
    </row>
    <row r="4642" spans="2:2">
      <c r="B4642" s="10" t="s">
        <v>4824</v>
      </c>
    </row>
    <row r="4643" spans="2:2">
      <c r="B4643" s="10" t="s">
        <v>4825</v>
      </c>
    </row>
    <row r="4644" spans="2:2">
      <c r="B4644" s="10" t="s">
        <v>4826</v>
      </c>
    </row>
    <row r="4645" spans="2:2">
      <c r="B4645" s="10" t="s">
        <v>4827</v>
      </c>
    </row>
    <row r="4646" spans="2:2">
      <c r="B4646" s="10" t="s">
        <v>4828</v>
      </c>
    </row>
    <row r="4647" spans="2:2">
      <c r="B4647" s="10" t="s">
        <v>4829</v>
      </c>
    </row>
    <row r="4648" spans="2:2">
      <c r="B4648" s="10" t="s">
        <v>4830</v>
      </c>
    </row>
    <row r="4649" spans="2:2">
      <c r="B4649" s="10" t="s">
        <v>4831</v>
      </c>
    </row>
    <row r="4650" spans="2:2">
      <c r="B4650" s="10" t="s">
        <v>4832</v>
      </c>
    </row>
    <row r="4651" spans="2:2">
      <c r="B4651" s="10" t="s">
        <v>4833</v>
      </c>
    </row>
    <row r="4652" spans="2:2">
      <c r="B4652" s="10" t="s">
        <v>4834</v>
      </c>
    </row>
    <row r="4653" spans="2:2">
      <c r="B4653" s="10" t="s">
        <v>4835</v>
      </c>
    </row>
    <row r="4654" spans="2:2">
      <c r="B4654" s="10" t="s">
        <v>4836</v>
      </c>
    </row>
    <row r="4655" spans="2:2">
      <c r="B4655" s="10" t="s">
        <v>4837</v>
      </c>
    </row>
    <row r="4656" spans="2:2">
      <c r="B4656" s="10" t="s">
        <v>4838</v>
      </c>
    </row>
    <row r="4657" spans="2:2">
      <c r="B4657" s="10" t="s">
        <v>4839</v>
      </c>
    </row>
    <row r="4658" spans="2:2">
      <c r="B4658" s="10" t="s">
        <v>4840</v>
      </c>
    </row>
    <row r="4659" spans="2:2">
      <c r="B4659" s="10" t="s">
        <v>4841</v>
      </c>
    </row>
    <row r="4660" spans="2:2">
      <c r="B4660" s="10" t="s">
        <v>4842</v>
      </c>
    </row>
    <row r="4661" spans="2:2">
      <c r="B4661" s="10" t="s">
        <v>4843</v>
      </c>
    </row>
    <row r="4662" spans="2:2">
      <c r="B4662" s="10" t="s">
        <v>4844</v>
      </c>
    </row>
    <row r="4663" spans="2:2">
      <c r="B4663" s="10" t="s">
        <v>4845</v>
      </c>
    </row>
    <row r="4664" spans="2:2">
      <c r="B4664" s="10" t="s">
        <v>4846</v>
      </c>
    </row>
    <row r="4665" spans="2:2">
      <c r="B4665" s="10" t="s">
        <v>4847</v>
      </c>
    </row>
    <row r="4666" spans="2:2">
      <c r="B4666" s="10" t="s">
        <v>4848</v>
      </c>
    </row>
    <row r="4667" spans="2:2">
      <c r="B4667" s="10" t="s">
        <v>4849</v>
      </c>
    </row>
    <row r="4668" spans="2:2">
      <c r="B4668" s="10" t="s">
        <v>4850</v>
      </c>
    </row>
    <row r="4669" spans="2:2">
      <c r="B4669" s="10" t="s">
        <v>4851</v>
      </c>
    </row>
    <row r="4670" spans="2:2">
      <c r="B4670" s="10" t="s">
        <v>4852</v>
      </c>
    </row>
    <row r="4671" spans="2:2">
      <c r="B4671" s="10" t="s">
        <v>4853</v>
      </c>
    </row>
    <row r="4672" spans="2:2">
      <c r="B4672" s="10" t="s">
        <v>4854</v>
      </c>
    </row>
    <row r="4673" spans="2:2">
      <c r="B4673" s="10" t="s">
        <v>4855</v>
      </c>
    </row>
    <row r="4674" spans="2:2">
      <c r="B4674" s="10" t="s">
        <v>4856</v>
      </c>
    </row>
    <row r="4675" spans="2:2">
      <c r="B4675" s="10" t="s">
        <v>4857</v>
      </c>
    </row>
    <row r="4676" spans="2:2">
      <c r="B4676" s="10" t="s">
        <v>4858</v>
      </c>
    </row>
    <row r="4677" spans="2:2">
      <c r="B4677" s="10" t="s">
        <v>4859</v>
      </c>
    </row>
    <row r="4678" spans="2:2">
      <c r="B4678" s="10" t="s">
        <v>4860</v>
      </c>
    </row>
    <row r="4679" spans="2:2">
      <c r="B4679" s="10" t="s">
        <v>4861</v>
      </c>
    </row>
    <row r="4680" spans="2:2">
      <c r="B4680" s="10" t="s">
        <v>4862</v>
      </c>
    </row>
    <row r="4681" spans="2:2">
      <c r="B4681" s="10" t="s">
        <v>4863</v>
      </c>
    </row>
    <row r="4682" spans="2:2">
      <c r="B4682" s="10" t="s">
        <v>4864</v>
      </c>
    </row>
    <row r="4683" spans="2:2">
      <c r="B4683" s="10" t="s">
        <v>4865</v>
      </c>
    </row>
    <row r="4684" spans="2:2">
      <c r="B4684" s="10" t="s">
        <v>4866</v>
      </c>
    </row>
    <row r="4685" spans="2:2">
      <c r="B4685" s="10" t="s">
        <v>4867</v>
      </c>
    </row>
    <row r="4686" spans="2:2">
      <c r="B4686" s="10" t="s">
        <v>4868</v>
      </c>
    </row>
    <row r="4687" spans="2:2">
      <c r="B4687" s="10" t="s">
        <v>4869</v>
      </c>
    </row>
    <row r="4688" spans="2:2">
      <c r="B4688" s="10" t="s">
        <v>4870</v>
      </c>
    </row>
    <row r="4689" spans="2:2">
      <c r="B4689" s="10" t="s">
        <v>4871</v>
      </c>
    </row>
    <row r="4690" spans="2:2">
      <c r="B4690" s="10" t="s">
        <v>4872</v>
      </c>
    </row>
    <row r="4691" spans="2:2">
      <c r="B4691" s="10" t="s">
        <v>4873</v>
      </c>
    </row>
    <row r="4692" spans="2:2">
      <c r="B4692" s="10" t="s">
        <v>4874</v>
      </c>
    </row>
    <row r="4693" spans="2:2">
      <c r="B4693" s="10" t="s">
        <v>4875</v>
      </c>
    </row>
    <row r="4694" spans="2:2">
      <c r="B4694" s="10" t="s">
        <v>4876</v>
      </c>
    </row>
    <row r="4695" spans="2:2">
      <c r="B4695" s="10" t="s">
        <v>4877</v>
      </c>
    </row>
    <row r="4696" spans="2:2">
      <c r="B4696" s="10" t="s">
        <v>4878</v>
      </c>
    </row>
    <row r="4697" spans="2:2">
      <c r="B4697" s="10" t="s">
        <v>4879</v>
      </c>
    </row>
    <row r="4698" spans="2:2">
      <c r="B4698" s="10" t="s">
        <v>4880</v>
      </c>
    </row>
    <row r="4699" spans="2:2">
      <c r="B4699" s="10" t="s">
        <v>4881</v>
      </c>
    </row>
    <row r="4700" spans="2:2">
      <c r="B4700" s="10" t="s">
        <v>4882</v>
      </c>
    </row>
    <row r="4701" spans="2:2">
      <c r="B4701" s="10" t="s">
        <v>4883</v>
      </c>
    </row>
    <row r="4702" spans="2:2">
      <c r="B4702" s="10" t="s">
        <v>4884</v>
      </c>
    </row>
    <row r="4703" spans="2:2">
      <c r="B4703" s="10" t="s">
        <v>4885</v>
      </c>
    </row>
    <row r="4704" spans="2:2">
      <c r="B4704" s="10" t="s">
        <v>4886</v>
      </c>
    </row>
    <row r="4705" spans="2:2">
      <c r="B4705" s="10" t="s">
        <v>4887</v>
      </c>
    </row>
    <row r="4706" spans="2:2">
      <c r="B4706" s="10" t="s">
        <v>4888</v>
      </c>
    </row>
    <row r="4707" spans="2:2">
      <c r="B4707" s="10" t="s">
        <v>4889</v>
      </c>
    </row>
    <row r="4708" spans="2:2">
      <c r="B4708" s="10" t="s">
        <v>4890</v>
      </c>
    </row>
    <row r="4709" spans="2:2">
      <c r="B4709" s="10" t="s">
        <v>4891</v>
      </c>
    </row>
    <row r="4710" spans="2:2">
      <c r="B4710" s="10" t="s">
        <v>4892</v>
      </c>
    </row>
    <row r="4711" spans="2:2">
      <c r="B4711" s="10" t="s">
        <v>4893</v>
      </c>
    </row>
    <row r="4712" spans="2:2">
      <c r="B4712" s="10" t="s">
        <v>4894</v>
      </c>
    </row>
    <row r="4713" spans="2:2">
      <c r="B4713" s="10" t="s">
        <v>4895</v>
      </c>
    </row>
    <row r="4714" spans="2:2">
      <c r="B4714" s="10" t="s">
        <v>4896</v>
      </c>
    </row>
    <row r="4715" spans="2:2">
      <c r="B4715" s="10" t="s">
        <v>4897</v>
      </c>
    </row>
    <row r="4716" spans="2:2">
      <c r="B4716" s="10" t="s">
        <v>4898</v>
      </c>
    </row>
    <row r="4717" spans="2:2">
      <c r="B4717" s="10" t="s">
        <v>4899</v>
      </c>
    </row>
    <row r="4718" spans="2:2">
      <c r="B4718" s="10" t="s">
        <v>4900</v>
      </c>
    </row>
    <row r="4719" spans="2:2">
      <c r="B4719" s="10" t="s">
        <v>4901</v>
      </c>
    </row>
    <row r="4720" spans="2:2">
      <c r="B4720" s="10" t="s">
        <v>4902</v>
      </c>
    </row>
    <row r="4721" spans="2:2">
      <c r="B4721" s="10" t="s">
        <v>4903</v>
      </c>
    </row>
    <row r="4722" spans="2:2">
      <c r="B4722" s="10" t="s">
        <v>4904</v>
      </c>
    </row>
    <row r="4723" spans="2:2">
      <c r="B4723" s="10" t="s">
        <v>4905</v>
      </c>
    </row>
    <row r="4724" spans="2:2">
      <c r="B4724" s="10" t="s">
        <v>4906</v>
      </c>
    </row>
    <row r="4725" spans="2:2">
      <c r="B4725" s="10" t="s">
        <v>4907</v>
      </c>
    </row>
    <row r="4726" spans="2:2">
      <c r="B4726" s="10" t="s">
        <v>4908</v>
      </c>
    </row>
    <row r="4727" spans="2:2">
      <c r="B4727" s="10" t="s">
        <v>4909</v>
      </c>
    </row>
    <row r="4728" spans="2:2">
      <c r="B4728" s="10" t="s">
        <v>4910</v>
      </c>
    </row>
    <row r="4729" spans="2:2">
      <c r="B4729" s="10" t="s">
        <v>4911</v>
      </c>
    </row>
    <row r="4730" spans="2:2">
      <c r="B4730" s="10" t="s">
        <v>4912</v>
      </c>
    </row>
    <row r="4731" spans="2:2">
      <c r="B4731" s="10" t="s">
        <v>4913</v>
      </c>
    </row>
    <row r="4732" spans="2:2">
      <c r="B4732" s="10" t="s">
        <v>4914</v>
      </c>
    </row>
    <row r="4733" spans="2:2">
      <c r="B4733" s="10" t="s">
        <v>4915</v>
      </c>
    </row>
    <row r="4734" spans="2:2">
      <c r="B4734" s="10" t="s">
        <v>4916</v>
      </c>
    </row>
    <row r="4735" spans="2:2">
      <c r="B4735" s="10" t="s">
        <v>4917</v>
      </c>
    </row>
    <row r="4736" spans="2:2">
      <c r="B4736" s="10" t="s">
        <v>4918</v>
      </c>
    </row>
    <row r="4737" spans="2:2">
      <c r="B4737" s="10" t="s">
        <v>4919</v>
      </c>
    </row>
    <row r="4738" spans="2:2">
      <c r="B4738" s="10" t="s">
        <v>4920</v>
      </c>
    </row>
    <row r="4739" spans="2:2">
      <c r="B4739" s="10" t="s">
        <v>4921</v>
      </c>
    </row>
    <row r="4740" spans="2:2">
      <c r="B4740" s="10" t="s">
        <v>4922</v>
      </c>
    </row>
    <row r="4741" spans="2:2">
      <c r="B4741" s="10" t="s">
        <v>4923</v>
      </c>
    </row>
    <row r="4742" spans="2:2">
      <c r="B4742" s="10" t="s">
        <v>4924</v>
      </c>
    </row>
    <row r="4743" spans="2:2">
      <c r="B4743" s="10" t="s">
        <v>4925</v>
      </c>
    </row>
    <row r="4744" spans="2:2">
      <c r="B4744" s="10" t="s">
        <v>4926</v>
      </c>
    </row>
    <row r="4745" spans="2:2">
      <c r="B4745" s="10" t="s">
        <v>4927</v>
      </c>
    </row>
    <row r="4746" spans="2:2">
      <c r="B4746" s="10" t="s">
        <v>4928</v>
      </c>
    </row>
    <row r="4747" spans="2:2">
      <c r="B4747" s="10" t="s">
        <v>4929</v>
      </c>
    </row>
    <row r="4748" spans="2:2">
      <c r="B4748" s="10" t="s">
        <v>4930</v>
      </c>
    </row>
    <row r="4749" spans="2:2">
      <c r="B4749" s="10" t="s">
        <v>4931</v>
      </c>
    </row>
    <row r="4750" spans="2:2">
      <c r="B4750" s="10" t="s">
        <v>4932</v>
      </c>
    </row>
    <row r="4751" spans="2:2">
      <c r="B4751" s="10" t="s">
        <v>4933</v>
      </c>
    </row>
    <row r="4752" spans="2:2">
      <c r="B4752" s="10" t="s">
        <v>4934</v>
      </c>
    </row>
    <row r="4753" spans="2:2">
      <c r="B4753" s="10" t="s">
        <v>4935</v>
      </c>
    </row>
    <row r="4754" spans="2:2">
      <c r="B4754" s="10" t="s">
        <v>4936</v>
      </c>
    </row>
    <row r="4755" spans="2:2">
      <c r="B4755" s="10" t="s">
        <v>4937</v>
      </c>
    </row>
    <row r="4756" spans="2:2">
      <c r="B4756" s="10" t="s">
        <v>4938</v>
      </c>
    </row>
    <row r="4757" spans="2:2">
      <c r="B4757" s="10" t="s">
        <v>4939</v>
      </c>
    </row>
    <row r="4758" spans="2:2">
      <c r="B4758" s="10" t="s">
        <v>4940</v>
      </c>
    </row>
    <row r="4759" spans="2:2">
      <c r="B4759" s="10" t="s">
        <v>4941</v>
      </c>
    </row>
    <row r="4760" spans="2:2">
      <c r="B4760" s="10" t="s">
        <v>4942</v>
      </c>
    </row>
    <row r="4761" spans="2:2">
      <c r="B4761" s="10" t="s">
        <v>4943</v>
      </c>
    </row>
    <row r="4762" spans="2:2">
      <c r="B4762" s="10" t="s">
        <v>4944</v>
      </c>
    </row>
    <row r="4763" spans="2:2">
      <c r="B4763" s="10" t="s">
        <v>4945</v>
      </c>
    </row>
    <row r="4764" spans="2:2">
      <c r="B4764" s="10" t="s">
        <v>4946</v>
      </c>
    </row>
    <row r="4765" spans="2:2">
      <c r="B4765" s="10" t="s">
        <v>4947</v>
      </c>
    </row>
    <row r="4766" spans="2:2">
      <c r="B4766" s="10" t="s">
        <v>4948</v>
      </c>
    </row>
    <row r="4767" spans="2:2">
      <c r="B4767" s="10" t="s">
        <v>4949</v>
      </c>
    </row>
    <row r="4768" spans="2:2">
      <c r="B4768" s="10" t="s">
        <v>4950</v>
      </c>
    </row>
    <row r="4769" spans="2:2">
      <c r="B4769" s="10" t="s">
        <v>4951</v>
      </c>
    </row>
    <row r="4770" spans="2:2">
      <c r="B4770" s="10" t="s">
        <v>4952</v>
      </c>
    </row>
    <row r="4771" spans="2:2">
      <c r="B4771" s="10" t="s">
        <v>4953</v>
      </c>
    </row>
    <row r="4772" spans="2:2">
      <c r="B4772" s="10" t="s">
        <v>4954</v>
      </c>
    </row>
    <row r="4773" spans="2:2">
      <c r="B4773" s="10" t="s">
        <v>4955</v>
      </c>
    </row>
    <row r="4774" spans="2:2">
      <c r="B4774" s="10" t="s">
        <v>4956</v>
      </c>
    </row>
    <row r="4775" spans="2:2">
      <c r="B4775" s="10" t="s">
        <v>4957</v>
      </c>
    </row>
    <row r="4776" spans="2:2">
      <c r="B4776" s="10" t="s">
        <v>4958</v>
      </c>
    </row>
    <row r="4777" spans="2:2">
      <c r="B4777" s="10" t="s">
        <v>4959</v>
      </c>
    </row>
    <row r="4778" spans="2:2">
      <c r="B4778" s="10" t="s">
        <v>4960</v>
      </c>
    </row>
    <row r="4779" spans="2:2">
      <c r="B4779" s="10" t="s">
        <v>4961</v>
      </c>
    </row>
    <row r="4780" spans="2:2">
      <c r="B4780" s="10" t="s">
        <v>4962</v>
      </c>
    </row>
    <row r="4781" spans="2:2">
      <c r="B4781" s="10" t="s">
        <v>4963</v>
      </c>
    </row>
    <row r="4782" spans="2:2">
      <c r="B4782" s="10" t="s">
        <v>4964</v>
      </c>
    </row>
    <row r="4783" spans="2:2">
      <c r="B4783" s="10" t="s">
        <v>4965</v>
      </c>
    </row>
    <row r="4784" spans="2:2">
      <c r="B4784" s="10" t="s">
        <v>4966</v>
      </c>
    </row>
    <row r="4785" spans="2:2">
      <c r="B4785" s="10" t="s">
        <v>4967</v>
      </c>
    </row>
    <row r="4786" spans="2:2">
      <c r="B4786" s="10" t="s">
        <v>4968</v>
      </c>
    </row>
    <row r="4787" spans="2:2">
      <c r="B4787" s="10" t="s">
        <v>4969</v>
      </c>
    </row>
    <row r="4788" spans="2:2">
      <c r="B4788" s="10" t="s">
        <v>4970</v>
      </c>
    </row>
    <row r="4789" spans="2:2">
      <c r="B4789" s="10" t="s">
        <v>4971</v>
      </c>
    </row>
    <row r="4790" spans="2:2">
      <c r="B4790" s="10" t="s">
        <v>4972</v>
      </c>
    </row>
    <row r="4791" spans="2:2">
      <c r="B4791" s="10" t="s">
        <v>4973</v>
      </c>
    </row>
    <row r="4792" spans="2:2">
      <c r="B4792" s="10" t="s">
        <v>4974</v>
      </c>
    </row>
    <row r="4793" spans="2:2">
      <c r="B4793" s="10" t="s">
        <v>4975</v>
      </c>
    </row>
    <row r="4794" spans="2:2">
      <c r="B4794" s="10" t="s">
        <v>4976</v>
      </c>
    </row>
    <row r="4795" spans="2:2">
      <c r="B4795" s="10" t="s">
        <v>4977</v>
      </c>
    </row>
    <row r="4796" spans="2:2">
      <c r="B4796" s="10" t="s">
        <v>4978</v>
      </c>
    </row>
    <row r="4797" spans="2:2">
      <c r="B4797" s="10" t="s">
        <v>4979</v>
      </c>
    </row>
  </sheetData>
  <conditionalFormatting sqref="B15:B18">
    <cfRule type="expression" dxfId="1" priority="1">
      <formula>$D$14="NIE"</formula>
    </cfRule>
  </conditionalFormatting>
  <dataValidations count="1">
    <dataValidation type="list" allowBlank="1" showInputMessage="1" showErrorMessage="1" sqref="D14" xr:uid="{00000000-0002-0000-0500-000000000000}">
      <formula1>"TAK,NIE"</formula1>
    </dataValidation>
  </dataValidations>
  <hyperlinks>
    <hyperlink ref="D12" r:id="rId1" xr:uid="{00000000-0004-0000-0500-000000000000}"/>
  </hyperlinks>
  <pageMargins left="0.75" right="0.75" top="1" bottom="1" header="0.5" footer="0.5"/>
  <pageSetup paperSize="9" orientation="portrait" horizontalDpi="4294967293" r:id="rId2"/>
  <headerFooter alignWithMargins="0"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06"/>
  <dimension ref="B2:I2942"/>
  <sheetViews>
    <sheetView workbookViewId="0"/>
  </sheetViews>
  <sheetFormatPr defaultColWidth="9.109375" defaultRowHeight="13.2"/>
  <cols>
    <col min="1" max="4" width="9.109375" style="10"/>
    <col min="5" max="5" width="38.5546875" style="10" bestFit="1" customWidth="1"/>
    <col min="6" max="6" width="7.109375" style="10" bestFit="1" customWidth="1"/>
    <col min="7" max="7" width="12.109375" style="10" bestFit="1" customWidth="1"/>
    <col min="8" max="8" width="9.109375" style="10"/>
    <col min="9" max="9" width="15.5546875" style="10" bestFit="1" customWidth="1"/>
    <col min="10" max="16384" width="9.109375" style="10"/>
  </cols>
  <sheetData>
    <row r="2" spans="2:4" ht="12.75" customHeight="1">
      <c r="B2" s="9"/>
    </row>
    <row r="4" spans="2:4" ht="12.75" customHeight="1">
      <c r="B4" s="10" t="s">
        <v>4980</v>
      </c>
    </row>
    <row r="5" spans="2:4" ht="12.75" customHeight="1">
      <c r="B5" s="10" t="s">
        <v>4981</v>
      </c>
    </row>
    <row r="6" spans="2:4" ht="12.75" customHeight="1">
      <c r="B6" s="10" t="s">
        <v>4982</v>
      </c>
    </row>
    <row r="7" spans="2:4" ht="12.75" customHeight="1"/>
    <row r="8" spans="2:4" ht="12.75" customHeight="1">
      <c r="B8" s="10" t="s">
        <v>197</v>
      </c>
      <c r="C8" s="12"/>
      <c r="D8" s="125" t="s">
        <v>198</v>
      </c>
    </row>
    <row r="9" spans="2:4" ht="12.75" customHeight="1"/>
    <row r="10" spans="2:4" ht="12.75" hidden="1" customHeight="1">
      <c r="B10" s="10" t="s">
        <v>4983</v>
      </c>
    </row>
    <row r="11" spans="2:4" ht="12.75" hidden="1" customHeight="1">
      <c r="B11" s="11" t="s">
        <v>4984</v>
      </c>
    </row>
    <row r="12" spans="2:4" hidden="1">
      <c r="B12" s="11" t="s">
        <v>4985</v>
      </c>
    </row>
    <row r="13" spans="2:4" ht="12.75" hidden="1" customHeight="1">
      <c r="B13" s="11" t="s">
        <v>4986</v>
      </c>
    </row>
    <row r="14" spans="2:4" ht="12.75" hidden="1" customHeight="1">
      <c r="B14" s="11" t="s">
        <v>4987</v>
      </c>
    </row>
    <row r="15" spans="2:4" ht="12.75" hidden="1" customHeight="1">
      <c r="B15" s="10" t="s">
        <v>4988</v>
      </c>
    </row>
    <row r="16" spans="2:4" ht="12.75" hidden="1" customHeight="1">
      <c r="B16" s="10" t="s">
        <v>4989</v>
      </c>
    </row>
    <row r="17" spans="2:9" ht="12.75" customHeight="1"/>
    <row r="18" spans="2:9" ht="12.75" customHeight="1">
      <c r="B18" s="10" t="s">
        <v>4990</v>
      </c>
    </row>
    <row r="21" spans="2:9" ht="13.8">
      <c r="B21" s="126" t="s">
        <v>4991</v>
      </c>
      <c r="C21" s="126" t="s">
        <v>4992</v>
      </c>
      <c r="D21" s="126" t="s">
        <v>4993</v>
      </c>
      <c r="E21" s="126" t="s">
        <v>4994</v>
      </c>
      <c r="F21" s="126" t="s">
        <v>4995</v>
      </c>
      <c r="G21" s="127" t="s">
        <v>4996</v>
      </c>
      <c r="H21" s="128"/>
      <c r="I21" s="127" t="s">
        <v>4997</v>
      </c>
    </row>
    <row r="22" spans="2:9" ht="13.8">
      <c r="B22" s="126"/>
      <c r="C22" s="126"/>
      <c r="D22" s="126"/>
      <c r="E22" s="126"/>
      <c r="F22" s="126"/>
      <c r="G22" s="126" t="s">
        <v>4998</v>
      </c>
      <c r="H22" s="126" t="s">
        <v>4999</v>
      </c>
      <c r="I22" s="127"/>
    </row>
    <row r="23" spans="2:9">
      <c r="B23" s="129">
        <v>1</v>
      </c>
      <c r="C23" s="130" t="s">
        <v>5000</v>
      </c>
      <c r="D23" s="130" t="s">
        <v>5001</v>
      </c>
      <c r="E23" s="131" t="s">
        <v>5002</v>
      </c>
      <c r="F23" s="131" t="s">
        <v>5003</v>
      </c>
      <c r="G23" s="132">
        <v>1000</v>
      </c>
      <c r="H23" s="130">
        <v>10000</v>
      </c>
      <c r="I23" s="133" t="s">
        <v>5004</v>
      </c>
    </row>
    <row r="24" spans="2:9">
      <c r="B24" s="129"/>
      <c r="C24" s="130"/>
      <c r="D24" s="130"/>
      <c r="E24" s="130"/>
      <c r="F24" s="131"/>
      <c r="G24" s="130"/>
      <c r="H24" s="130"/>
      <c r="I24" s="130"/>
    </row>
    <row r="25" spans="2:9">
      <c r="B25" s="129"/>
      <c r="C25" s="130"/>
      <c r="D25" s="130"/>
      <c r="E25" s="131"/>
      <c r="F25" s="131"/>
      <c r="G25" s="132"/>
      <c r="H25" s="130"/>
      <c r="I25" s="133"/>
    </row>
    <row r="26" spans="2:9">
      <c r="B26" s="129">
        <v>2</v>
      </c>
      <c r="C26" s="130" t="s">
        <v>5005</v>
      </c>
      <c r="D26" s="130" t="s">
        <v>5006</v>
      </c>
      <c r="E26" s="131" t="s">
        <v>5007</v>
      </c>
      <c r="F26" s="131" t="s">
        <v>5008</v>
      </c>
      <c r="G26" s="130">
        <v>500</v>
      </c>
      <c r="H26" s="130">
        <v>5000</v>
      </c>
      <c r="I26" s="130" t="s">
        <v>5004</v>
      </c>
    </row>
    <row r="27" spans="2:9">
      <c r="B27" s="129"/>
      <c r="C27" s="130"/>
      <c r="D27" s="130"/>
      <c r="E27" s="131"/>
      <c r="F27" s="131"/>
      <c r="G27" s="132"/>
      <c r="H27" s="130"/>
      <c r="I27" s="133"/>
    </row>
    <row r="28" spans="2:9">
      <c r="B28" s="129"/>
      <c r="C28" s="130"/>
      <c r="D28" s="130"/>
      <c r="E28" s="131"/>
      <c r="F28" s="131"/>
      <c r="G28" s="130"/>
      <c r="H28" s="130"/>
      <c r="I28" s="130"/>
    </row>
    <row r="29" spans="2:9">
      <c r="B29" s="129">
        <v>3</v>
      </c>
      <c r="C29" s="130" t="s">
        <v>5009</v>
      </c>
      <c r="D29" s="130" t="s">
        <v>5010</v>
      </c>
      <c r="E29" s="131" t="s">
        <v>5011</v>
      </c>
      <c r="F29" s="131" t="s">
        <v>5012</v>
      </c>
      <c r="G29" s="132">
        <v>0</v>
      </c>
      <c r="H29" s="130">
        <v>10000</v>
      </c>
      <c r="I29" s="133" t="s">
        <v>5013</v>
      </c>
    </row>
    <row r="30" spans="2:9">
      <c r="B30" s="129"/>
      <c r="C30" s="130"/>
      <c r="D30" s="130"/>
      <c r="E30" s="131"/>
      <c r="F30" s="131"/>
      <c r="G30" s="130"/>
      <c r="H30" s="130"/>
      <c r="I30" s="130"/>
    </row>
    <row r="31" spans="2:9">
      <c r="B31" s="129"/>
      <c r="C31" s="130"/>
      <c r="D31" s="130"/>
      <c r="E31" s="131"/>
      <c r="F31" s="131"/>
      <c r="G31" s="132"/>
      <c r="H31" s="130"/>
      <c r="I31" s="133"/>
    </row>
    <row r="32" spans="2:9">
      <c r="B32" s="129">
        <v>4</v>
      </c>
      <c r="C32" s="130" t="s">
        <v>5014</v>
      </c>
      <c r="D32" s="130" t="s">
        <v>5015</v>
      </c>
      <c r="E32" s="131" t="s">
        <v>5016</v>
      </c>
      <c r="F32" s="131" t="s">
        <v>5008</v>
      </c>
      <c r="G32" s="130">
        <v>1000</v>
      </c>
      <c r="H32" s="130">
        <v>10000</v>
      </c>
      <c r="I32" s="130" t="s">
        <v>5004</v>
      </c>
    </row>
    <row r="33" spans="2:9">
      <c r="B33" s="129"/>
      <c r="C33" s="130"/>
      <c r="D33" s="130"/>
      <c r="E33" s="131"/>
      <c r="F33" s="131"/>
      <c r="G33" s="132"/>
      <c r="H33" s="130"/>
      <c r="I33" s="133"/>
    </row>
    <row r="34" spans="2:9">
      <c r="B34" s="129"/>
      <c r="C34" s="130"/>
      <c r="D34" s="130"/>
      <c r="E34" s="131"/>
      <c r="F34" s="131"/>
      <c r="G34" s="130"/>
      <c r="H34" s="130"/>
      <c r="I34" s="130"/>
    </row>
    <row r="35" spans="2:9">
      <c r="B35" s="129">
        <v>5</v>
      </c>
      <c r="C35" s="130" t="s">
        <v>5017</v>
      </c>
      <c r="D35" s="130" t="s">
        <v>5018</v>
      </c>
      <c r="E35" s="131" t="s">
        <v>5019</v>
      </c>
      <c r="F35" s="131" t="s">
        <v>5020</v>
      </c>
      <c r="G35" s="132">
        <v>10000</v>
      </c>
      <c r="H35" s="130">
        <v>500000</v>
      </c>
      <c r="I35" s="133" t="s">
        <v>5004</v>
      </c>
    </row>
    <row r="36" spans="2:9">
      <c r="B36" s="129"/>
      <c r="C36" s="130"/>
      <c r="D36" s="130"/>
      <c r="E36" s="131"/>
      <c r="F36" s="131"/>
      <c r="G36" s="130"/>
      <c r="H36" s="130"/>
      <c r="I36" s="130"/>
    </row>
    <row r="37" spans="2:9">
      <c r="B37" s="129"/>
      <c r="C37" s="130"/>
      <c r="D37" s="130"/>
      <c r="E37" s="131"/>
      <c r="F37" s="131"/>
      <c r="G37" s="132"/>
      <c r="H37" s="130"/>
      <c r="I37" s="133"/>
    </row>
    <row r="38" spans="2:9">
      <c r="B38" s="129">
        <v>6</v>
      </c>
      <c r="C38" s="130" t="s">
        <v>5021</v>
      </c>
      <c r="D38" s="130" t="s">
        <v>5022</v>
      </c>
      <c r="E38" s="131" t="s">
        <v>5023</v>
      </c>
      <c r="F38" s="131" t="s">
        <v>5003</v>
      </c>
      <c r="G38" s="130">
        <v>500</v>
      </c>
      <c r="H38" s="130">
        <v>15000</v>
      </c>
      <c r="I38" s="130" t="s">
        <v>5013</v>
      </c>
    </row>
    <row r="39" spans="2:9">
      <c r="B39" s="129"/>
      <c r="C39" s="130"/>
      <c r="D39" s="130"/>
      <c r="E39" s="131"/>
      <c r="F39" s="131"/>
      <c r="G39" s="132"/>
      <c r="H39" s="130"/>
      <c r="I39" s="133"/>
    </row>
    <row r="40" spans="2:9">
      <c r="B40" s="129"/>
      <c r="C40" s="130"/>
      <c r="D40" s="130"/>
      <c r="E40" s="131"/>
      <c r="F40" s="131"/>
      <c r="G40" s="130"/>
      <c r="H40" s="130"/>
      <c r="I40" s="130"/>
    </row>
    <row r="41" spans="2:9">
      <c r="B41" s="129">
        <v>7</v>
      </c>
      <c r="C41" s="130" t="s">
        <v>5024</v>
      </c>
      <c r="D41" s="130" t="s">
        <v>5022</v>
      </c>
      <c r="E41" s="131" t="s">
        <v>5025</v>
      </c>
      <c r="F41" s="131" t="s">
        <v>5026</v>
      </c>
      <c r="G41" s="132">
        <v>3000</v>
      </c>
      <c r="H41" s="130">
        <v>2000000</v>
      </c>
      <c r="I41" s="133" t="s">
        <v>5004</v>
      </c>
    </row>
    <row r="42" spans="2:9">
      <c r="B42" s="129"/>
      <c r="C42" s="130"/>
      <c r="D42" s="130"/>
      <c r="E42" s="131"/>
      <c r="F42" s="131"/>
      <c r="G42" s="130"/>
      <c r="H42" s="130"/>
      <c r="I42" s="130"/>
    </row>
    <row r="43" spans="2:9">
      <c r="B43" s="129"/>
      <c r="C43" s="130"/>
      <c r="D43" s="130"/>
      <c r="E43" s="130"/>
      <c r="F43" s="130"/>
      <c r="G43" s="130"/>
      <c r="H43" s="130"/>
      <c r="I43" s="130"/>
    </row>
    <row r="44" spans="2:9">
      <c r="B44" s="129">
        <v>8</v>
      </c>
      <c r="C44" s="130" t="s">
        <v>5005</v>
      </c>
      <c r="D44" s="130" t="s">
        <v>5022</v>
      </c>
      <c r="E44" s="131" t="s">
        <v>5007</v>
      </c>
      <c r="F44" s="131" t="s">
        <v>5008</v>
      </c>
      <c r="G44" s="132">
        <v>5001</v>
      </c>
      <c r="H44" s="130">
        <v>10000</v>
      </c>
      <c r="I44" s="133" t="s">
        <v>5004</v>
      </c>
    </row>
    <row r="45" spans="2:9">
      <c r="B45" s="129"/>
      <c r="C45" s="130"/>
      <c r="D45" s="130"/>
      <c r="E45" s="131"/>
      <c r="F45" s="131"/>
      <c r="G45" s="130"/>
      <c r="H45" s="130"/>
      <c r="I45" s="130"/>
    </row>
    <row r="46" spans="2:9">
      <c r="B46" s="129"/>
      <c r="C46" s="130"/>
      <c r="D46" s="130"/>
      <c r="E46" s="131"/>
      <c r="F46" s="131"/>
      <c r="G46" s="132"/>
      <c r="H46" s="130"/>
      <c r="I46" s="133"/>
    </row>
    <row r="47" spans="2:9">
      <c r="B47" s="129">
        <v>9</v>
      </c>
      <c r="C47" s="130" t="s">
        <v>5027</v>
      </c>
      <c r="D47" s="130" t="s">
        <v>5022</v>
      </c>
      <c r="E47" s="131" t="s">
        <v>5028</v>
      </c>
      <c r="F47" s="131" t="s">
        <v>5012</v>
      </c>
      <c r="G47" s="130">
        <v>0</v>
      </c>
      <c r="H47" s="130">
        <v>5000</v>
      </c>
      <c r="I47" s="130" t="s">
        <v>5029</v>
      </c>
    </row>
    <row r="48" spans="2:9">
      <c r="B48" s="129"/>
      <c r="C48" s="130"/>
      <c r="D48" s="130"/>
      <c r="E48" s="131"/>
      <c r="F48" s="131"/>
      <c r="G48" s="132"/>
      <c r="H48" s="130"/>
      <c r="I48" s="133"/>
    </row>
    <row r="49" spans="2:9">
      <c r="B49" s="129"/>
      <c r="C49" s="130"/>
      <c r="D49" s="130"/>
      <c r="E49" s="131"/>
      <c r="F49" s="131"/>
      <c r="G49" s="130"/>
      <c r="H49" s="130"/>
      <c r="I49" s="130"/>
    </row>
    <row r="50" spans="2:9">
      <c r="B50" s="129">
        <v>10</v>
      </c>
      <c r="C50" s="130" t="s">
        <v>5024</v>
      </c>
      <c r="D50" s="130" t="s">
        <v>5030</v>
      </c>
      <c r="E50" s="131" t="s">
        <v>5025</v>
      </c>
      <c r="F50" s="131" t="s">
        <v>5031</v>
      </c>
      <c r="G50" s="132">
        <v>3000</v>
      </c>
      <c r="H50" s="130">
        <v>2000000</v>
      </c>
      <c r="I50" s="133" t="s">
        <v>5004</v>
      </c>
    </row>
    <row r="51" spans="2:9">
      <c r="B51" s="129"/>
      <c r="C51" s="130"/>
      <c r="D51" s="130"/>
      <c r="E51" s="131"/>
      <c r="F51" s="131"/>
      <c r="G51" s="130"/>
      <c r="H51" s="130"/>
      <c r="I51" s="130"/>
    </row>
    <row r="52" spans="2:9">
      <c r="B52" s="129"/>
      <c r="C52" s="130"/>
      <c r="D52" s="130"/>
      <c r="E52" s="131"/>
      <c r="F52" s="131"/>
      <c r="G52" s="132"/>
      <c r="H52" s="130"/>
      <c r="I52" s="133"/>
    </row>
    <row r="53" spans="2:9">
      <c r="B53" s="129">
        <v>11</v>
      </c>
      <c r="C53" s="130" t="s">
        <v>5024</v>
      </c>
      <c r="D53" s="130" t="s">
        <v>5032</v>
      </c>
      <c r="E53" s="131" t="s">
        <v>5025</v>
      </c>
      <c r="F53" s="131" t="s">
        <v>5033</v>
      </c>
      <c r="G53" s="130">
        <v>3000</v>
      </c>
      <c r="H53" s="130">
        <v>2000000</v>
      </c>
      <c r="I53" s="130" t="s">
        <v>5004</v>
      </c>
    </row>
    <row r="54" spans="2:9">
      <c r="B54" s="129"/>
      <c r="C54" s="130"/>
      <c r="D54" s="130"/>
      <c r="E54" s="131"/>
      <c r="F54" s="131"/>
      <c r="G54" s="132"/>
      <c r="H54" s="130"/>
      <c r="I54" s="133"/>
    </row>
    <row r="55" spans="2:9">
      <c r="B55" s="129"/>
      <c r="C55" s="130"/>
      <c r="D55" s="130"/>
      <c r="E55" s="131"/>
      <c r="F55" s="131"/>
      <c r="G55" s="130"/>
      <c r="H55" s="130"/>
      <c r="I55" s="130"/>
    </row>
    <row r="56" spans="2:9">
      <c r="B56" s="129">
        <v>12</v>
      </c>
      <c r="C56" s="130" t="s">
        <v>5034</v>
      </c>
      <c r="D56" s="130" t="s">
        <v>5035</v>
      </c>
      <c r="E56" s="131" t="s">
        <v>5036</v>
      </c>
      <c r="F56" s="131" t="s">
        <v>5031</v>
      </c>
      <c r="G56" s="132">
        <v>1000</v>
      </c>
      <c r="H56" s="130">
        <v>9999</v>
      </c>
      <c r="I56" s="133" t="s">
        <v>5004</v>
      </c>
    </row>
    <row r="57" spans="2:9">
      <c r="B57" s="129"/>
      <c r="C57" s="130"/>
      <c r="D57" s="130"/>
      <c r="E57" s="131"/>
      <c r="F57" s="131"/>
      <c r="G57" s="130"/>
      <c r="H57" s="130"/>
      <c r="I57" s="130"/>
    </row>
    <row r="58" spans="2:9">
      <c r="B58" s="129"/>
      <c r="C58" s="130"/>
      <c r="D58" s="130"/>
      <c r="E58" s="131"/>
      <c r="F58" s="131"/>
      <c r="G58" s="132"/>
      <c r="H58" s="130"/>
      <c r="I58" s="133"/>
    </row>
    <row r="59" spans="2:9">
      <c r="B59" s="129">
        <v>13</v>
      </c>
      <c r="C59" s="130" t="s">
        <v>5034</v>
      </c>
      <c r="D59" s="130" t="s">
        <v>5035</v>
      </c>
      <c r="E59" s="131" t="s">
        <v>5036</v>
      </c>
      <c r="F59" s="131" t="s">
        <v>5031</v>
      </c>
      <c r="G59" s="130">
        <v>10000</v>
      </c>
      <c r="H59" s="130" t="s">
        <v>5037</v>
      </c>
      <c r="I59" s="130" t="s">
        <v>5004</v>
      </c>
    </row>
    <row r="60" spans="2:9">
      <c r="B60" s="129"/>
      <c r="C60" s="130"/>
      <c r="D60" s="130"/>
      <c r="E60" s="131"/>
      <c r="F60" s="131"/>
      <c r="G60" s="132"/>
      <c r="H60" s="130"/>
      <c r="I60" s="133"/>
    </row>
    <row r="61" spans="2:9">
      <c r="B61" s="129"/>
      <c r="C61" s="130"/>
      <c r="D61" s="130"/>
      <c r="E61" s="131"/>
      <c r="F61" s="131"/>
      <c r="G61" s="130"/>
      <c r="H61" s="130"/>
      <c r="I61" s="130"/>
    </row>
    <row r="62" spans="2:9">
      <c r="B62" s="129">
        <v>14</v>
      </c>
      <c r="C62" s="130" t="s">
        <v>5034</v>
      </c>
      <c r="D62" s="130" t="s">
        <v>5035</v>
      </c>
      <c r="E62" s="131" t="s">
        <v>5036</v>
      </c>
      <c r="F62" s="131" t="s">
        <v>5038</v>
      </c>
      <c r="G62" s="132">
        <v>1000</v>
      </c>
      <c r="H62" s="130">
        <v>9999</v>
      </c>
      <c r="I62" s="133" t="s">
        <v>5004</v>
      </c>
    </row>
    <row r="63" spans="2:9">
      <c r="B63" s="129"/>
      <c r="C63" s="130"/>
      <c r="D63" s="130"/>
      <c r="E63" s="131"/>
      <c r="F63" s="131"/>
      <c r="G63" s="130"/>
      <c r="H63" s="130"/>
      <c r="I63" s="130"/>
    </row>
    <row r="64" spans="2:9">
      <c r="B64" s="129"/>
      <c r="C64" s="130"/>
      <c r="D64" s="130"/>
      <c r="E64" s="131"/>
      <c r="F64" s="131"/>
      <c r="G64" s="132"/>
      <c r="H64" s="130"/>
      <c r="I64" s="133"/>
    </row>
    <row r="65" spans="2:9">
      <c r="B65" s="129">
        <v>15</v>
      </c>
      <c r="C65" s="130" t="s">
        <v>5034</v>
      </c>
      <c r="D65" s="130" t="s">
        <v>5035</v>
      </c>
      <c r="E65" s="131" t="s">
        <v>5036</v>
      </c>
      <c r="F65" s="131" t="s">
        <v>5038</v>
      </c>
      <c r="G65" s="130">
        <v>10000</v>
      </c>
      <c r="H65" s="130" t="s">
        <v>5037</v>
      </c>
      <c r="I65" s="130" t="s">
        <v>5004</v>
      </c>
    </row>
    <row r="66" spans="2:9">
      <c r="B66" s="129"/>
      <c r="C66" s="130"/>
      <c r="D66" s="130"/>
      <c r="E66" s="131"/>
      <c r="F66" s="131"/>
      <c r="G66" s="132"/>
      <c r="H66" s="130"/>
      <c r="I66" s="133"/>
    </row>
    <row r="67" spans="2:9">
      <c r="B67" s="129"/>
      <c r="C67" s="130"/>
      <c r="D67" s="130"/>
      <c r="E67" s="131"/>
      <c r="F67" s="131"/>
      <c r="G67" s="130"/>
      <c r="H67" s="130"/>
      <c r="I67" s="130"/>
    </row>
    <row r="68" spans="2:9">
      <c r="B68" s="129">
        <v>16</v>
      </c>
      <c r="C68" s="130" t="s">
        <v>5034</v>
      </c>
      <c r="D68" s="130" t="s">
        <v>5035</v>
      </c>
      <c r="E68" s="131" t="s">
        <v>5036</v>
      </c>
      <c r="F68" s="131" t="s">
        <v>5039</v>
      </c>
      <c r="G68" s="132">
        <v>1000</v>
      </c>
      <c r="H68" s="130">
        <v>9999</v>
      </c>
      <c r="I68" s="133" t="s">
        <v>5004</v>
      </c>
    </row>
    <row r="69" spans="2:9">
      <c r="B69" s="129"/>
      <c r="C69" s="130"/>
      <c r="D69" s="130"/>
      <c r="E69" s="131"/>
      <c r="F69" s="131"/>
      <c r="G69" s="130"/>
      <c r="H69" s="130"/>
      <c r="I69" s="130"/>
    </row>
    <row r="70" spans="2:9">
      <c r="B70" s="129"/>
      <c r="C70" s="130"/>
      <c r="D70" s="130"/>
      <c r="E70" s="131"/>
      <c r="F70" s="131"/>
      <c r="G70" s="132"/>
      <c r="H70" s="130"/>
      <c r="I70" s="133"/>
    </row>
    <row r="71" spans="2:9">
      <c r="B71" s="129">
        <v>17</v>
      </c>
      <c r="C71" s="130" t="s">
        <v>5034</v>
      </c>
      <c r="D71" s="130" t="s">
        <v>5035</v>
      </c>
      <c r="E71" s="131" t="s">
        <v>5036</v>
      </c>
      <c r="F71" s="131" t="s">
        <v>5039</v>
      </c>
      <c r="G71" s="130">
        <v>10000</v>
      </c>
      <c r="H71" s="130" t="s">
        <v>5037</v>
      </c>
      <c r="I71" s="130" t="s">
        <v>5004</v>
      </c>
    </row>
    <row r="72" spans="2:9">
      <c r="B72" s="129"/>
      <c r="C72" s="130"/>
      <c r="D72" s="130"/>
      <c r="E72" s="131"/>
      <c r="F72" s="131"/>
      <c r="G72" s="132"/>
      <c r="H72" s="130"/>
      <c r="I72" s="133"/>
    </row>
    <row r="73" spans="2:9">
      <c r="B73" s="129"/>
      <c r="C73" s="130"/>
      <c r="D73" s="130"/>
      <c r="E73" s="131"/>
      <c r="F73" s="131"/>
      <c r="G73" s="130"/>
      <c r="H73" s="130"/>
      <c r="I73" s="130"/>
    </row>
    <row r="74" spans="2:9">
      <c r="B74" s="129">
        <v>18</v>
      </c>
      <c r="C74" s="130" t="s">
        <v>5034</v>
      </c>
      <c r="D74" s="130" t="s">
        <v>5035</v>
      </c>
      <c r="E74" s="131" t="s">
        <v>5036</v>
      </c>
      <c r="F74" s="131" t="s">
        <v>5026</v>
      </c>
      <c r="G74" s="132">
        <v>1000</v>
      </c>
      <c r="H74" s="130">
        <v>9999</v>
      </c>
      <c r="I74" s="133" t="s">
        <v>5004</v>
      </c>
    </row>
    <row r="75" spans="2:9">
      <c r="B75" s="129"/>
      <c r="C75" s="130"/>
      <c r="D75" s="130"/>
      <c r="E75" s="131"/>
      <c r="F75" s="131"/>
      <c r="G75" s="130"/>
      <c r="H75" s="130"/>
      <c r="I75" s="130"/>
    </row>
    <row r="76" spans="2:9">
      <c r="B76" s="129"/>
      <c r="C76" s="130"/>
      <c r="D76" s="130"/>
      <c r="E76" s="131"/>
      <c r="F76" s="131"/>
      <c r="G76" s="132"/>
      <c r="H76" s="130"/>
      <c r="I76" s="133"/>
    </row>
    <row r="77" spans="2:9">
      <c r="B77" s="129">
        <v>19</v>
      </c>
      <c r="C77" s="130" t="s">
        <v>5034</v>
      </c>
      <c r="D77" s="130" t="s">
        <v>5035</v>
      </c>
      <c r="E77" s="131" t="s">
        <v>5036</v>
      </c>
      <c r="F77" s="131" t="s">
        <v>5026</v>
      </c>
      <c r="G77" s="130">
        <v>10000</v>
      </c>
      <c r="H77" s="130" t="s">
        <v>5037</v>
      </c>
      <c r="I77" s="130" t="s">
        <v>5004</v>
      </c>
    </row>
    <row r="78" spans="2:9">
      <c r="B78" s="129"/>
      <c r="C78" s="130"/>
      <c r="D78" s="130"/>
      <c r="E78" s="131"/>
      <c r="F78" s="131"/>
      <c r="G78" s="132"/>
      <c r="H78" s="130"/>
      <c r="I78" s="133"/>
    </row>
    <row r="79" spans="2:9">
      <c r="B79" s="129"/>
      <c r="C79" s="130"/>
      <c r="D79" s="130"/>
      <c r="E79" s="131"/>
      <c r="F79" s="131"/>
      <c r="G79" s="130"/>
      <c r="H79" s="130"/>
      <c r="I79" s="130"/>
    </row>
    <row r="80" spans="2:9">
      <c r="B80" s="129">
        <v>20</v>
      </c>
      <c r="C80" s="130" t="s">
        <v>5000</v>
      </c>
      <c r="D80" s="130" t="s">
        <v>5040</v>
      </c>
      <c r="E80" s="131" t="s">
        <v>5041</v>
      </c>
      <c r="F80" s="131" t="s">
        <v>5008</v>
      </c>
      <c r="G80" s="132">
        <v>10000</v>
      </c>
      <c r="H80" s="130">
        <v>1000000</v>
      </c>
      <c r="I80" s="133" t="s">
        <v>5004</v>
      </c>
    </row>
    <row r="81" spans="2:9">
      <c r="B81" s="129"/>
      <c r="C81" s="130"/>
      <c r="D81" s="130"/>
      <c r="E81" s="131"/>
      <c r="F81" s="131"/>
      <c r="G81" s="130"/>
      <c r="H81" s="130"/>
      <c r="I81" s="130"/>
    </row>
    <row r="82" spans="2:9">
      <c r="B82" s="129"/>
      <c r="C82" s="130"/>
      <c r="D82" s="130"/>
      <c r="E82" s="131"/>
      <c r="F82" s="131"/>
      <c r="G82" s="132"/>
      <c r="H82" s="130"/>
      <c r="I82" s="133"/>
    </row>
    <row r="83" spans="2:9">
      <c r="B83" s="129">
        <v>21</v>
      </c>
      <c r="C83" s="130" t="s">
        <v>5024</v>
      </c>
      <c r="D83" s="130" t="s">
        <v>5042</v>
      </c>
      <c r="E83" s="131" t="s">
        <v>5025</v>
      </c>
      <c r="F83" s="131" t="s">
        <v>5043</v>
      </c>
      <c r="G83" s="130">
        <v>3000</v>
      </c>
      <c r="H83" s="130">
        <v>2000000</v>
      </c>
      <c r="I83" s="130" t="s">
        <v>5004</v>
      </c>
    </row>
    <row r="84" spans="2:9">
      <c r="B84" s="129"/>
      <c r="C84" s="130"/>
      <c r="D84" s="130"/>
      <c r="E84" s="131"/>
      <c r="F84" s="131"/>
      <c r="G84" s="132"/>
      <c r="H84" s="130"/>
      <c r="I84" s="133"/>
    </row>
    <row r="85" spans="2:9">
      <c r="B85" s="129"/>
      <c r="C85" s="130"/>
      <c r="D85" s="130"/>
      <c r="E85" s="131"/>
      <c r="F85" s="131"/>
      <c r="G85" s="130"/>
      <c r="H85" s="130"/>
      <c r="I85" s="130"/>
    </row>
    <row r="86" spans="2:9">
      <c r="B86" s="129">
        <v>22</v>
      </c>
      <c r="C86" s="130" t="s">
        <v>5044</v>
      </c>
      <c r="D86" s="130" t="s">
        <v>5045</v>
      </c>
      <c r="E86" s="131" t="s">
        <v>5046</v>
      </c>
      <c r="F86" s="131" t="s">
        <v>5026</v>
      </c>
      <c r="G86" s="132">
        <v>50000</v>
      </c>
      <c r="H86" s="130" t="s">
        <v>5037</v>
      </c>
      <c r="I86" s="133" t="s">
        <v>5004</v>
      </c>
    </row>
    <row r="87" spans="2:9">
      <c r="B87" s="129"/>
      <c r="C87" s="130"/>
      <c r="D87" s="130"/>
      <c r="E87" s="131"/>
      <c r="F87" s="131"/>
      <c r="G87" s="130"/>
      <c r="H87" s="130"/>
      <c r="I87" s="130"/>
    </row>
    <row r="88" spans="2:9">
      <c r="B88" s="129"/>
      <c r="C88" s="130"/>
      <c r="D88" s="130"/>
      <c r="E88" s="131"/>
      <c r="F88" s="131"/>
      <c r="G88" s="132"/>
      <c r="H88" s="130"/>
      <c r="I88" s="133"/>
    </row>
    <row r="89" spans="2:9">
      <c r="B89" s="129">
        <v>23</v>
      </c>
      <c r="C89" s="130" t="s">
        <v>5047</v>
      </c>
      <c r="D89" s="130" t="s">
        <v>5048</v>
      </c>
      <c r="E89" s="131" t="s">
        <v>5049</v>
      </c>
      <c r="F89" s="131" t="s">
        <v>5050</v>
      </c>
      <c r="G89" s="130">
        <v>1000</v>
      </c>
      <c r="H89" s="130">
        <v>20000</v>
      </c>
      <c r="I89" s="130" t="s">
        <v>5004</v>
      </c>
    </row>
    <row r="90" spans="2:9">
      <c r="B90" s="129"/>
      <c r="C90" s="130"/>
      <c r="D90" s="130"/>
      <c r="E90" s="131"/>
      <c r="F90" s="131"/>
      <c r="G90" s="132"/>
      <c r="H90" s="130"/>
      <c r="I90" s="133"/>
    </row>
    <row r="91" spans="2:9">
      <c r="B91" s="129"/>
      <c r="C91" s="130"/>
      <c r="D91" s="130"/>
      <c r="E91" s="131"/>
      <c r="F91" s="131"/>
      <c r="G91" s="130"/>
      <c r="H91" s="130"/>
      <c r="I91" s="130"/>
    </row>
    <row r="92" spans="2:9">
      <c r="B92" s="129">
        <v>24</v>
      </c>
      <c r="C92" s="130" t="s">
        <v>5044</v>
      </c>
      <c r="D92" s="130" t="s">
        <v>5048</v>
      </c>
      <c r="E92" s="131" t="s">
        <v>5046</v>
      </c>
      <c r="F92" s="131" t="s">
        <v>5033</v>
      </c>
      <c r="G92" s="132">
        <v>50000</v>
      </c>
      <c r="H92" s="130" t="s">
        <v>5037</v>
      </c>
      <c r="I92" s="133" t="s">
        <v>5004</v>
      </c>
    </row>
    <row r="93" spans="2:9">
      <c r="B93" s="129"/>
      <c r="C93" s="130"/>
      <c r="D93" s="130"/>
      <c r="E93" s="131"/>
      <c r="F93" s="131"/>
      <c r="G93" s="130"/>
      <c r="H93" s="130"/>
      <c r="I93" s="130"/>
    </row>
    <row r="94" spans="2:9">
      <c r="B94" s="129"/>
      <c r="C94" s="130"/>
      <c r="D94" s="130"/>
      <c r="E94" s="131"/>
      <c r="F94" s="131"/>
      <c r="G94" s="132"/>
      <c r="H94" s="130"/>
      <c r="I94" s="133"/>
    </row>
    <row r="95" spans="2:9">
      <c r="B95" s="129">
        <v>25</v>
      </c>
      <c r="C95" s="130" t="s">
        <v>5051</v>
      </c>
      <c r="D95" s="130" t="s">
        <v>5052</v>
      </c>
      <c r="E95" s="131" t="s">
        <v>5053</v>
      </c>
      <c r="F95" s="131" t="s">
        <v>5050</v>
      </c>
      <c r="G95" s="130">
        <v>3000</v>
      </c>
      <c r="H95" s="130">
        <v>14000</v>
      </c>
      <c r="I95" s="130" t="s">
        <v>5013</v>
      </c>
    </row>
    <row r="96" spans="2:9">
      <c r="B96" s="129"/>
      <c r="C96" s="130"/>
      <c r="D96" s="130"/>
      <c r="E96" s="131"/>
      <c r="F96" s="131"/>
      <c r="G96" s="132"/>
      <c r="H96" s="130"/>
      <c r="I96" s="133"/>
    </row>
    <row r="97" spans="2:9">
      <c r="B97" s="129"/>
      <c r="C97" s="130"/>
      <c r="D97" s="130"/>
      <c r="E97" s="131"/>
      <c r="F97" s="131"/>
      <c r="G97" s="130"/>
      <c r="H97" s="130"/>
      <c r="I97" s="130"/>
    </row>
    <row r="98" spans="2:9">
      <c r="B98" s="129">
        <v>26</v>
      </c>
      <c r="C98" s="130" t="s">
        <v>5014</v>
      </c>
      <c r="D98" s="130" t="s">
        <v>5054</v>
      </c>
      <c r="E98" s="131" t="s">
        <v>5055</v>
      </c>
      <c r="F98" s="131" t="s">
        <v>5026</v>
      </c>
      <c r="G98" s="132">
        <v>1000</v>
      </c>
      <c r="H98" s="130" t="s">
        <v>5037</v>
      </c>
      <c r="I98" s="133" t="s">
        <v>5004</v>
      </c>
    </row>
    <row r="99" spans="2:9">
      <c r="B99" s="129"/>
      <c r="C99" s="130"/>
      <c r="D99" s="130"/>
      <c r="E99" s="131"/>
      <c r="F99" s="131"/>
      <c r="G99" s="130"/>
      <c r="H99" s="130"/>
      <c r="I99" s="130"/>
    </row>
    <row r="100" spans="2:9">
      <c r="B100" s="129"/>
      <c r="C100" s="130"/>
      <c r="D100" s="130"/>
      <c r="E100" s="131"/>
      <c r="F100" s="131"/>
      <c r="G100" s="132"/>
      <c r="H100" s="130"/>
      <c r="I100" s="133"/>
    </row>
    <row r="101" spans="2:9">
      <c r="B101" s="129">
        <v>27</v>
      </c>
      <c r="C101" s="130" t="s">
        <v>5056</v>
      </c>
      <c r="D101" s="130" t="s">
        <v>5057</v>
      </c>
      <c r="E101" s="131" t="s">
        <v>5058</v>
      </c>
      <c r="F101" s="131" t="s">
        <v>5026</v>
      </c>
      <c r="G101" s="130">
        <v>5000</v>
      </c>
      <c r="H101" s="130" t="s">
        <v>5037</v>
      </c>
      <c r="I101" s="130" t="s">
        <v>5013</v>
      </c>
    </row>
    <row r="102" spans="2:9">
      <c r="B102" s="129"/>
      <c r="C102" s="130"/>
      <c r="D102" s="130"/>
      <c r="E102" s="131"/>
      <c r="F102" s="131"/>
      <c r="G102" s="132"/>
      <c r="H102" s="130"/>
      <c r="I102" s="133"/>
    </row>
    <row r="103" spans="2:9">
      <c r="B103" s="129"/>
      <c r="C103" s="130"/>
      <c r="D103" s="130"/>
      <c r="E103" s="131"/>
      <c r="F103" s="131"/>
      <c r="G103" s="130"/>
      <c r="H103" s="130"/>
      <c r="I103" s="130"/>
    </row>
    <row r="104" spans="2:9">
      <c r="B104" s="129">
        <v>28</v>
      </c>
      <c r="C104" s="130" t="s">
        <v>5024</v>
      </c>
      <c r="D104" s="130" t="s">
        <v>5059</v>
      </c>
      <c r="E104" s="131" t="s">
        <v>5025</v>
      </c>
      <c r="F104" s="131" t="s">
        <v>5050</v>
      </c>
      <c r="G104" s="132">
        <v>3000</v>
      </c>
      <c r="H104" s="130">
        <v>2000000</v>
      </c>
      <c r="I104" s="133" t="s">
        <v>5004</v>
      </c>
    </row>
    <row r="105" spans="2:9">
      <c r="B105" s="129"/>
      <c r="C105" s="130"/>
      <c r="D105" s="130"/>
      <c r="E105" s="131"/>
      <c r="F105" s="131"/>
      <c r="G105" s="130"/>
      <c r="H105" s="130"/>
      <c r="I105" s="130"/>
    </row>
    <row r="106" spans="2:9">
      <c r="B106" s="129"/>
      <c r="C106" s="130"/>
      <c r="D106" s="130"/>
      <c r="E106" s="131"/>
      <c r="F106" s="131"/>
      <c r="G106" s="132"/>
      <c r="H106" s="130"/>
      <c r="I106" s="133"/>
    </row>
    <row r="107" spans="2:9">
      <c r="B107" s="129">
        <v>29</v>
      </c>
      <c r="C107" s="130" t="s">
        <v>5024</v>
      </c>
      <c r="D107" s="130" t="s">
        <v>5059</v>
      </c>
      <c r="E107" s="131" t="s">
        <v>5025</v>
      </c>
      <c r="F107" s="131" t="s">
        <v>5008</v>
      </c>
      <c r="G107" s="130">
        <v>3000</v>
      </c>
      <c r="H107" s="130">
        <v>2000000</v>
      </c>
      <c r="I107" s="130" t="s">
        <v>5004</v>
      </c>
    </row>
    <row r="108" spans="2:9">
      <c r="B108" s="129"/>
      <c r="C108" s="130"/>
      <c r="D108" s="130"/>
      <c r="E108" s="131"/>
      <c r="F108" s="131"/>
      <c r="G108" s="132"/>
      <c r="H108" s="130"/>
      <c r="I108" s="133"/>
    </row>
    <row r="109" spans="2:9">
      <c r="B109" s="129"/>
      <c r="C109" s="130"/>
      <c r="D109" s="130"/>
      <c r="E109" s="131"/>
      <c r="F109" s="131"/>
      <c r="G109" s="130"/>
      <c r="H109" s="130"/>
      <c r="I109" s="130"/>
    </row>
    <row r="110" spans="2:9">
      <c r="B110" s="129">
        <v>30</v>
      </c>
      <c r="C110" s="130" t="s">
        <v>5014</v>
      </c>
      <c r="D110" s="130" t="s">
        <v>5059</v>
      </c>
      <c r="E110" s="131" t="s">
        <v>5055</v>
      </c>
      <c r="F110" s="131" t="s">
        <v>5033</v>
      </c>
      <c r="G110" s="132">
        <v>1000</v>
      </c>
      <c r="H110" s="130" t="s">
        <v>5037</v>
      </c>
      <c r="I110" s="133" t="s">
        <v>5004</v>
      </c>
    </row>
    <row r="111" spans="2:9">
      <c r="B111" s="129"/>
      <c r="C111" s="130"/>
      <c r="D111" s="130"/>
      <c r="E111" s="131"/>
      <c r="F111" s="131"/>
      <c r="G111" s="130"/>
      <c r="H111" s="130"/>
      <c r="I111" s="130"/>
    </row>
    <row r="112" spans="2:9">
      <c r="B112" s="129"/>
      <c r="C112" s="130"/>
      <c r="D112" s="130"/>
      <c r="E112" s="131"/>
      <c r="F112" s="131"/>
      <c r="G112" s="132"/>
      <c r="H112" s="130"/>
      <c r="I112" s="133"/>
    </row>
    <row r="113" spans="2:9">
      <c r="B113" s="129">
        <v>31</v>
      </c>
      <c r="C113" s="130" t="s">
        <v>5005</v>
      </c>
      <c r="D113" s="130" t="s">
        <v>5059</v>
      </c>
      <c r="E113" s="131" t="s">
        <v>5060</v>
      </c>
      <c r="F113" s="131" t="s">
        <v>5033</v>
      </c>
      <c r="G113" s="130">
        <v>3000</v>
      </c>
      <c r="H113" s="130">
        <v>10000</v>
      </c>
      <c r="I113" s="130" t="s">
        <v>5013</v>
      </c>
    </row>
    <row r="114" spans="2:9">
      <c r="B114" s="129"/>
      <c r="C114" s="130"/>
      <c r="D114" s="130"/>
      <c r="E114" s="131"/>
      <c r="F114" s="131"/>
      <c r="G114" s="132"/>
      <c r="H114" s="130"/>
      <c r="I114" s="133"/>
    </row>
    <row r="115" spans="2:9">
      <c r="B115" s="129"/>
      <c r="C115" s="130"/>
      <c r="D115" s="130"/>
      <c r="E115" s="131"/>
      <c r="F115" s="131"/>
      <c r="G115" s="130"/>
      <c r="H115" s="130"/>
      <c r="I115" s="130"/>
    </row>
    <row r="116" spans="2:9">
      <c r="B116" s="129">
        <v>32</v>
      </c>
      <c r="C116" s="130" t="s">
        <v>5056</v>
      </c>
      <c r="D116" s="130" t="s">
        <v>5059</v>
      </c>
      <c r="E116" s="131" t="s">
        <v>5058</v>
      </c>
      <c r="F116" s="131" t="s">
        <v>5033</v>
      </c>
      <c r="G116" s="132">
        <v>5000</v>
      </c>
      <c r="H116" s="130" t="s">
        <v>5037</v>
      </c>
      <c r="I116" s="133" t="s">
        <v>5013</v>
      </c>
    </row>
    <row r="117" spans="2:9">
      <c r="B117" s="129"/>
      <c r="C117" s="130"/>
      <c r="D117" s="130"/>
      <c r="E117" s="131"/>
      <c r="F117" s="131"/>
      <c r="G117" s="130"/>
      <c r="H117" s="130"/>
      <c r="I117" s="130"/>
    </row>
    <row r="118" spans="2:9">
      <c r="B118" s="129"/>
      <c r="C118" s="130"/>
      <c r="D118" s="130"/>
      <c r="E118" s="131"/>
      <c r="F118" s="131"/>
      <c r="G118" s="132"/>
      <c r="H118" s="130"/>
      <c r="I118" s="133"/>
    </row>
    <row r="119" spans="2:9">
      <c r="B119" s="129">
        <v>33</v>
      </c>
      <c r="C119" s="130" t="s">
        <v>5061</v>
      </c>
      <c r="D119" s="130" t="s">
        <v>5062</v>
      </c>
      <c r="E119" s="131" t="s">
        <v>5063</v>
      </c>
      <c r="F119" s="131" t="s">
        <v>5050</v>
      </c>
      <c r="G119" s="130">
        <v>1000</v>
      </c>
      <c r="H119" s="130">
        <v>14000</v>
      </c>
      <c r="I119" s="130" t="s">
        <v>5013</v>
      </c>
    </row>
    <row r="120" spans="2:9">
      <c r="B120" s="129"/>
      <c r="C120" s="130"/>
      <c r="D120" s="130"/>
      <c r="E120" s="131"/>
      <c r="F120" s="131"/>
      <c r="G120" s="132"/>
      <c r="H120" s="130"/>
      <c r="I120" s="133"/>
    </row>
    <row r="121" spans="2:9">
      <c r="B121" s="129"/>
      <c r="C121" s="130"/>
      <c r="D121" s="130"/>
      <c r="E121" s="131"/>
      <c r="F121" s="131"/>
      <c r="G121" s="130"/>
      <c r="H121" s="130"/>
      <c r="I121" s="130"/>
    </row>
    <row r="122" spans="2:9">
      <c r="B122" s="129">
        <v>34</v>
      </c>
      <c r="C122" s="130" t="s">
        <v>5034</v>
      </c>
      <c r="D122" s="130" t="s">
        <v>5062</v>
      </c>
      <c r="E122" s="131" t="s">
        <v>5064</v>
      </c>
      <c r="F122" s="131" t="s">
        <v>5020</v>
      </c>
      <c r="G122" s="132">
        <v>1000</v>
      </c>
      <c r="H122" s="130">
        <v>19000</v>
      </c>
      <c r="I122" s="133" t="s">
        <v>5013</v>
      </c>
    </row>
    <row r="123" spans="2:9">
      <c r="B123" s="129"/>
      <c r="C123" s="130"/>
      <c r="D123" s="130"/>
      <c r="E123" s="131"/>
      <c r="F123" s="131"/>
      <c r="G123" s="130"/>
      <c r="H123" s="130"/>
      <c r="I123" s="130"/>
    </row>
    <row r="124" spans="2:9">
      <c r="B124" s="129"/>
      <c r="C124" s="130"/>
      <c r="D124" s="130"/>
      <c r="E124" s="131"/>
      <c r="F124" s="131"/>
      <c r="G124" s="132"/>
      <c r="H124" s="130"/>
      <c r="I124" s="133"/>
    </row>
    <row r="125" spans="2:9">
      <c r="B125" s="129">
        <v>35</v>
      </c>
      <c r="C125" s="130" t="s">
        <v>5034</v>
      </c>
      <c r="D125" s="130" t="s">
        <v>5062</v>
      </c>
      <c r="E125" s="131" t="s">
        <v>5065</v>
      </c>
      <c r="F125" s="131" t="s">
        <v>5020</v>
      </c>
      <c r="G125" s="130">
        <v>5000</v>
      </c>
      <c r="H125" s="130">
        <v>19000</v>
      </c>
      <c r="I125" s="130" t="s">
        <v>5013</v>
      </c>
    </row>
    <row r="126" spans="2:9">
      <c r="B126" s="129"/>
      <c r="C126" s="130"/>
      <c r="D126" s="130"/>
      <c r="E126" s="131"/>
      <c r="F126" s="131"/>
      <c r="G126" s="132"/>
      <c r="H126" s="130"/>
      <c r="I126" s="133"/>
    </row>
    <row r="127" spans="2:9">
      <c r="B127" s="129"/>
      <c r="C127" s="130"/>
      <c r="D127" s="130"/>
      <c r="E127" s="131"/>
      <c r="F127" s="131"/>
      <c r="G127" s="130"/>
      <c r="H127" s="130"/>
      <c r="I127" s="130"/>
    </row>
    <row r="128" spans="2:9">
      <c r="B128" s="129">
        <v>36</v>
      </c>
      <c r="C128" s="130" t="s">
        <v>5051</v>
      </c>
      <c r="D128" s="130" t="s">
        <v>5062</v>
      </c>
      <c r="E128" s="131" t="s">
        <v>5066</v>
      </c>
      <c r="F128" s="131" t="s">
        <v>5020</v>
      </c>
      <c r="G128" s="132">
        <v>2500</v>
      </c>
      <c r="H128" s="130" t="s">
        <v>5037</v>
      </c>
      <c r="I128" s="133" t="s">
        <v>5013</v>
      </c>
    </row>
    <row r="129" spans="2:9">
      <c r="B129" s="129"/>
      <c r="C129" s="130"/>
      <c r="D129" s="130"/>
      <c r="E129" s="131"/>
      <c r="F129" s="131"/>
      <c r="G129" s="130"/>
      <c r="H129" s="130"/>
      <c r="I129" s="130"/>
    </row>
    <row r="130" spans="2:9">
      <c r="B130" s="129"/>
      <c r="C130" s="130"/>
      <c r="D130" s="130"/>
      <c r="E130" s="131"/>
      <c r="F130" s="131"/>
      <c r="G130" s="132"/>
      <c r="H130" s="130"/>
      <c r="I130" s="133"/>
    </row>
    <row r="131" spans="2:9">
      <c r="B131" s="129">
        <v>37</v>
      </c>
      <c r="C131" s="130" t="s">
        <v>5061</v>
      </c>
      <c r="D131" s="130" t="s">
        <v>5067</v>
      </c>
      <c r="E131" s="131" t="s">
        <v>5068</v>
      </c>
      <c r="F131" s="131" t="s">
        <v>5033</v>
      </c>
      <c r="G131" s="130">
        <v>1000</v>
      </c>
      <c r="H131" s="130">
        <v>14000</v>
      </c>
      <c r="I131" s="130" t="s">
        <v>5013</v>
      </c>
    </row>
    <row r="132" spans="2:9">
      <c r="B132" s="129"/>
      <c r="C132" s="130"/>
      <c r="D132" s="130"/>
      <c r="E132" s="131"/>
      <c r="F132" s="131"/>
      <c r="G132" s="132"/>
      <c r="H132" s="130"/>
      <c r="I132" s="133"/>
    </row>
    <row r="133" spans="2:9">
      <c r="B133" s="129"/>
      <c r="C133" s="130"/>
      <c r="D133" s="130"/>
      <c r="E133" s="131"/>
      <c r="F133" s="131"/>
      <c r="G133" s="130"/>
      <c r="H133" s="130"/>
      <c r="I133" s="130"/>
    </row>
    <row r="134" spans="2:9">
      <c r="B134" s="129">
        <v>38</v>
      </c>
      <c r="C134" s="130" t="s">
        <v>5005</v>
      </c>
      <c r="D134" s="130" t="s">
        <v>5067</v>
      </c>
      <c r="E134" s="131" t="s">
        <v>5060</v>
      </c>
      <c r="F134" s="131" t="s">
        <v>5033</v>
      </c>
      <c r="G134" s="132">
        <v>3000</v>
      </c>
      <c r="H134" s="130">
        <v>10000</v>
      </c>
      <c r="I134" s="133" t="s">
        <v>5013</v>
      </c>
    </row>
    <row r="135" spans="2:9">
      <c r="B135" s="129"/>
      <c r="C135" s="130"/>
      <c r="D135" s="130"/>
      <c r="E135" s="131"/>
      <c r="F135" s="131"/>
      <c r="G135" s="130"/>
      <c r="H135" s="130"/>
      <c r="I135" s="130"/>
    </row>
    <row r="136" spans="2:9">
      <c r="B136" s="129"/>
      <c r="C136" s="130"/>
      <c r="D136" s="130"/>
      <c r="E136" s="131"/>
      <c r="F136" s="131"/>
      <c r="G136" s="132"/>
      <c r="H136" s="130"/>
      <c r="I136" s="133"/>
    </row>
    <row r="137" spans="2:9">
      <c r="B137" s="129">
        <v>39</v>
      </c>
      <c r="C137" s="130" t="s">
        <v>5047</v>
      </c>
      <c r="D137" s="130" t="s">
        <v>5069</v>
      </c>
      <c r="E137" s="131" t="s">
        <v>5070</v>
      </c>
      <c r="F137" s="131" t="s">
        <v>5033</v>
      </c>
      <c r="G137" s="130">
        <v>1000</v>
      </c>
      <c r="H137" s="130">
        <v>1000000</v>
      </c>
      <c r="I137" s="130" t="s">
        <v>5004</v>
      </c>
    </row>
    <row r="138" spans="2:9">
      <c r="B138" s="129"/>
      <c r="C138" s="130"/>
      <c r="D138" s="130"/>
      <c r="E138" s="131"/>
      <c r="F138" s="131"/>
      <c r="G138" s="132"/>
      <c r="H138" s="130"/>
      <c r="I138" s="133"/>
    </row>
    <row r="139" spans="2:9">
      <c r="B139" s="129"/>
      <c r="C139" s="130"/>
      <c r="D139" s="130"/>
      <c r="E139" s="131"/>
      <c r="F139" s="131"/>
      <c r="G139" s="130"/>
      <c r="H139" s="130"/>
      <c r="I139" s="130"/>
    </row>
    <row r="140" spans="2:9">
      <c r="B140" s="129">
        <v>40</v>
      </c>
      <c r="C140" s="130" t="s">
        <v>5071</v>
      </c>
      <c r="D140" s="130" t="s">
        <v>5069</v>
      </c>
      <c r="E140" s="131" t="s">
        <v>5072</v>
      </c>
      <c r="F140" s="131" t="s">
        <v>5008</v>
      </c>
      <c r="G140" s="132">
        <v>10000</v>
      </c>
      <c r="H140" s="130">
        <v>200000</v>
      </c>
      <c r="I140" s="133" t="s">
        <v>5004</v>
      </c>
    </row>
    <row r="141" spans="2:9">
      <c r="B141" s="129"/>
      <c r="C141" s="130"/>
      <c r="D141" s="130"/>
      <c r="E141" s="131"/>
      <c r="F141" s="131"/>
      <c r="G141" s="130"/>
      <c r="H141" s="130"/>
      <c r="I141" s="130"/>
    </row>
    <row r="142" spans="2:9">
      <c r="B142" s="129"/>
      <c r="C142" s="130"/>
      <c r="D142" s="130"/>
      <c r="E142" s="131"/>
      <c r="F142" s="131"/>
      <c r="G142" s="132"/>
      <c r="H142" s="130"/>
      <c r="I142" s="133"/>
    </row>
    <row r="143" spans="2:9">
      <c r="B143" s="129">
        <v>41</v>
      </c>
      <c r="C143" s="130" t="s">
        <v>5071</v>
      </c>
      <c r="D143" s="130" t="s">
        <v>5069</v>
      </c>
      <c r="E143" s="131" t="s">
        <v>5073</v>
      </c>
      <c r="F143" s="131" t="s">
        <v>5033</v>
      </c>
      <c r="G143" s="130">
        <v>10000</v>
      </c>
      <c r="H143" s="130">
        <v>200000</v>
      </c>
      <c r="I143" s="130" t="s">
        <v>5004</v>
      </c>
    </row>
    <row r="144" spans="2:9">
      <c r="B144" s="129"/>
      <c r="C144" s="130"/>
      <c r="D144" s="130"/>
      <c r="E144" s="131"/>
      <c r="F144" s="131"/>
      <c r="G144" s="132"/>
      <c r="H144" s="130"/>
      <c r="I144" s="133"/>
    </row>
    <row r="145" spans="2:9">
      <c r="B145" s="129"/>
      <c r="C145" s="130"/>
      <c r="D145" s="130"/>
      <c r="E145" s="131"/>
      <c r="F145" s="131"/>
      <c r="G145" s="130"/>
      <c r="H145" s="130"/>
      <c r="I145" s="130"/>
    </row>
    <row r="146" spans="2:9">
      <c r="B146" s="129">
        <v>42</v>
      </c>
      <c r="C146" s="130" t="s">
        <v>5074</v>
      </c>
      <c r="D146" s="130" t="s">
        <v>5069</v>
      </c>
      <c r="E146" s="131" t="s">
        <v>5075</v>
      </c>
      <c r="F146" s="131" t="s">
        <v>5012</v>
      </c>
      <c r="G146" s="132">
        <v>0</v>
      </c>
      <c r="H146" s="130" t="s">
        <v>5037</v>
      </c>
      <c r="I146" s="133" t="s">
        <v>5029</v>
      </c>
    </row>
    <row r="147" spans="2:9">
      <c r="B147" s="129"/>
      <c r="C147" s="130"/>
      <c r="D147" s="130"/>
      <c r="E147" s="131"/>
      <c r="F147" s="131"/>
      <c r="G147" s="130"/>
      <c r="H147" s="130"/>
      <c r="I147" s="130"/>
    </row>
    <row r="148" spans="2:9">
      <c r="B148" s="129"/>
      <c r="C148" s="130"/>
      <c r="D148" s="130"/>
      <c r="E148" s="131"/>
      <c r="F148" s="131"/>
      <c r="G148" s="132"/>
      <c r="H148" s="130"/>
      <c r="I148" s="133"/>
    </row>
    <row r="149" spans="2:9">
      <c r="B149" s="129">
        <v>43</v>
      </c>
      <c r="C149" s="130" t="s">
        <v>5014</v>
      </c>
      <c r="D149" s="130" t="s">
        <v>5069</v>
      </c>
      <c r="E149" s="131" t="s">
        <v>5055</v>
      </c>
      <c r="F149" s="131" t="s">
        <v>5008</v>
      </c>
      <c r="G149" s="130">
        <v>1000</v>
      </c>
      <c r="H149" s="130" t="s">
        <v>5037</v>
      </c>
      <c r="I149" s="130" t="s">
        <v>5004</v>
      </c>
    </row>
    <row r="150" spans="2:9">
      <c r="B150" s="129"/>
      <c r="C150" s="130"/>
      <c r="D150" s="130"/>
      <c r="E150" s="131"/>
      <c r="F150" s="131"/>
      <c r="G150" s="132"/>
      <c r="H150" s="130"/>
      <c r="I150" s="133"/>
    </row>
    <row r="151" spans="2:9">
      <c r="B151" s="129"/>
      <c r="C151" s="130"/>
      <c r="D151" s="130"/>
      <c r="E151" s="131"/>
      <c r="F151" s="131"/>
      <c r="G151" s="130"/>
      <c r="H151" s="130"/>
      <c r="I151" s="130"/>
    </row>
    <row r="152" spans="2:9">
      <c r="B152" s="129">
        <v>44</v>
      </c>
      <c r="C152" s="130" t="s">
        <v>5076</v>
      </c>
      <c r="D152" s="130" t="s">
        <v>5069</v>
      </c>
      <c r="E152" s="131" t="s">
        <v>5077</v>
      </c>
      <c r="F152" s="131" t="s">
        <v>5033</v>
      </c>
      <c r="G152" s="132">
        <v>5000</v>
      </c>
      <c r="H152" s="130">
        <v>12000</v>
      </c>
      <c r="I152" s="133" t="s">
        <v>5013</v>
      </c>
    </row>
    <row r="153" spans="2:9">
      <c r="B153" s="129"/>
      <c r="C153" s="130"/>
      <c r="D153" s="130"/>
      <c r="E153" s="131"/>
      <c r="F153" s="131"/>
      <c r="G153" s="130"/>
      <c r="H153" s="130"/>
      <c r="I153" s="130"/>
    </row>
    <row r="154" spans="2:9">
      <c r="B154" s="129"/>
      <c r="C154" s="130"/>
      <c r="D154" s="130"/>
      <c r="E154" s="131"/>
      <c r="F154" s="131"/>
      <c r="G154" s="132"/>
      <c r="H154" s="130"/>
      <c r="I154" s="133"/>
    </row>
    <row r="155" spans="2:9">
      <c r="B155" s="129">
        <v>45</v>
      </c>
      <c r="C155" s="130" t="s">
        <v>5076</v>
      </c>
      <c r="D155" s="130" t="s">
        <v>5069</v>
      </c>
      <c r="E155" s="131" t="s">
        <v>5078</v>
      </c>
      <c r="F155" s="131" t="s">
        <v>5033</v>
      </c>
      <c r="G155" s="130">
        <v>100000</v>
      </c>
      <c r="H155" s="130" t="s">
        <v>5037</v>
      </c>
      <c r="I155" s="130" t="s">
        <v>5004</v>
      </c>
    </row>
    <row r="156" spans="2:9">
      <c r="B156" s="129"/>
      <c r="C156" s="130"/>
      <c r="D156" s="130"/>
      <c r="E156" s="131"/>
      <c r="F156" s="131"/>
      <c r="G156" s="132"/>
      <c r="H156" s="130"/>
      <c r="I156" s="133"/>
    </row>
    <row r="157" spans="2:9">
      <c r="B157" s="129"/>
      <c r="C157" s="130"/>
      <c r="D157" s="130"/>
      <c r="E157" s="130"/>
      <c r="F157" s="131"/>
      <c r="G157" s="130"/>
      <c r="H157" s="130"/>
      <c r="I157" s="130"/>
    </row>
    <row r="158" spans="2:9">
      <c r="B158" s="129">
        <v>46</v>
      </c>
      <c r="C158" s="130" t="s">
        <v>5021</v>
      </c>
      <c r="D158" s="130" t="s">
        <v>5069</v>
      </c>
      <c r="E158" s="131" t="s">
        <v>5079</v>
      </c>
      <c r="F158" s="131" t="s">
        <v>5026</v>
      </c>
      <c r="G158" s="132">
        <v>1000</v>
      </c>
      <c r="H158" s="130" t="s">
        <v>5037</v>
      </c>
      <c r="I158" s="133" t="s">
        <v>5004</v>
      </c>
    </row>
    <row r="159" spans="2:9">
      <c r="B159" s="129"/>
      <c r="C159" s="130"/>
      <c r="D159" s="130"/>
      <c r="E159" s="131"/>
      <c r="F159" s="131"/>
      <c r="G159" s="130"/>
      <c r="H159" s="130"/>
      <c r="I159" s="130"/>
    </row>
    <row r="160" spans="2:9">
      <c r="B160" s="129"/>
      <c r="C160" s="130"/>
      <c r="D160" s="130"/>
      <c r="E160" s="131"/>
      <c r="F160" s="131"/>
      <c r="G160" s="132"/>
      <c r="H160" s="130"/>
      <c r="I160" s="133"/>
    </row>
    <row r="161" spans="2:9">
      <c r="B161" s="129">
        <v>47</v>
      </c>
      <c r="C161" s="130" t="s">
        <v>5000</v>
      </c>
      <c r="D161" s="130" t="s">
        <v>5069</v>
      </c>
      <c r="E161" s="131" t="s">
        <v>5041</v>
      </c>
      <c r="F161" s="131" t="s">
        <v>5008</v>
      </c>
      <c r="G161" s="130">
        <v>1000</v>
      </c>
      <c r="H161" s="130">
        <v>10000</v>
      </c>
      <c r="I161" s="130" t="s">
        <v>5004</v>
      </c>
    </row>
    <row r="162" spans="2:9">
      <c r="B162" s="129"/>
      <c r="C162" s="130"/>
      <c r="D162" s="130"/>
      <c r="E162" s="131"/>
      <c r="F162" s="131"/>
      <c r="G162" s="132"/>
      <c r="H162" s="130"/>
      <c r="I162" s="133"/>
    </row>
    <row r="163" spans="2:9">
      <c r="B163" s="129"/>
      <c r="C163" s="130"/>
      <c r="D163" s="130"/>
      <c r="E163" s="131"/>
      <c r="F163" s="131"/>
      <c r="G163" s="130"/>
      <c r="H163" s="130"/>
      <c r="I163" s="130"/>
    </row>
    <row r="164" spans="2:9">
      <c r="B164" s="129">
        <v>48</v>
      </c>
      <c r="C164" s="130" t="s">
        <v>5056</v>
      </c>
      <c r="D164" s="130" t="s">
        <v>5069</v>
      </c>
      <c r="E164" s="131" t="s">
        <v>5058</v>
      </c>
      <c r="F164" s="131" t="s">
        <v>5008</v>
      </c>
      <c r="G164" s="132">
        <v>5000</v>
      </c>
      <c r="H164" s="130" t="s">
        <v>5037</v>
      </c>
      <c r="I164" s="133" t="s">
        <v>5013</v>
      </c>
    </row>
    <row r="165" spans="2:9">
      <c r="B165" s="129"/>
      <c r="C165" s="130"/>
      <c r="D165" s="130"/>
      <c r="E165" s="131"/>
      <c r="F165" s="131"/>
      <c r="G165" s="130"/>
      <c r="H165" s="130"/>
      <c r="I165" s="130"/>
    </row>
    <row r="166" spans="2:9">
      <c r="B166" s="129"/>
      <c r="C166" s="130"/>
      <c r="D166" s="130"/>
      <c r="E166" s="131"/>
      <c r="F166" s="131"/>
      <c r="G166" s="132"/>
      <c r="H166" s="130"/>
      <c r="I166" s="133"/>
    </row>
    <row r="167" spans="2:9">
      <c r="B167" s="129">
        <v>49</v>
      </c>
      <c r="C167" s="130" t="s">
        <v>5017</v>
      </c>
      <c r="D167" s="130" t="s">
        <v>5069</v>
      </c>
      <c r="E167" s="131" t="s">
        <v>5080</v>
      </c>
      <c r="F167" s="131" t="s">
        <v>5012</v>
      </c>
      <c r="G167" s="130">
        <v>500</v>
      </c>
      <c r="H167" s="130">
        <v>20000</v>
      </c>
      <c r="I167" s="130" t="s">
        <v>5029</v>
      </c>
    </row>
    <row r="168" spans="2:9">
      <c r="B168" s="129"/>
      <c r="C168" s="130"/>
      <c r="D168" s="130"/>
      <c r="E168" s="131"/>
      <c r="F168" s="131"/>
      <c r="G168" s="132"/>
      <c r="H168" s="130"/>
      <c r="I168" s="133"/>
    </row>
    <row r="169" spans="2:9">
      <c r="B169" s="129"/>
      <c r="C169" s="130"/>
      <c r="D169" s="130"/>
      <c r="E169" s="131"/>
      <c r="F169" s="131"/>
      <c r="G169" s="130"/>
      <c r="H169" s="130"/>
      <c r="I169" s="130"/>
    </row>
    <row r="170" spans="2:9">
      <c r="B170" s="129">
        <v>50</v>
      </c>
      <c r="C170" s="130" t="s">
        <v>5081</v>
      </c>
      <c r="D170" s="130" t="s">
        <v>5069</v>
      </c>
      <c r="E170" s="131" t="s">
        <v>5082</v>
      </c>
      <c r="F170" s="131" t="s">
        <v>5012</v>
      </c>
      <c r="G170" s="132">
        <v>100000</v>
      </c>
      <c r="H170" s="130" t="s">
        <v>5037</v>
      </c>
      <c r="I170" s="133" t="s">
        <v>5029</v>
      </c>
    </row>
    <row r="171" spans="2:9">
      <c r="B171" s="129"/>
      <c r="C171" s="130"/>
      <c r="D171" s="130"/>
      <c r="E171" s="131"/>
      <c r="F171" s="131"/>
      <c r="G171" s="130"/>
      <c r="H171" s="130"/>
      <c r="I171" s="130"/>
    </row>
    <row r="172" spans="2:9">
      <c r="B172" s="129"/>
      <c r="C172" s="130"/>
      <c r="D172" s="130"/>
      <c r="E172" s="131"/>
      <c r="F172" s="131"/>
      <c r="G172" s="132"/>
      <c r="H172" s="130"/>
      <c r="I172" s="133"/>
    </row>
    <row r="173" spans="2:9">
      <c r="B173" s="129">
        <v>51</v>
      </c>
      <c r="C173" s="130" t="s">
        <v>5005</v>
      </c>
      <c r="D173" s="130" t="s">
        <v>5083</v>
      </c>
      <c r="E173" s="131" t="s">
        <v>5084</v>
      </c>
      <c r="F173" s="131" t="s">
        <v>5085</v>
      </c>
      <c r="G173" s="130">
        <v>3000</v>
      </c>
      <c r="H173" s="130">
        <v>10000</v>
      </c>
      <c r="I173" s="130" t="s">
        <v>5013</v>
      </c>
    </row>
    <row r="174" spans="2:9">
      <c r="B174" s="129"/>
      <c r="C174" s="130"/>
      <c r="D174" s="130"/>
      <c r="E174" s="131"/>
      <c r="F174" s="131"/>
      <c r="G174" s="132"/>
      <c r="H174" s="130"/>
      <c r="I174" s="133"/>
    </row>
    <row r="175" spans="2:9">
      <c r="B175" s="129"/>
      <c r="C175" s="130"/>
      <c r="D175" s="130"/>
      <c r="E175" s="131"/>
      <c r="F175" s="131"/>
      <c r="G175" s="130"/>
      <c r="H175" s="130"/>
      <c r="I175" s="130"/>
    </row>
    <row r="176" spans="2:9">
      <c r="B176" s="129">
        <v>52</v>
      </c>
      <c r="C176" s="130" t="s">
        <v>5017</v>
      </c>
      <c r="D176" s="130" t="s">
        <v>5086</v>
      </c>
      <c r="E176" s="131" t="s">
        <v>5087</v>
      </c>
      <c r="F176" s="131" t="s">
        <v>5050</v>
      </c>
      <c r="G176" s="132">
        <v>1000</v>
      </c>
      <c r="H176" s="130" t="s">
        <v>5037</v>
      </c>
      <c r="I176" s="133" t="s">
        <v>5004</v>
      </c>
    </row>
    <row r="177" spans="2:9">
      <c r="B177" s="129"/>
      <c r="C177" s="130"/>
      <c r="D177" s="130"/>
      <c r="E177" s="131"/>
      <c r="F177" s="131"/>
      <c r="G177" s="130"/>
      <c r="H177" s="130"/>
      <c r="I177" s="130"/>
    </row>
    <row r="178" spans="2:9">
      <c r="B178" s="129"/>
      <c r="C178" s="130"/>
      <c r="D178" s="130"/>
      <c r="E178" s="131"/>
      <c r="F178" s="131"/>
      <c r="G178" s="132"/>
      <c r="H178" s="130"/>
      <c r="I178" s="133"/>
    </row>
    <row r="179" spans="2:9">
      <c r="B179" s="129">
        <v>53</v>
      </c>
      <c r="C179" s="130" t="s">
        <v>5005</v>
      </c>
      <c r="D179" s="130" t="s">
        <v>5088</v>
      </c>
      <c r="E179" s="131" t="s">
        <v>5089</v>
      </c>
      <c r="F179" s="131" t="s">
        <v>5043</v>
      </c>
      <c r="G179" s="130">
        <v>3000</v>
      </c>
      <c r="H179" s="130">
        <v>10000</v>
      </c>
      <c r="I179" s="130" t="s">
        <v>5013</v>
      </c>
    </row>
    <row r="180" spans="2:9">
      <c r="B180" s="129"/>
      <c r="C180" s="130"/>
      <c r="D180" s="130"/>
      <c r="E180" s="131"/>
      <c r="F180" s="131"/>
      <c r="G180" s="132"/>
      <c r="H180" s="130"/>
      <c r="I180" s="133"/>
    </row>
    <row r="181" spans="2:9">
      <c r="B181" s="129"/>
      <c r="C181" s="130"/>
      <c r="D181" s="130"/>
      <c r="E181" s="131"/>
      <c r="F181" s="131"/>
      <c r="G181" s="130"/>
      <c r="H181" s="130"/>
      <c r="I181" s="130"/>
    </row>
    <row r="182" spans="2:9">
      <c r="B182" s="129">
        <v>54</v>
      </c>
      <c r="C182" s="130" t="s">
        <v>5021</v>
      </c>
      <c r="D182" s="130" t="s">
        <v>5090</v>
      </c>
      <c r="E182" s="131" t="s">
        <v>5079</v>
      </c>
      <c r="F182" s="131" t="s">
        <v>5008</v>
      </c>
      <c r="G182" s="132">
        <v>1000</v>
      </c>
      <c r="H182" s="130" t="s">
        <v>5037</v>
      </c>
      <c r="I182" s="133" t="s">
        <v>5004</v>
      </c>
    </row>
    <row r="183" spans="2:9">
      <c r="B183" s="129"/>
      <c r="C183" s="130"/>
      <c r="D183" s="130"/>
      <c r="E183" s="131"/>
      <c r="F183" s="131"/>
      <c r="G183" s="130"/>
      <c r="H183" s="130"/>
      <c r="I183" s="130"/>
    </row>
    <row r="184" spans="2:9">
      <c r="B184" s="129"/>
      <c r="C184" s="130"/>
      <c r="D184" s="130"/>
      <c r="E184" s="131"/>
      <c r="F184" s="131"/>
      <c r="G184" s="132"/>
      <c r="H184" s="130"/>
      <c r="I184" s="133"/>
    </row>
    <row r="185" spans="2:9">
      <c r="B185" s="129">
        <v>55</v>
      </c>
      <c r="C185" s="130" t="s">
        <v>5021</v>
      </c>
      <c r="D185" s="130" t="s">
        <v>5090</v>
      </c>
      <c r="E185" s="131" t="s">
        <v>5079</v>
      </c>
      <c r="F185" s="131" t="s">
        <v>5033</v>
      </c>
      <c r="G185" s="130">
        <v>1000</v>
      </c>
      <c r="H185" s="130" t="s">
        <v>5037</v>
      </c>
      <c r="I185" s="130" t="s">
        <v>5004</v>
      </c>
    </row>
    <row r="186" spans="2:9">
      <c r="B186" s="129"/>
      <c r="C186" s="130"/>
      <c r="D186" s="130"/>
      <c r="E186" s="131"/>
      <c r="F186" s="131"/>
      <c r="G186" s="132"/>
      <c r="H186" s="130"/>
      <c r="I186" s="133"/>
    </row>
    <row r="187" spans="2:9">
      <c r="B187" s="129"/>
      <c r="C187" s="130"/>
      <c r="D187" s="130"/>
      <c r="E187" s="131"/>
      <c r="F187" s="131"/>
      <c r="G187" s="130"/>
      <c r="H187" s="130"/>
      <c r="I187" s="130"/>
    </row>
    <row r="188" spans="2:9">
      <c r="B188" s="129">
        <v>56</v>
      </c>
      <c r="C188" s="130" t="s">
        <v>5056</v>
      </c>
      <c r="D188" s="130" t="s">
        <v>5090</v>
      </c>
      <c r="E188" s="131" t="s">
        <v>5091</v>
      </c>
      <c r="F188" s="131" t="s">
        <v>5085</v>
      </c>
      <c r="G188" s="132">
        <v>2000</v>
      </c>
      <c r="H188" s="130" t="s">
        <v>5037</v>
      </c>
      <c r="I188" s="133" t="s">
        <v>5004</v>
      </c>
    </row>
    <row r="189" spans="2:9">
      <c r="B189" s="129"/>
      <c r="C189" s="130"/>
      <c r="D189" s="130"/>
      <c r="E189" s="131"/>
      <c r="F189" s="131"/>
      <c r="G189" s="130"/>
      <c r="H189" s="130"/>
      <c r="I189" s="130"/>
    </row>
    <row r="190" spans="2:9">
      <c r="B190" s="129"/>
      <c r="C190" s="130"/>
      <c r="D190" s="130"/>
      <c r="E190" s="131"/>
      <c r="F190" s="131"/>
      <c r="G190" s="132"/>
      <c r="H190" s="130"/>
      <c r="I190" s="133"/>
    </row>
    <row r="191" spans="2:9">
      <c r="B191" s="129">
        <v>57</v>
      </c>
      <c r="C191" s="130" t="s">
        <v>5000</v>
      </c>
      <c r="D191" s="130" t="s">
        <v>5092</v>
      </c>
      <c r="E191" s="131" t="s">
        <v>5093</v>
      </c>
      <c r="F191" s="131" t="s">
        <v>5020</v>
      </c>
      <c r="G191" s="130">
        <v>500</v>
      </c>
      <c r="H191" s="130">
        <v>1000000</v>
      </c>
      <c r="I191" s="130" t="s">
        <v>5004</v>
      </c>
    </row>
    <row r="192" spans="2:9">
      <c r="B192" s="129"/>
      <c r="C192" s="130"/>
      <c r="D192" s="130"/>
      <c r="E192" s="131"/>
      <c r="F192" s="131"/>
      <c r="G192" s="132"/>
      <c r="H192" s="130"/>
      <c r="I192" s="133"/>
    </row>
    <row r="193" spans="2:9">
      <c r="B193" s="129"/>
      <c r="C193" s="130"/>
      <c r="D193" s="130"/>
      <c r="E193" s="131"/>
      <c r="F193" s="131"/>
      <c r="G193" s="130"/>
      <c r="H193" s="130"/>
      <c r="I193" s="130"/>
    </row>
    <row r="194" spans="2:9">
      <c r="B194" s="129">
        <v>58</v>
      </c>
      <c r="C194" s="130" t="s">
        <v>5000</v>
      </c>
      <c r="D194" s="130" t="s">
        <v>5092</v>
      </c>
      <c r="E194" s="131" t="s">
        <v>5094</v>
      </c>
      <c r="F194" s="131" t="s">
        <v>5008</v>
      </c>
      <c r="G194" s="132">
        <v>1000</v>
      </c>
      <c r="H194" s="130">
        <v>1000000</v>
      </c>
      <c r="I194" s="133" t="s">
        <v>5004</v>
      </c>
    </row>
    <row r="195" spans="2:9">
      <c r="B195" s="129"/>
      <c r="C195" s="130"/>
      <c r="D195" s="130"/>
      <c r="E195" s="131"/>
      <c r="F195" s="131"/>
      <c r="G195" s="130"/>
      <c r="H195" s="130"/>
      <c r="I195" s="130"/>
    </row>
    <row r="196" spans="2:9">
      <c r="B196" s="129"/>
      <c r="C196" s="130"/>
      <c r="D196" s="130"/>
      <c r="E196" s="131"/>
      <c r="F196" s="131"/>
      <c r="G196" s="132"/>
      <c r="H196" s="130"/>
      <c r="I196" s="133"/>
    </row>
    <row r="197" spans="2:9">
      <c r="B197" s="129">
        <v>59</v>
      </c>
      <c r="C197" s="130" t="s">
        <v>5056</v>
      </c>
      <c r="D197" s="130" t="s">
        <v>5092</v>
      </c>
      <c r="E197" s="131" t="s">
        <v>5091</v>
      </c>
      <c r="F197" s="131" t="s">
        <v>5043</v>
      </c>
      <c r="G197" s="130">
        <v>2000</v>
      </c>
      <c r="H197" s="130" t="s">
        <v>5037</v>
      </c>
      <c r="I197" s="130" t="s">
        <v>5004</v>
      </c>
    </row>
    <row r="198" spans="2:9">
      <c r="B198" s="129"/>
      <c r="C198" s="130"/>
      <c r="D198" s="130"/>
      <c r="E198" s="131"/>
      <c r="F198" s="131"/>
      <c r="G198" s="132"/>
      <c r="H198" s="130"/>
      <c r="I198" s="133"/>
    </row>
    <row r="199" spans="2:9">
      <c r="B199" s="129"/>
      <c r="C199" s="130"/>
      <c r="D199" s="130"/>
      <c r="E199" s="131"/>
      <c r="F199" s="131"/>
      <c r="G199" s="130"/>
      <c r="H199" s="130"/>
      <c r="I199" s="130"/>
    </row>
    <row r="200" spans="2:9">
      <c r="B200" s="129">
        <v>60</v>
      </c>
      <c r="C200" s="130" t="s">
        <v>5095</v>
      </c>
      <c r="D200" s="130" t="s">
        <v>5096</v>
      </c>
      <c r="E200" s="131" t="s">
        <v>5097</v>
      </c>
      <c r="F200" s="131" t="s">
        <v>5003</v>
      </c>
      <c r="G200" s="132">
        <v>1000</v>
      </c>
      <c r="H200" s="130">
        <v>15000</v>
      </c>
      <c r="I200" s="133" t="s">
        <v>5013</v>
      </c>
    </row>
    <row r="201" spans="2:9">
      <c r="B201" s="129"/>
      <c r="C201" s="130"/>
      <c r="D201" s="130"/>
      <c r="E201" s="131"/>
      <c r="F201" s="131"/>
      <c r="G201" s="130"/>
      <c r="H201" s="130"/>
      <c r="I201" s="130"/>
    </row>
    <row r="202" spans="2:9">
      <c r="B202" s="129"/>
      <c r="C202" s="130"/>
      <c r="D202" s="130"/>
      <c r="E202" s="131"/>
      <c r="F202" s="131"/>
      <c r="G202" s="132"/>
      <c r="H202" s="130"/>
      <c r="I202" s="133"/>
    </row>
    <row r="203" spans="2:9">
      <c r="B203" s="129">
        <v>61</v>
      </c>
      <c r="C203" s="130" t="s">
        <v>5098</v>
      </c>
      <c r="D203" s="130" t="s">
        <v>5099</v>
      </c>
      <c r="E203" s="131" t="s">
        <v>5100</v>
      </c>
      <c r="F203" s="131" t="s">
        <v>5003</v>
      </c>
      <c r="G203" s="130">
        <v>10000</v>
      </c>
      <c r="H203" s="130">
        <v>15000</v>
      </c>
      <c r="I203" s="130" t="s">
        <v>5013</v>
      </c>
    </row>
    <row r="204" spans="2:9">
      <c r="B204" s="129"/>
      <c r="C204" s="130"/>
      <c r="D204" s="130"/>
      <c r="E204" s="131"/>
      <c r="F204" s="131"/>
      <c r="G204" s="132"/>
      <c r="H204" s="130"/>
      <c r="I204" s="133"/>
    </row>
    <row r="205" spans="2:9">
      <c r="B205" s="129"/>
      <c r="C205" s="130"/>
      <c r="D205" s="130"/>
      <c r="E205" s="131"/>
      <c r="F205" s="131"/>
      <c r="G205" s="130"/>
      <c r="H205" s="130"/>
      <c r="I205" s="130"/>
    </row>
    <row r="206" spans="2:9">
      <c r="B206" s="129">
        <v>62</v>
      </c>
      <c r="C206" s="130" t="s">
        <v>5000</v>
      </c>
      <c r="D206" s="130" t="s">
        <v>5099</v>
      </c>
      <c r="E206" s="131" t="s">
        <v>5101</v>
      </c>
      <c r="F206" s="131" t="s">
        <v>5050</v>
      </c>
      <c r="G206" s="132">
        <v>500</v>
      </c>
      <c r="H206" s="130">
        <v>1000000</v>
      </c>
      <c r="I206" s="133" t="s">
        <v>5004</v>
      </c>
    </row>
    <row r="207" spans="2:9">
      <c r="B207" s="129"/>
      <c r="C207" s="130"/>
      <c r="D207" s="130"/>
      <c r="E207" s="131"/>
      <c r="F207" s="131"/>
      <c r="G207" s="130"/>
      <c r="H207" s="130"/>
      <c r="I207" s="130"/>
    </row>
    <row r="208" spans="2:9">
      <c r="B208" s="129"/>
      <c r="C208" s="130"/>
      <c r="D208" s="130"/>
      <c r="E208" s="131"/>
      <c r="F208" s="131"/>
      <c r="G208" s="132"/>
      <c r="H208" s="130"/>
      <c r="I208" s="133"/>
    </row>
    <row r="209" spans="2:9">
      <c r="B209" s="129">
        <v>63</v>
      </c>
      <c r="C209" s="130" t="s">
        <v>5034</v>
      </c>
      <c r="D209" s="130" t="s">
        <v>5099</v>
      </c>
      <c r="E209" s="131" t="s">
        <v>5036</v>
      </c>
      <c r="F209" s="131" t="s">
        <v>5085</v>
      </c>
      <c r="G209" s="130">
        <v>1000</v>
      </c>
      <c r="H209" s="130">
        <v>9999</v>
      </c>
      <c r="I209" s="130" t="s">
        <v>5004</v>
      </c>
    </row>
    <row r="210" spans="2:9">
      <c r="B210" s="129"/>
      <c r="C210" s="130"/>
      <c r="D210" s="130"/>
      <c r="E210" s="131"/>
      <c r="F210" s="131"/>
      <c r="G210" s="132"/>
      <c r="H210" s="130"/>
      <c r="I210" s="133"/>
    </row>
    <row r="211" spans="2:9">
      <c r="B211" s="129"/>
      <c r="C211" s="130"/>
      <c r="D211" s="130"/>
      <c r="E211" s="131"/>
      <c r="F211" s="131"/>
      <c r="G211" s="130"/>
      <c r="H211" s="130"/>
      <c r="I211" s="130"/>
    </row>
    <row r="212" spans="2:9">
      <c r="B212" s="129">
        <v>64</v>
      </c>
      <c r="C212" s="130" t="s">
        <v>5034</v>
      </c>
      <c r="D212" s="130" t="s">
        <v>5099</v>
      </c>
      <c r="E212" s="131" t="s">
        <v>5036</v>
      </c>
      <c r="F212" s="131" t="s">
        <v>5085</v>
      </c>
      <c r="G212" s="132">
        <v>10000</v>
      </c>
      <c r="H212" s="130" t="s">
        <v>5037</v>
      </c>
      <c r="I212" s="133" t="s">
        <v>5004</v>
      </c>
    </row>
    <row r="213" spans="2:9">
      <c r="B213" s="129"/>
      <c r="C213" s="130"/>
      <c r="D213" s="130"/>
      <c r="E213" s="131"/>
      <c r="F213" s="131"/>
      <c r="G213" s="130"/>
      <c r="H213" s="130"/>
      <c r="I213" s="130"/>
    </row>
    <row r="214" spans="2:9">
      <c r="B214" s="129"/>
      <c r="C214" s="130"/>
      <c r="D214" s="130"/>
      <c r="E214" s="131"/>
      <c r="F214" s="131"/>
      <c r="G214" s="132"/>
      <c r="H214" s="130"/>
      <c r="I214" s="133"/>
    </row>
    <row r="215" spans="2:9">
      <c r="B215" s="129">
        <v>65</v>
      </c>
      <c r="C215" s="130" t="s">
        <v>5102</v>
      </c>
      <c r="D215" s="130" t="s">
        <v>5103</v>
      </c>
      <c r="E215" s="131" t="s">
        <v>5104</v>
      </c>
      <c r="F215" s="131" t="s">
        <v>5020</v>
      </c>
      <c r="G215" s="130">
        <v>1000</v>
      </c>
      <c r="H215" s="130">
        <v>10000</v>
      </c>
      <c r="I215" s="130" t="s">
        <v>5013</v>
      </c>
    </row>
    <row r="216" spans="2:9">
      <c r="B216" s="129"/>
      <c r="C216" s="130"/>
      <c r="D216" s="130"/>
      <c r="E216" s="131"/>
      <c r="F216" s="131"/>
      <c r="G216" s="132"/>
      <c r="H216" s="130"/>
      <c r="I216" s="133"/>
    </row>
    <row r="217" spans="2:9">
      <c r="B217" s="129"/>
      <c r="C217" s="130"/>
      <c r="D217" s="130"/>
      <c r="E217" s="131"/>
      <c r="F217" s="131"/>
      <c r="G217" s="130"/>
      <c r="H217" s="130"/>
      <c r="I217" s="130"/>
    </row>
    <row r="218" spans="2:9">
      <c r="B218" s="129">
        <v>66</v>
      </c>
      <c r="C218" s="130" t="s">
        <v>5061</v>
      </c>
      <c r="D218" s="130" t="s">
        <v>5103</v>
      </c>
      <c r="E218" s="131" t="s">
        <v>5105</v>
      </c>
      <c r="F218" s="131" t="s">
        <v>5043</v>
      </c>
      <c r="G218" s="132">
        <v>1000</v>
      </c>
      <c r="H218" s="130">
        <v>14000</v>
      </c>
      <c r="I218" s="133" t="s">
        <v>5013</v>
      </c>
    </row>
    <row r="219" spans="2:9">
      <c r="B219" s="129"/>
      <c r="C219" s="130"/>
      <c r="D219" s="130"/>
      <c r="E219" s="131"/>
      <c r="F219" s="131"/>
      <c r="G219" s="130"/>
      <c r="H219" s="130"/>
      <c r="I219" s="130"/>
    </row>
    <row r="220" spans="2:9">
      <c r="B220" s="129"/>
      <c r="C220" s="130"/>
      <c r="D220" s="130"/>
      <c r="E220" s="131"/>
      <c r="F220" s="131"/>
      <c r="G220" s="132"/>
      <c r="H220" s="130"/>
      <c r="I220" s="133"/>
    </row>
    <row r="221" spans="2:9">
      <c r="B221" s="129">
        <v>67</v>
      </c>
      <c r="C221" s="130" t="s">
        <v>5044</v>
      </c>
      <c r="D221" s="130" t="s">
        <v>5103</v>
      </c>
      <c r="E221" s="131" t="s">
        <v>5106</v>
      </c>
      <c r="F221" s="131" t="s">
        <v>5043</v>
      </c>
      <c r="G221" s="130">
        <v>500</v>
      </c>
      <c r="H221" s="130">
        <v>13000</v>
      </c>
      <c r="I221" s="130" t="s">
        <v>5013</v>
      </c>
    </row>
    <row r="222" spans="2:9">
      <c r="B222" s="129"/>
      <c r="C222" s="130"/>
      <c r="D222" s="130"/>
      <c r="E222" s="131"/>
      <c r="F222" s="131"/>
      <c r="G222" s="132"/>
      <c r="H222" s="130"/>
      <c r="I222" s="133"/>
    </row>
    <row r="223" spans="2:9">
      <c r="B223" s="129"/>
      <c r="C223" s="130"/>
      <c r="D223" s="130"/>
      <c r="E223" s="131"/>
      <c r="F223" s="131"/>
      <c r="G223" s="130"/>
      <c r="H223" s="130"/>
      <c r="I223" s="130"/>
    </row>
    <row r="224" spans="2:9">
      <c r="B224" s="129">
        <v>68</v>
      </c>
      <c r="C224" s="130" t="s">
        <v>5107</v>
      </c>
      <c r="D224" s="130" t="s">
        <v>5103</v>
      </c>
      <c r="E224" s="131" t="s">
        <v>5108</v>
      </c>
      <c r="F224" s="131" t="s">
        <v>5050</v>
      </c>
      <c r="G224" s="132">
        <v>3000</v>
      </c>
      <c r="H224" s="130">
        <v>15000</v>
      </c>
      <c r="I224" s="133" t="s">
        <v>5013</v>
      </c>
    </row>
    <row r="225" spans="2:9">
      <c r="B225" s="129"/>
      <c r="C225" s="130"/>
      <c r="D225" s="130"/>
      <c r="E225" s="131"/>
      <c r="F225" s="131"/>
      <c r="G225" s="130"/>
      <c r="H225" s="130"/>
      <c r="I225" s="130"/>
    </row>
    <row r="226" spans="2:9">
      <c r="B226" s="129"/>
      <c r="C226" s="130"/>
      <c r="D226" s="130"/>
      <c r="E226" s="131"/>
      <c r="F226" s="131"/>
      <c r="G226" s="132"/>
      <c r="H226" s="130"/>
      <c r="I226" s="133"/>
    </row>
    <row r="227" spans="2:9">
      <c r="B227" s="129">
        <v>69</v>
      </c>
      <c r="C227" s="130" t="s">
        <v>5098</v>
      </c>
      <c r="D227" s="130" t="s">
        <v>5109</v>
      </c>
      <c r="E227" s="131" t="s">
        <v>5110</v>
      </c>
      <c r="F227" s="131" t="s">
        <v>5003</v>
      </c>
      <c r="G227" s="130">
        <v>10000</v>
      </c>
      <c r="H227" s="130">
        <v>15000</v>
      </c>
      <c r="I227" s="130" t="s">
        <v>5013</v>
      </c>
    </row>
    <row r="228" spans="2:9">
      <c r="B228" s="129"/>
      <c r="C228" s="130"/>
      <c r="D228" s="130"/>
      <c r="E228" s="131"/>
      <c r="F228" s="131"/>
      <c r="G228" s="132"/>
      <c r="H228" s="130"/>
      <c r="I228" s="133"/>
    </row>
    <row r="229" spans="2:9">
      <c r="B229" s="129"/>
      <c r="C229" s="130"/>
      <c r="D229" s="130"/>
      <c r="E229" s="131"/>
      <c r="F229" s="131"/>
      <c r="G229" s="130"/>
      <c r="H229" s="130"/>
      <c r="I229" s="130"/>
    </row>
    <row r="230" spans="2:9">
      <c r="B230" s="129">
        <v>70</v>
      </c>
      <c r="C230" s="130" t="s">
        <v>5098</v>
      </c>
      <c r="D230" s="130" t="s">
        <v>5109</v>
      </c>
      <c r="E230" s="131" t="s">
        <v>5100</v>
      </c>
      <c r="F230" s="131" t="s">
        <v>5111</v>
      </c>
      <c r="G230" s="132">
        <v>10000</v>
      </c>
      <c r="H230" s="130">
        <v>16000</v>
      </c>
      <c r="I230" s="133" t="s">
        <v>5013</v>
      </c>
    </row>
    <row r="231" spans="2:9">
      <c r="B231" s="129"/>
      <c r="C231" s="130"/>
      <c r="D231" s="130"/>
      <c r="E231" s="131"/>
      <c r="F231" s="131"/>
      <c r="G231" s="130"/>
      <c r="H231" s="130"/>
      <c r="I231" s="130"/>
    </row>
    <row r="232" spans="2:9">
      <c r="B232" s="129"/>
      <c r="C232" s="130"/>
      <c r="D232" s="130"/>
      <c r="E232" s="131"/>
      <c r="F232" s="131"/>
      <c r="G232" s="132"/>
      <c r="H232" s="130"/>
      <c r="I232" s="133"/>
    </row>
    <row r="233" spans="2:9">
      <c r="B233" s="129">
        <v>71</v>
      </c>
      <c r="C233" s="130" t="s">
        <v>5098</v>
      </c>
      <c r="D233" s="130" t="s">
        <v>5109</v>
      </c>
      <c r="E233" s="131" t="s">
        <v>5100</v>
      </c>
      <c r="F233" s="131" t="s">
        <v>5003</v>
      </c>
      <c r="G233" s="130">
        <v>1000</v>
      </c>
      <c r="H233" s="130">
        <v>9999</v>
      </c>
      <c r="I233" s="130" t="s">
        <v>5013</v>
      </c>
    </row>
    <row r="234" spans="2:9">
      <c r="B234" s="129"/>
      <c r="C234" s="130"/>
      <c r="D234" s="130"/>
      <c r="E234" s="131"/>
      <c r="F234" s="131"/>
      <c r="G234" s="132"/>
      <c r="H234" s="130"/>
      <c r="I234" s="133"/>
    </row>
    <row r="235" spans="2:9">
      <c r="B235" s="129"/>
      <c r="C235" s="130"/>
      <c r="D235" s="130"/>
      <c r="E235" s="131"/>
      <c r="F235" s="131"/>
      <c r="G235" s="130"/>
      <c r="H235" s="130"/>
      <c r="I235" s="130"/>
    </row>
    <row r="236" spans="2:9">
      <c r="B236" s="129">
        <v>72</v>
      </c>
      <c r="C236" s="130" t="s">
        <v>5034</v>
      </c>
      <c r="D236" s="130" t="s">
        <v>5109</v>
      </c>
      <c r="E236" s="131" t="s">
        <v>5036</v>
      </c>
      <c r="F236" s="131" t="s">
        <v>5043</v>
      </c>
      <c r="G236" s="132">
        <v>10000</v>
      </c>
      <c r="H236" s="130" t="s">
        <v>5037</v>
      </c>
      <c r="I236" s="133" t="s">
        <v>5004</v>
      </c>
    </row>
    <row r="237" spans="2:9">
      <c r="B237" s="129"/>
      <c r="C237" s="130"/>
      <c r="D237" s="130"/>
      <c r="E237" s="131"/>
      <c r="F237" s="131"/>
      <c r="G237" s="130"/>
      <c r="H237" s="130"/>
      <c r="I237" s="130"/>
    </row>
    <row r="238" spans="2:9">
      <c r="B238" s="129"/>
      <c r="C238" s="130"/>
      <c r="D238" s="130"/>
      <c r="E238" s="131"/>
      <c r="F238" s="131"/>
      <c r="G238" s="132"/>
      <c r="H238" s="130"/>
      <c r="I238" s="133"/>
    </row>
    <row r="239" spans="2:9">
      <c r="B239" s="129">
        <v>73</v>
      </c>
      <c r="C239" s="130" t="s">
        <v>5112</v>
      </c>
      <c r="D239" s="130" t="s">
        <v>5113</v>
      </c>
      <c r="E239" s="131" t="s">
        <v>5114</v>
      </c>
      <c r="F239" s="131" t="s">
        <v>5026</v>
      </c>
      <c r="G239" s="130">
        <v>1000</v>
      </c>
      <c r="H239" s="130">
        <v>10000</v>
      </c>
      <c r="I239" s="130" t="s">
        <v>5013</v>
      </c>
    </row>
    <row r="240" spans="2:9">
      <c r="B240" s="129"/>
      <c r="C240" s="130"/>
      <c r="D240" s="130"/>
      <c r="E240" s="131"/>
      <c r="F240" s="131"/>
      <c r="G240" s="132"/>
      <c r="H240" s="130"/>
      <c r="I240" s="133"/>
    </row>
    <row r="241" spans="2:9">
      <c r="B241" s="129"/>
      <c r="C241" s="130"/>
      <c r="D241" s="130"/>
      <c r="E241" s="131"/>
      <c r="F241" s="131"/>
      <c r="G241" s="130"/>
      <c r="H241" s="130"/>
      <c r="I241" s="130"/>
    </row>
    <row r="242" spans="2:9">
      <c r="B242" s="129">
        <v>74</v>
      </c>
      <c r="C242" s="130" t="s">
        <v>5034</v>
      </c>
      <c r="D242" s="130" t="s">
        <v>5115</v>
      </c>
      <c r="E242" s="131" t="s">
        <v>5064</v>
      </c>
      <c r="F242" s="131" t="s">
        <v>5031</v>
      </c>
      <c r="G242" s="132">
        <v>1000</v>
      </c>
      <c r="H242" s="130">
        <v>19000</v>
      </c>
      <c r="I242" s="133" t="s">
        <v>5013</v>
      </c>
    </row>
    <row r="243" spans="2:9">
      <c r="B243" s="129"/>
      <c r="C243" s="130"/>
      <c r="D243" s="130"/>
      <c r="E243" s="131"/>
      <c r="F243" s="131"/>
      <c r="G243" s="130"/>
      <c r="H243" s="130"/>
      <c r="I243" s="130"/>
    </row>
    <row r="244" spans="2:9">
      <c r="B244" s="129"/>
      <c r="C244" s="130"/>
      <c r="D244" s="130"/>
      <c r="E244" s="131"/>
      <c r="F244" s="131"/>
      <c r="G244" s="132"/>
      <c r="H244" s="130"/>
      <c r="I244" s="133"/>
    </row>
    <row r="245" spans="2:9">
      <c r="B245" s="129">
        <v>75</v>
      </c>
      <c r="C245" s="130" t="s">
        <v>5034</v>
      </c>
      <c r="D245" s="130" t="s">
        <v>5115</v>
      </c>
      <c r="E245" s="131" t="s">
        <v>5065</v>
      </c>
      <c r="F245" s="131" t="s">
        <v>5031</v>
      </c>
      <c r="G245" s="130">
        <v>5000</v>
      </c>
      <c r="H245" s="130">
        <v>19000</v>
      </c>
      <c r="I245" s="130" t="s">
        <v>5013</v>
      </c>
    </row>
    <row r="246" spans="2:9">
      <c r="B246" s="129"/>
      <c r="C246" s="130"/>
      <c r="D246" s="130"/>
      <c r="E246" s="131"/>
      <c r="F246" s="131"/>
      <c r="G246" s="132"/>
      <c r="H246" s="130"/>
      <c r="I246" s="133"/>
    </row>
    <row r="247" spans="2:9">
      <c r="B247" s="129"/>
      <c r="C247" s="130"/>
      <c r="D247" s="130"/>
      <c r="E247" s="131"/>
      <c r="F247" s="131"/>
      <c r="G247" s="130"/>
      <c r="H247" s="130"/>
      <c r="I247" s="130"/>
    </row>
    <row r="248" spans="2:9">
      <c r="B248" s="129">
        <v>76</v>
      </c>
      <c r="C248" s="130" t="s">
        <v>5034</v>
      </c>
      <c r="D248" s="130" t="s">
        <v>5116</v>
      </c>
      <c r="E248" s="131" t="s">
        <v>5036</v>
      </c>
      <c r="F248" s="131" t="s">
        <v>5117</v>
      </c>
      <c r="G248" s="132">
        <v>10000</v>
      </c>
      <c r="H248" s="130" t="s">
        <v>5037</v>
      </c>
      <c r="I248" s="133" t="s">
        <v>5004</v>
      </c>
    </row>
    <row r="249" spans="2:9">
      <c r="B249" s="129"/>
      <c r="C249" s="130"/>
      <c r="D249" s="130"/>
      <c r="E249" s="131"/>
      <c r="F249" s="131"/>
      <c r="G249" s="130"/>
      <c r="H249" s="130"/>
      <c r="I249" s="130"/>
    </row>
    <row r="250" spans="2:9">
      <c r="B250" s="129"/>
      <c r="C250" s="130"/>
      <c r="D250" s="130"/>
      <c r="E250" s="131"/>
      <c r="F250" s="131"/>
      <c r="G250" s="132"/>
      <c r="H250" s="130"/>
      <c r="I250" s="133"/>
    </row>
    <row r="251" spans="2:9">
      <c r="B251" s="129">
        <v>77</v>
      </c>
      <c r="C251" s="130" t="s">
        <v>5034</v>
      </c>
      <c r="D251" s="130" t="s">
        <v>5116</v>
      </c>
      <c r="E251" s="131" t="s">
        <v>5036</v>
      </c>
      <c r="F251" s="131" t="s">
        <v>5043</v>
      </c>
      <c r="G251" s="130">
        <v>1000</v>
      </c>
      <c r="H251" s="130">
        <v>9999</v>
      </c>
      <c r="I251" s="130" t="s">
        <v>5004</v>
      </c>
    </row>
    <row r="252" spans="2:9">
      <c r="B252" s="129"/>
      <c r="C252" s="130"/>
      <c r="D252" s="130"/>
      <c r="E252" s="131"/>
      <c r="F252" s="131"/>
      <c r="G252" s="132"/>
      <c r="H252" s="130"/>
      <c r="I252" s="133"/>
    </row>
    <row r="253" spans="2:9">
      <c r="B253" s="129"/>
      <c r="C253" s="130"/>
      <c r="D253" s="130"/>
      <c r="E253" s="131"/>
      <c r="F253" s="131"/>
      <c r="G253" s="130"/>
      <c r="H253" s="130"/>
      <c r="I253" s="130"/>
    </row>
    <row r="254" spans="2:9">
      <c r="B254" s="129">
        <v>78</v>
      </c>
      <c r="C254" s="130" t="s">
        <v>5017</v>
      </c>
      <c r="D254" s="130" t="s">
        <v>5118</v>
      </c>
      <c r="E254" s="131" t="s">
        <v>5119</v>
      </c>
      <c r="F254" s="131" t="s">
        <v>5012</v>
      </c>
      <c r="G254" s="132">
        <v>5000</v>
      </c>
      <c r="H254" s="130">
        <v>15582</v>
      </c>
      <c r="I254" s="133" t="s">
        <v>5013</v>
      </c>
    </row>
    <row r="255" spans="2:9">
      <c r="B255" s="129"/>
      <c r="C255" s="130"/>
      <c r="D255" s="130"/>
      <c r="E255" s="131"/>
      <c r="F255" s="131"/>
      <c r="G255" s="130"/>
      <c r="H255" s="130"/>
      <c r="I255" s="130"/>
    </row>
    <row r="256" spans="2:9">
      <c r="B256" s="129"/>
      <c r="C256" s="130"/>
      <c r="D256" s="130"/>
      <c r="E256" s="131"/>
      <c r="F256" s="131"/>
      <c r="G256" s="132"/>
      <c r="H256" s="130"/>
      <c r="I256" s="133"/>
    </row>
    <row r="257" spans="2:9">
      <c r="B257" s="129">
        <v>79</v>
      </c>
      <c r="C257" s="130" t="s">
        <v>5112</v>
      </c>
      <c r="D257" s="130" t="s">
        <v>5120</v>
      </c>
      <c r="E257" s="131" t="s">
        <v>5121</v>
      </c>
      <c r="F257" s="131" t="s">
        <v>5026</v>
      </c>
      <c r="G257" s="130">
        <v>1000</v>
      </c>
      <c r="H257" s="130">
        <v>15600</v>
      </c>
      <c r="I257" s="130" t="s">
        <v>5013</v>
      </c>
    </row>
    <row r="258" spans="2:9">
      <c r="B258" s="129"/>
      <c r="C258" s="130"/>
      <c r="D258" s="130"/>
      <c r="E258" s="130"/>
      <c r="F258" s="130"/>
      <c r="G258" s="130"/>
      <c r="H258" s="130"/>
      <c r="I258" s="130"/>
    </row>
    <row r="259" spans="2:9">
      <c r="B259" s="129"/>
      <c r="C259" s="130"/>
      <c r="D259" s="130"/>
      <c r="E259" s="130"/>
      <c r="F259" s="130"/>
      <c r="G259" s="130"/>
      <c r="H259" s="130"/>
      <c r="I259" s="130"/>
    </row>
    <row r="260" spans="2:9">
      <c r="B260" s="129">
        <v>80</v>
      </c>
      <c r="C260" s="130" t="s">
        <v>5034</v>
      </c>
      <c r="D260" s="130" t="s">
        <v>5120</v>
      </c>
      <c r="E260" s="130" t="s">
        <v>5064</v>
      </c>
      <c r="F260" s="130" t="s">
        <v>5026</v>
      </c>
      <c r="G260" s="130">
        <v>1000</v>
      </c>
      <c r="H260" s="130">
        <v>19000</v>
      </c>
      <c r="I260" s="130" t="s">
        <v>5013</v>
      </c>
    </row>
    <row r="261" spans="2:9">
      <c r="B261" s="129"/>
      <c r="C261" s="130"/>
      <c r="D261" s="130"/>
      <c r="E261" s="130"/>
      <c r="F261" s="130"/>
      <c r="G261" s="130"/>
      <c r="H261" s="130"/>
      <c r="I261" s="130"/>
    </row>
    <row r="262" spans="2:9">
      <c r="B262" s="129"/>
      <c r="C262" s="130"/>
      <c r="D262" s="130"/>
      <c r="E262" s="130"/>
      <c r="F262" s="130"/>
      <c r="G262" s="130"/>
      <c r="H262" s="130"/>
      <c r="I262" s="130"/>
    </row>
    <row r="263" spans="2:9">
      <c r="B263" s="129">
        <v>81</v>
      </c>
      <c r="C263" s="130" t="s">
        <v>5034</v>
      </c>
      <c r="D263" s="130" t="s">
        <v>5120</v>
      </c>
      <c r="E263" s="130" t="s">
        <v>5065</v>
      </c>
      <c r="F263" s="130" t="s">
        <v>5026</v>
      </c>
      <c r="G263" s="130">
        <v>5000</v>
      </c>
      <c r="H263" s="130">
        <v>19000</v>
      </c>
      <c r="I263" s="130" t="s">
        <v>5013</v>
      </c>
    </row>
    <row r="264" spans="2:9">
      <c r="B264" s="129"/>
      <c r="C264" s="130"/>
      <c r="D264" s="130"/>
      <c r="E264" s="130"/>
      <c r="F264" s="130"/>
      <c r="G264" s="130"/>
      <c r="H264" s="130"/>
      <c r="I264" s="130"/>
    </row>
    <row r="265" spans="2:9">
      <c r="B265" s="129"/>
      <c r="C265" s="130"/>
      <c r="D265" s="130"/>
      <c r="E265" s="130"/>
      <c r="F265" s="130"/>
      <c r="G265" s="130"/>
      <c r="H265" s="130"/>
      <c r="I265" s="130"/>
    </row>
    <row r="266" spans="2:9">
      <c r="B266" s="129">
        <v>82</v>
      </c>
      <c r="C266" s="130" t="s">
        <v>5122</v>
      </c>
      <c r="D266" s="130" t="s">
        <v>5123</v>
      </c>
      <c r="E266" s="130" t="s">
        <v>5124</v>
      </c>
      <c r="F266" s="130" t="s">
        <v>5111</v>
      </c>
      <c r="G266" s="130">
        <v>1000</v>
      </c>
      <c r="H266" s="130">
        <v>16527</v>
      </c>
      <c r="I266" s="130" t="s">
        <v>5013</v>
      </c>
    </row>
    <row r="267" spans="2:9">
      <c r="B267" s="129"/>
      <c r="C267" s="130"/>
      <c r="D267" s="130"/>
      <c r="E267" s="130"/>
      <c r="F267" s="130"/>
      <c r="G267" s="130"/>
      <c r="H267" s="130"/>
      <c r="I267" s="130"/>
    </row>
    <row r="268" spans="2:9">
      <c r="B268" s="129"/>
      <c r="C268" s="130"/>
      <c r="D268" s="130"/>
      <c r="E268" s="130"/>
      <c r="F268" s="130"/>
      <c r="G268" s="130"/>
      <c r="H268" s="130"/>
      <c r="I268" s="130"/>
    </row>
    <row r="269" spans="2:9">
      <c r="B269" s="129">
        <v>83</v>
      </c>
      <c r="C269" s="130" t="s">
        <v>5125</v>
      </c>
      <c r="D269" s="130" t="s">
        <v>5126</v>
      </c>
      <c r="E269" s="130" t="s">
        <v>5127</v>
      </c>
      <c r="F269" s="130" t="s">
        <v>5085</v>
      </c>
      <c r="G269" s="130">
        <v>1000</v>
      </c>
      <c r="H269" s="130" t="s">
        <v>5037</v>
      </c>
      <c r="I269" s="130" t="s">
        <v>5004</v>
      </c>
    </row>
    <row r="270" spans="2:9">
      <c r="B270" s="129"/>
      <c r="C270" s="130"/>
      <c r="D270" s="130"/>
      <c r="E270" s="130"/>
      <c r="F270" s="130"/>
      <c r="G270" s="130"/>
      <c r="H270" s="130"/>
      <c r="I270" s="130"/>
    </row>
    <row r="271" spans="2:9">
      <c r="B271" s="129"/>
      <c r="C271" s="130"/>
      <c r="D271" s="130"/>
      <c r="E271" s="130"/>
      <c r="F271" s="130"/>
      <c r="G271" s="130"/>
      <c r="H271" s="130"/>
      <c r="I271" s="130"/>
    </row>
    <row r="272" spans="2:9">
      <c r="B272" s="129">
        <v>84</v>
      </c>
      <c r="C272" s="130" t="s">
        <v>5098</v>
      </c>
      <c r="D272" s="130" t="s">
        <v>5126</v>
      </c>
      <c r="E272" s="130" t="s">
        <v>5110</v>
      </c>
      <c r="F272" s="130" t="s">
        <v>5111</v>
      </c>
      <c r="G272" s="130">
        <v>10000</v>
      </c>
      <c r="H272" s="130">
        <v>16000</v>
      </c>
      <c r="I272" s="130" t="s">
        <v>5013</v>
      </c>
    </row>
    <row r="273" spans="2:9">
      <c r="B273" s="129"/>
      <c r="C273" s="130"/>
      <c r="D273" s="130"/>
      <c r="E273" s="130"/>
      <c r="F273" s="130"/>
      <c r="G273" s="130"/>
      <c r="H273" s="130"/>
      <c r="I273" s="130"/>
    </row>
    <row r="274" spans="2:9">
      <c r="B274" s="129"/>
      <c r="C274" s="130"/>
      <c r="D274" s="130"/>
      <c r="E274" s="130"/>
      <c r="F274" s="130"/>
      <c r="G274" s="130"/>
      <c r="H274" s="130"/>
      <c r="I274" s="130"/>
    </row>
    <row r="275" spans="2:9">
      <c r="B275" s="129">
        <v>85</v>
      </c>
      <c r="C275" s="130" t="s">
        <v>5098</v>
      </c>
      <c r="D275" s="130" t="s">
        <v>5126</v>
      </c>
      <c r="E275" s="130" t="s">
        <v>5110</v>
      </c>
      <c r="F275" s="130" t="s">
        <v>5003</v>
      </c>
      <c r="G275" s="130">
        <v>1000</v>
      </c>
      <c r="H275" s="130">
        <v>9999</v>
      </c>
      <c r="I275" s="130" t="s">
        <v>5013</v>
      </c>
    </row>
    <row r="276" spans="2:9">
      <c r="B276" s="129"/>
      <c r="C276" s="130"/>
      <c r="D276" s="130"/>
      <c r="E276" s="130"/>
      <c r="F276" s="130"/>
      <c r="G276" s="130"/>
      <c r="H276" s="130"/>
      <c r="I276" s="130"/>
    </row>
    <row r="277" spans="2:9">
      <c r="B277" s="129"/>
      <c r="C277" s="130"/>
      <c r="D277" s="130"/>
      <c r="E277" s="130"/>
      <c r="F277" s="130"/>
      <c r="G277" s="130"/>
      <c r="H277" s="130"/>
      <c r="I277" s="130"/>
    </row>
    <row r="278" spans="2:9">
      <c r="B278" s="129">
        <v>86</v>
      </c>
      <c r="C278" s="130" t="s">
        <v>5098</v>
      </c>
      <c r="D278" s="130" t="s">
        <v>5126</v>
      </c>
      <c r="E278" s="130" t="s">
        <v>5100</v>
      </c>
      <c r="F278" s="130" t="s">
        <v>5111</v>
      </c>
      <c r="G278" s="130">
        <v>1000</v>
      </c>
      <c r="H278" s="130">
        <v>9999</v>
      </c>
      <c r="I278" s="130" t="s">
        <v>5013</v>
      </c>
    </row>
    <row r="279" spans="2:9">
      <c r="B279" s="129"/>
      <c r="C279" s="130"/>
      <c r="D279" s="130"/>
      <c r="E279" s="130"/>
      <c r="F279" s="130"/>
      <c r="G279" s="130"/>
      <c r="H279" s="130"/>
      <c r="I279" s="130"/>
    </row>
    <row r="280" spans="2:9">
      <c r="B280" s="129"/>
      <c r="C280" s="130"/>
      <c r="D280" s="130"/>
      <c r="E280" s="130"/>
      <c r="F280" s="130"/>
      <c r="G280" s="130"/>
      <c r="H280" s="130"/>
      <c r="I280" s="130"/>
    </row>
    <row r="281" spans="2:9">
      <c r="B281" s="129">
        <v>87</v>
      </c>
      <c r="C281" s="130" t="s">
        <v>5128</v>
      </c>
      <c r="D281" s="130" t="s">
        <v>5126</v>
      </c>
      <c r="E281" s="130" t="s">
        <v>5129</v>
      </c>
      <c r="F281" s="130" t="s">
        <v>5033</v>
      </c>
      <c r="G281" s="130">
        <v>1000</v>
      </c>
      <c r="H281" s="130" t="s">
        <v>5037</v>
      </c>
      <c r="I281" s="130" t="s">
        <v>5004</v>
      </c>
    </row>
    <row r="282" spans="2:9">
      <c r="B282" s="129"/>
      <c r="C282" s="130"/>
      <c r="D282" s="130"/>
      <c r="E282" s="130"/>
      <c r="F282" s="130"/>
      <c r="G282" s="130"/>
      <c r="H282" s="130"/>
      <c r="I282" s="130"/>
    </row>
    <row r="283" spans="2:9">
      <c r="B283" s="129"/>
      <c r="C283" s="130"/>
      <c r="D283" s="130"/>
      <c r="E283" s="130"/>
      <c r="F283" s="130"/>
      <c r="G283" s="130"/>
      <c r="H283" s="130"/>
      <c r="I283" s="130"/>
    </row>
    <row r="284" spans="2:9">
      <c r="B284" s="129">
        <v>88</v>
      </c>
      <c r="C284" s="130" t="s">
        <v>5076</v>
      </c>
      <c r="D284" s="130" t="s">
        <v>5126</v>
      </c>
      <c r="E284" s="130" t="s">
        <v>5130</v>
      </c>
      <c r="F284" s="130" t="s">
        <v>5131</v>
      </c>
      <c r="G284" s="130">
        <v>50000</v>
      </c>
      <c r="H284" s="130">
        <v>99999</v>
      </c>
      <c r="I284" s="130" t="s">
        <v>5004</v>
      </c>
    </row>
    <row r="285" spans="2:9">
      <c r="B285" s="129"/>
      <c r="C285" s="130"/>
      <c r="D285" s="130"/>
      <c r="E285" s="130"/>
      <c r="F285" s="130"/>
      <c r="G285" s="130"/>
      <c r="H285" s="130"/>
      <c r="I285" s="130"/>
    </row>
    <row r="286" spans="2:9">
      <c r="B286" s="129"/>
      <c r="C286" s="130"/>
      <c r="D286" s="130"/>
      <c r="E286" s="130"/>
      <c r="F286" s="130"/>
      <c r="G286" s="130"/>
      <c r="H286" s="130"/>
      <c r="I286" s="130"/>
    </row>
    <row r="287" spans="2:9">
      <c r="B287" s="129">
        <v>89</v>
      </c>
      <c r="C287" s="130" t="s">
        <v>5076</v>
      </c>
      <c r="D287" s="130" t="s">
        <v>5126</v>
      </c>
      <c r="E287" s="130" t="s">
        <v>5130</v>
      </c>
      <c r="F287" s="130" t="s">
        <v>5131</v>
      </c>
      <c r="G287" s="130">
        <v>100000</v>
      </c>
      <c r="H287" s="130" t="s">
        <v>5037</v>
      </c>
      <c r="I287" s="130" t="s">
        <v>5004</v>
      </c>
    </row>
    <row r="288" spans="2:9">
      <c r="B288" s="129"/>
      <c r="C288" s="130"/>
      <c r="D288" s="130"/>
      <c r="E288" s="130"/>
      <c r="F288" s="130"/>
      <c r="G288" s="130"/>
      <c r="H288" s="130"/>
      <c r="I288" s="130"/>
    </row>
    <row r="289" spans="2:9">
      <c r="B289" s="129"/>
      <c r="C289" s="130"/>
      <c r="D289" s="130"/>
      <c r="E289" s="130"/>
      <c r="F289" s="130"/>
      <c r="G289" s="130"/>
      <c r="H289" s="130"/>
      <c r="I289" s="130"/>
    </row>
    <row r="290" spans="2:9">
      <c r="B290" s="129">
        <v>90</v>
      </c>
      <c r="C290" s="130" t="s">
        <v>5076</v>
      </c>
      <c r="D290" s="130" t="s">
        <v>5126</v>
      </c>
      <c r="E290" s="130" t="s">
        <v>5078</v>
      </c>
      <c r="F290" s="130" t="s">
        <v>5033</v>
      </c>
      <c r="G290" s="130">
        <v>20000</v>
      </c>
      <c r="H290" s="130">
        <v>99999</v>
      </c>
      <c r="I290" s="130" t="s">
        <v>5004</v>
      </c>
    </row>
    <row r="291" spans="2:9">
      <c r="B291" s="129"/>
      <c r="C291" s="130"/>
      <c r="D291" s="130"/>
      <c r="E291" s="130"/>
      <c r="F291" s="130"/>
      <c r="G291" s="130"/>
      <c r="H291" s="130"/>
      <c r="I291" s="130"/>
    </row>
    <row r="292" spans="2:9">
      <c r="B292" s="129"/>
      <c r="C292" s="130"/>
      <c r="D292" s="130"/>
      <c r="E292" s="130"/>
      <c r="F292" s="130"/>
      <c r="G292" s="130"/>
      <c r="H292" s="130"/>
      <c r="I292" s="130"/>
    </row>
    <row r="293" spans="2:9">
      <c r="B293" s="129">
        <v>91</v>
      </c>
      <c r="C293" s="130" t="s">
        <v>5044</v>
      </c>
      <c r="D293" s="130" t="s">
        <v>5126</v>
      </c>
      <c r="E293" s="130" t="s">
        <v>5046</v>
      </c>
      <c r="F293" s="130" t="s">
        <v>5008</v>
      </c>
      <c r="G293" s="130">
        <v>50000</v>
      </c>
      <c r="H293" s="130" t="s">
        <v>5037</v>
      </c>
      <c r="I293" s="130" t="s">
        <v>5004</v>
      </c>
    </row>
    <row r="294" spans="2:9">
      <c r="B294" s="129"/>
      <c r="C294" s="130"/>
      <c r="D294" s="130"/>
      <c r="E294" s="130"/>
      <c r="F294" s="130"/>
      <c r="G294" s="130"/>
      <c r="H294" s="130"/>
      <c r="I294" s="130"/>
    </row>
    <row r="295" spans="2:9">
      <c r="B295" s="129"/>
      <c r="C295" s="130"/>
      <c r="D295" s="130"/>
      <c r="E295" s="130"/>
      <c r="F295" s="130"/>
      <c r="G295" s="130"/>
      <c r="H295" s="130"/>
      <c r="I295" s="130"/>
    </row>
    <row r="296" spans="2:9">
      <c r="B296" s="129">
        <v>92</v>
      </c>
      <c r="C296" s="130" t="s">
        <v>5107</v>
      </c>
      <c r="D296" s="130" t="s">
        <v>5126</v>
      </c>
      <c r="E296" s="130" t="s">
        <v>5132</v>
      </c>
      <c r="F296" s="130" t="s">
        <v>5026</v>
      </c>
      <c r="G296" s="130">
        <v>100000</v>
      </c>
      <c r="H296" s="130" t="s">
        <v>5037</v>
      </c>
      <c r="I296" s="130" t="s">
        <v>5004</v>
      </c>
    </row>
    <row r="297" spans="2:9">
      <c r="B297" s="129"/>
      <c r="C297" s="130"/>
      <c r="D297" s="130"/>
      <c r="E297" s="130"/>
      <c r="F297" s="130"/>
      <c r="G297" s="130"/>
      <c r="H297" s="130"/>
      <c r="I297" s="130"/>
    </row>
    <row r="298" spans="2:9">
      <c r="B298" s="129"/>
      <c r="C298" s="130"/>
      <c r="D298" s="130"/>
      <c r="E298" s="130"/>
      <c r="F298" s="130"/>
      <c r="G298" s="130"/>
      <c r="H298" s="130"/>
      <c r="I298" s="130"/>
    </row>
    <row r="299" spans="2:9">
      <c r="B299" s="129">
        <v>93</v>
      </c>
      <c r="C299" s="130" t="s">
        <v>5017</v>
      </c>
      <c r="D299" s="130" t="s">
        <v>5126</v>
      </c>
      <c r="E299" s="130" t="s">
        <v>5133</v>
      </c>
      <c r="F299" s="130" t="s">
        <v>5026</v>
      </c>
      <c r="G299" s="130">
        <v>100000</v>
      </c>
      <c r="H299" s="130" t="s">
        <v>5037</v>
      </c>
      <c r="I299" s="130" t="s">
        <v>5004</v>
      </c>
    </row>
    <row r="300" spans="2:9">
      <c r="B300" s="129"/>
      <c r="C300" s="130"/>
      <c r="D300" s="130"/>
      <c r="E300" s="130"/>
      <c r="F300" s="130"/>
      <c r="G300" s="130"/>
      <c r="H300" s="130"/>
      <c r="I300" s="130"/>
    </row>
    <row r="301" spans="2:9">
      <c r="B301" s="129"/>
      <c r="C301" s="130"/>
      <c r="D301" s="130"/>
      <c r="E301" s="130"/>
      <c r="F301" s="130"/>
      <c r="G301" s="130"/>
      <c r="H301" s="130"/>
      <c r="I301" s="130"/>
    </row>
    <row r="302" spans="2:9">
      <c r="B302" s="129">
        <v>94</v>
      </c>
      <c r="C302" s="130" t="s">
        <v>5034</v>
      </c>
      <c r="D302" s="130" t="s">
        <v>5126</v>
      </c>
      <c r="E302" s="130" t="s">
        <v>5036</v>
      </c>
      <c r="F302" s="130" t="s">
        <v>5134</v>
      </c>
      <c r="G302" s="130">
        <v>10000</v>
      </c>
      <c r="H302" s="130" t="s">
        <v>5037</v>
      </c>
      <c r="I302" s="130" t="s">
        <v>5004</v>
      </c>
    </row>
    <row r="303" spans="2:9">
      <c r="B303" s="129"/>
      <c r="C303" s="130"/>
      <c r="D303" s="130"/>
      <c r="E303" s="130"/>
      <c r="F303" s="130"/>
      <c r="G303" s="130"/>
      <c r="H303" s="130"/>
      <c r="I303" s="130"/>
    </row>
    <row r="304" spans="2:9">
      <c r="B304" s="129"/>
      <c r="C304" s="130"/>
      <c r="D304" s="130"/>
      <c r="E304" s="130"/>
      <c r="F304" s="130"/>
      <c r="G304" s="130"/>
      <c r="H304" s="130"/>
      <c r="I304" s="130"/>
    </row>
    <row r="305" spans="2:9">
      <c r="B305" s="129">
        <v>95</v>
      </c>
      <c r="C305" s="130" t="s">
        <v>5034</v>
      </c>
      <c r="D305" s="130" t="s">
        <v>5126</v>
      </c>
      <c r="E305" s="130" t="s">
        <v>5036</v>
      </c>
      <c r="F305" s="130" t="s">
        <v>5117</v>
      </c>
      <c r="G305" s="130">
        <v>1000</v>
      </c>
      <c r="H305" s="130">
        <v>9999</v>
      </c>
      <c r="I305" s="130" t="s">
        <v>5004</v>
      </c>
    </row>
    <row r="306" spans="2:9">
      <c r="B306" s="129"/>
      <c r="C306" s="130"/>
      <c r="D306" s="130"/>
      <c r="E306" s="130"/>
      <c r="F306" s="130"/>
      <c r="G306" s="130"/>
      <c r="H306" s="130"/>
      <c r="I306" s="130"/>
    </row>
    <row r="307" spans="2:9">
      <c r="B307" s="129"/>
      <c r="C307" s="130"/>
      <c r="D307" s="130"/>
      <c r="E307" s="130"/>
      <c r="F307" s="130"/>
      <c r="G307" s="130"/>
      <c r="H307" s="130"/>
      <c r="I307" s="130"/>
    </row>
    <row r="308" spans="2:9">
      <c r="B308" s="129">
        <v>96</v>
      </c>
      <c r="C308" s="130" t="s">
        <v>5122</v>
      </c>
      <c r="D308" s="130" t="s">
        <v>5126</v>
      </c>
      <c r="E308" s="130" t="s">
        <v>5135</v>
      </c>
      <c r="F308" s="130" t="s">
        <v>5008</v>
      </c>
      <c r="G308" s="130">
        <v>1000</v>
      </c>
      <c r="H308" s="130" t="s">
        <v>5037</v>
      </c>
      <c r="I308" s="130" t="s">
        <v>5004</v>
      </c>
    </row>
    <row r="309" spans="2:9">
      <c r="B309" s="129"/>
      <c r="C309" s="130"/>
      <c r="D309" s="130"/>
      <c r="E309" s="130"/>
      <c r="F309" s="130"/>
      <c r="G309" s="130"/>
      <c r="H309" s="130"/>
      <c r="I309" s="130"/>
    </row>
    <row r="310" spans="2:9">
      <c r="B310" s="129"/>
      <c r="C310" s="130"/>
      <c r="D310" s="130"/>
      <c r="E310" s="130"/>
      <c r="F310" s="130"/>
      <c r="G310" s="130"/>
      <c r="H310" s="130"/>
      <c r="I310" s="130"/>
    </row>
    <row r="311" spans="2:9">
      <c r="B311" s="129">
        <v>97</v>
      </c>
      <c r="C311" s="130" t="s">
        <v>5122</v>
      </c>
      <c r="D311" s="130" t="s">
        <v>5126</v>
      </c>
      <c r="E311" s="130" t="s">
        <v>5135</v>
      </c>
      <c r="F311" s="130" t="s">
        <v>5050</v>
      </c>
      <c r="G311" s="130">
        <v>1000</v>
      </c>
      <c r="H311" s="130" t="s">
        <v>5037</v>
      </c>
      <c r="I311" s="130" t="s">
        <v>5004</v>
      </c>
    </row>
    <row r="312" spans="2:9">
      <c r="B312" s="129"/>
      <c r="C312" s="130"/>
      <c r="D312" s="130"/>
      <c r="E312" s="130"/>
      <c r="F312" s="130"/>
      <c r="G312" s="130"/>
      <c r="H312" s="130"/>
      <c r="I312" s="130"/>
    </row>
    <row r="313" spans="2:9">
      <c r="B313" s="129"/>
      <c r="C313" s="130"/>
      <c r="D313" s="130"/>
      <c r="E313" s="130"/>
      <c r="F313" s="130"/>
      <c r="G313" s="130"/>
      <c r="H313" s="130"/>
      <c r="I313" s="130"/>
    </row>
    <row r="314" spans="2:9">
      <c r="B314" s="129">
        <v>98</v>
      </c>
      <c r="C314" s="130" t="s">
        <v>5122</v>
      </c>
      <c r="D314" s="130" t="s">
        <v>5126</v>
      </c>
      <c r="E314" s="130" t="s">
        <v>5135</v>
      </c>
      <c r="F314" s="130" t="s">
        <v>5020</v>
      </c>
      <c r="G314" s="130">
        <v>1000</v>
      </c>
      <c r="H314" s="130" t="s">
        <v>5037</v>
      </c>
      <c r="I314" s="130" t="s">
        <v>5004</v>
      </c>
    </row>
    <row r="315" spans="2:9">
      <c r="B315" s="129"/>
      <c r="C315" s="130"/>
      <c r="D315" s="130"/>
      <c r="E315" s="130"/>
      <c r="F315" s="130"/>
      <c r="G315" s="130"/>
      <c r="H315" s="130"/>
      <c r="I315" s="130"/>
    </row>
    <row r="316" spans="2:9">
      <c r="B316" s="129"/>
      <c r="C316" s="130"/>
      <c r="D316" s="130"/>
      <c r="E316" s="130"/>
      <c r="F316" s="130"/>
      <c r="G316" s="130"/>
      <c r="H316" s="130"/>
      <c r="I316" s="130"/>
    </row>
    <row r="317" spans="2:9">
      <c r="B317" s="129">
        <v>99</v>
      </c>
      <c r="C317" s="130" t="s">
        <v>5056</v>
      </c>
      <c r="D317" s="130" t="s">
        <v>5126</v>
      </c>
      <c r="E317" s="130" t="s">
        <v>5058</v>
      </c>
      <c r="F317" s="130" t="s">
        <v>5111</v>
      </c>
      <c r="G317" s="130">
        <v>5000</v>
      </c>
      <c r="H317" s="130" t="s">
        <v>5037</v>
      </c>
      <c r="I317" s="130" t="s">
        <v>5013</v>
      </c>
    </row>
    <row r="318" spans="2:9">
      <c r="B318" s="129"/>
      <c r="C318" s="130"/>
      <c r="D318" s="130"/>
      <c r="E318" s="130"/>
      <c r="F318" s="130"/>
      <c r="G318" s="130"/>
      <c r="H318" s="130"/>
      <c r="I318" s="130"/>
    </row>
    <row r="319" spans="2:9">
      <c r="B319" s="129"/>
      <c r="C319" s="130"/>
      <c r="D319" s="130"/>
      <c r="E319" s="130"/>
      <c r="F319" s="130"/>
      <c r="G319" s="130"/>
      <c r="H319" s="130"/>
      <c r="I319" s="130"/>
    </row>
    <row r="320" spans="2:9">
      <c r="B320" s="129">
        <v>100</v>
      </c>
      <c r="C320" s="130" t="s">
        <v>5071</v>
      </c>
      <c r="D320" s="130" t="s">
        <v>5126</v>
      </c>
      <c r="E320" s="130" t="s">
        <v>5136</v>
      </c>
      <c r="F320" s="130" t="s">
        <v>5012</v>
      </c>
      <c r="G320" s="130">
        <v>0</v>
      </c>
      <c r="H320" s="130">
        <v>15000</v>
      </c>
      <c r="I320" s="130" t="s">
        <v>5013</v>
      </c>
    </row>
    <row r="321" spans="2:9">
      <c r="B321" s="129"/>
      <c r="C321" s="130"/>
      <c r="D321" s="130"/>
      <c r="E321" s="130"/>
      <c r="F321" s="130"/>
      <c r="G321" s="130"/>
      <c r="H321" s="130"/>
      <c r="I321" s="130"/>
    </row>
    <row r="322" spans="2:9">
      <c r="B322" s="129"/>
      <c r="C322" s="130"/>
      <c r="D322" s="130"/>
      <c r="E322" s="130"/>
      <c r="F322" s="130"/>
      <c r="G322" s="130"/>
      <c r="H322" s="130"/>
      <c r="I322" s="130"/>
    </row>
    <row r="323" spans="2:9">
      <c r="B323" s="129">
        <v>101</v>
      </c>
      <c r="C323" s="130" t="s">
        <v>5005</v>
      </c>
      <c r="D323" s="130" t="s">
        <v>5137</v>
      </c>
      <c r="E323" s="130" t="s">
        <v>5138</v>
      </c>
      <c r="F323" s="130" t="s">
        <v>5026</v>
      </c>
      <c r="G323" s="130">
        <v>1000</v>
      </c>
      <c r="H323" s="130" t="s">
        <v>5037</v>
      </c>
      <c r="I323" s="130" t="s">
        <v>5004</v>
      </c>
    </row>
    <row r="324" spans="2:9">
      <c r="B324" s="129"/>
      <c r="C324" s="130"/>
      <c r="D324" s="130"/>
      <c r="E324" s="130"/>
      <c r="F324" s="130"/>
      <c r="G324" s="130"/>
      <c r="H324" s="130"/>
      <c r="I324" s="130"/>
    </row>
    <row r="325" spans="2:9">
      <c r="B325" s="129"/>
      <c r="C325" s="130"/>
      <c r="D325" s="130"/>
      <c r="E325" s="130"/>
      <c r="F325" s="130"/>
      <c r="G325" s="130"/>
      <c r="H325" s="130"/>
      <c r="I325" s="130"/>
    </row>
    <row r="326" spans="2:9">
      <c r="B326" s="129">
        <v>102</v>
      </c>
      <c r="C326" s="130" t="s">
        <v>5034</v>
      </c>
      <c r="D326" s="130" t="s">
        <v>5137</v>
      </c>
      <c r="E326" s="130" t="s">
        <v>5036</v>
      </c>
      <c r="F326" s="130" t="s">
        <v>5033</v>
      </c>
      <c r="G326" s="130">
        <v>10000</v>
      </c>
      <c r="H326" s="130" t="s">
        <v>5037</v>
      </c>
      <c r="I326" s="130" t="s">
        <v>5004</v>
      </c>
    </row>
    <row r="327" spans="2:9">
      <c r="B327" s="129"/>
      <c r="C327" s="130"/>
      <c r="D327" s="130"/>
      <c r="E327" s="130"/>
      <c r="F327" s="130"/>
      <c r="G327" s="130"/>
      <c r="H327" s="130"/>
      <c r="I327" s="130"/>
    </row>
    <row r="328" spans="2:9">
      <c r="B328" s="129"/>
      <c r="C328" s="130"/>
      <c r="D328" s="130"/>
      <c r="E328" s="130"/>
      <c r="F328" s="130"/>
      <c r="G328" s="130"/>
      <c r="H328" s="130"/>
      <c r="I328" s="130"/>
    </row>
    <row r="329" spans="2:9">
      <c r="B329" s="129">
        <v>103</v>
      </c>
      <c r="C329" s="130" t="s">
        <v>5034</v>
      </c>
      <c r="D329" s="130" t="s">
        <v>5137</v>
      </c>
      <c r="E329" s="130" t="s">
        <v>5036</v>
      </c>
      <c r="F329" s="130" t="s">
        <v>5139</v>
      </c>
      <c r="G329" s="130">
        <v>10000</v>
      </c>
      <c r="H329" s="130" t="s">
        <v>5037</v>
      </c>
      <c r="I329" s="130" t="s">
        <v>5004</v>
      </c>
    </row>
    <row r="330" spans="2:9">
      <c r="B330" s="129"/>
      <c r="C330" s="130"/>
      <c r="D330" s="130"/>
      <c r="E330" s="130"/>
      <c r="F330" s="130"/>
      <c r="G330" s="130"/>
      <c r="H330" s="130"/>
      <c r="I330" s="130"/>
    </row>
    <row r="331" spans="2:9">
      <c r="B331" s="129"/>
      <c r="C331" s="130"/>
      <c r="D331" s="130"/>
      <c r="E331" s="130"/>
      <c r="F331" s="130"/>
      <c r="G331" s="130"/>
      <c r="H331" s="130"/>
      <c r="I331" s="130"/>
    </row>
    <row r="332" spans="2:9">
      <c r="B332" s="129">
        <v>104</v>
      </c>
      <c r="C332" s="130" t="s">
        <v>5034</v>
      </c>
      <c r="D332" s="130" t="s">
        <v>5137</v>
      </c>
      <c r="E332" s="130" t="s">
        <v>5036</v>
      </c>
      <c r="F332" s="130" t="s">
        <v>5140</v>
      </c>
      <c r="G332" s="130">
        <v>10000</v>
      </c>
      <c r="H332" s="130" t="s">
        <v>5037</v>
      </c>
      <c r="I332" s="130" t="s">
        <v>5004</v>
      </c>
    </row>
    <row r="333" spans="2:9">
      <c r="B333" s="129"/>
      <c r="C333" s="130"/>
      <c r="D333" s="130"/>
      <c r="E333" s="130"/>
      <c r="F333" s="130"/>
      <c r="G333" s="130"/>
      <c r="H333" s="130"/>
      <c r="I333" s="130"/>
    </row>
    <row r="334" spans="2:9">
      <c r="B334" s="129"/>
      <c r="C334" s="130"/>
      <c r="D334" s="130"/>
      <c r="E334" s="130"/>
      <c r="F334" s="130"/>
      <c r="G334" s="130"/>
      <c r="H334" s="130"/>
      <c r="I334" s="130"/>
    </row>
    <row r="335" spans="2:9">
      <c r="B335" s="129">
        <v>105</v>
      </c>
      <c r="C335" s="130" t="s">
        <v>5034</v>
      </c>
      <c r="D335" s="130" t="s">
        <v>5137</v>
      </c>
      <c r="E335" s="130" t="s">
        <v>5036</v>
      </c>
      <c r="F335" s="130" t="s">
        <v>5134</v>
      </c>
      <c r="G335" s="130">
        <v>1000</v>
      </c>
      <c r="H335" s="130">
        <v>9999</v>
      </c>
      <c r="I335" s="130" t="s">
        <v>5004</v>
      </c>
    </row>
    <row r="336" spans="2:9">
      <c r="B336" s="129"/>
      <c r="C336" s="130"/>
      <c r="D336" s="130"/>
      <c r="E336" s="130"/>
      <c r="F336" s="130"/>
      <c r="G336" s="130"/>
      <c r="H336" s="130"/>
      <c r="I336" s="130"/>
    </row>
    <row r="337" spans="2:9">
      <c r="B337" s="129"/>
      <c r="C337" s="130"/>
      <c r="D337" s="130"/>
      <c r="E337" s="130"/>
      <c r="F337" s="130"/>
      <c r="G337" s="130"/>
      <c r="H337" s="130"/>
      <c r="I337" s="130"/>
    </row>
    <row r="338" spans="2:9">
      <c r="B338" s="129">
        <v>106</v>
      </c>
      <c r="C338" s="130" t="s">
        <v>5098</v>
      </c>
      <c r="D338" s="130" t="s">
        <v>5141</v>
      </c>
      <c r="E338" s="130" t="s">
        <v>5110</v>
      </c>
      <c r="F338" s="130" t="s">
        <v>5111</v>
      </c>
      <c r="G338" s="130">
        <v>1000</v>
      </c>
      <c r="H338" s="130">
        <v>9999</v>
      </c>
      <c r="I338" s="130" t="s">
        <v>5013</v>
      </c>
    </row>
    <row r="339" spans="2:9">
      <c r="B339" s="129"/>
      <c r="C339" s="130"/>
      <c r="D339" s="130"/>
      <c r="E339" s="130"/>
      <c r="F339" s="130"/>
      <c r="G339" s="130"/>
      <c r="H339" s="130"/>
      <c r="I339" s="130"/>
    </row>
    <row r="340" spans="2:9">
      <c r="B340" s="129"/>
      <c r="C340" s="130"/>
      <c r="D340" s="130"/>
      <c r="E340" s="130"/>
      <c r="F340" s="130"/>
      <c r="G340" s="130"/>
      <c r="H340" s="130"/>
      <c r="I340" s="130"/>
    </row>
    <row r="341" spans="2:9">
      <c r="B341" s="129">
        <v>107</v>
      </c>
      <c r="C341" s="130" t="s">
        <v>5034</v>
      </c>
      <c r="D341" s="130" t="s">
        <v>5141</v>
      </c>
      <c r="E341" s="130" t="s">
        <v>5036</v>
      </c>
      <c r="F341" s="130" t="s">
        <v>5033</v>
      </c>
      <c r="G341" s="130">
        <v>1000</v>
      </c>
      <c r="H341" s="130">
        <v>9999</v>
      </c>
      <c r="I341" s="130" t="s">
        <v>5004</v>
      </c>
    </row>
    <row r="342" spans="2:9">
      <c r="B342" s="129"/>
      <c r="C342" s="130"/>
      <c r="D342" s="130"/>
      <c r="E342" s="130"/>
      <c r="F342" s="130"/>
      <c r="G342" s="130"/>
      <c r="H342" s="130"/>
      <c r="I342" s="130"/>
    </row>
    <row r="343" spans="2:9">
      <c r="B343" s="129"/>
      <c r="C343" s="130"/>
      <c r="D343" s="130"/>
      <c r="E343" s="130"/>
      <c r="F343" s="130"/>
      <c r="G343" s="130"/>
      <c r="H343" s="130"/>
      <c r="I343" s="130"/>
    </row>
    <row r="344" spans="2:9">
      <c r="B344" s="129">
        <v>108</v>
      </c>
      <c r="C344" s="130" t="s">
        <v>5034</v>
      </c>
      <c r="D344" s="130" t="s">
        <v>5141</v>
      </c>
      <c r="E344" s="130" t="s">
        <v>5036</v>
      </c>
      <c r="F344" s="130" t="s">
        <v>5139</v>
      </c>
      <c r="G344" s="130">
        <v>1000</v>
      </c>
      <c r="H344" s="130">
        <v>9999</v>
      </c>
      <c r="I344" s="130" t="s">
        <v>5004</v>
      </c>
    </row>
    <row r="345" spans="2:9">
      <c r="B345" s="129"/>
      <c r="C345" s="130"/>
      <c r="D345" s="130"/>
      <c r="E345" s="130"/>
      <c r="F345" s="130"/>
      <c r="G345" s="130"/>
      <c r="H345" s="130"/>
      <c r="I345" s="130"/>
    </row>
    <row r="346" spans="2:9">
      <c r="B346" s="129"/>
      <c r="C346" s="130"/>
      <c r="D346" s="130"/>
      <c r="E346" s="130"/>
      <c r="F346" s="130"/>
      <c r="G346" s="130"/>
      <c r="H346" s="130"/>
      <c r="I346" s="130"/>
    </row>
    <row r="347" spans="2:9">
      <c r="B347" s="129">
        <v>109</v>
      </c>
      <c r="C347" s="130" t="s">
        <v>5034</v>
      </c>
      <c r="D347" s="130" t="s">
        <v>5141</v>
      </c>
      <c r="E347" s="130" t="s">
        <v>5036</v>
      </c>
      <c r="F347" s="130" t="s">
        <v>5140</v>
      </c>
      <c r="G347" s="130">
        <v>1000</v>
      </c>
      <c r="H347" s="130">
        <v>9999</v>
      </c>
      <c r="I347" s="130" t="s">
        <v>5004</v>
      </c>
    </row>
    <row r="348" spans="2:9">
      <c r="B348" s="129"/>
      <c r="C348" s="130"/>
      <c r="D348" s="130"/>
      <c r="E348" s="130"/>
      <c r="F348" s="130"/>
      <c r="G348" s="130"/>
      <c r="H348" s="130"/>
      <c r="I348" s="130"/>
    </row>
    <row r="349" spans="2:9">
      <c r="B349" s="129"/>
      <c r="C349" s="130"/>
      <c r="D349" s="130"/>
      <c r="E349" s="130"/>
      <c r="F349" s="130"/>
      <c r="G349" s="130"/>
      <c r="H349" s="130"/>
      <c r="I349" s="130"/>
    </row>
    <row r="350" spans="2:9">
      <c r="B350" s="129">
        <v>110</v>
      </c>
      <c r="C350" s="130" t="s">
        <v>5021</v>
      </c>
      <c r="D350" s="130" t="s">
        <v>5142</v>
      </c>
      <c r="E350" s="130" t="s">
        <v>5143</v>
      </c>
      <c r="F350" s="130" t="s">
        <v>5043</v>
      </c>
      <c r="G350" s="130">
        <v>1000</v>
      </c>
      <c r="H350" s="130" t="s">
        <v>5037</v>
      </c>
      <c r="I350" s="130" t="s">
        <v>5004</v>
      </c>
    </row>
    <row r="351" spans="2:9">
      <c r="B351" s="129"/>
      <c r="C351" s="130"/>
      <c r="D351" s="130"/>
      <c r="E351" s="130"/>
      <c r="F351" s="130"/>
      <c r="G351" s="130"/>
      <c r="H351" s="130"/>
      <c r="I351" s="130"/>
    </row>
    <row r="352" spans="2:9">
      <c r="B352" s="129"/>
      <c r="C352" s="130"/>
      <c r="D352" s="130"/>
      <c r="E352" s="130"/>
      <c r="F352" s="130"/>
      <c r="G352" s="130"/>
      <c r="H352" s="130"/>
      <c r="I352" s="130"/>
    </row>
    <row r="353" spans="2:9">
      <c r="B353" s="129">
        <v>111</v>
      </c>
      <c r="C353" s="130" t="s">
        <v>5051</v>
      </c>
      <c r="D353" s="130" t="s">
        <v>5144</v>
      </c>
      <c r="E353" s="130" t="s">
        <v>5145</v>
      </c>
      <c r="F353" s="130" t="s">
        <v>5039</v>
      </c>
      <c r="G353" s="130">
        <v>3000</v>
      </c>
      <c r="H353" s="130" t="s">
        <v>5037</v>
      </c>
      <c r="I353" s="130" t="s">
        <v>5004</v>
      </c>
    </row>
    <row r="354" spans="2:9">
      <c r="B354" s="129"/>
      <c r="C354" s="130"/>
      <c r="D354" s="130"/>
      <c r="E354" s="130"/>
      <c r="F354" s="130"/>
      <c r="G354" s="130"/>
      <c r="H354" s="130"/>
      <c r="I354" s="130"/>
    </row>
    <row r="355" spans="2:9">
      <c r="B355" s="129"/>
      <c r="C355" s="130"/>
      <c r="D355" s="130"/>
      <c r="E355" s="130"/>
      <c r="F355" s="130"/>
      <c r="G355" s="130"/>
      <c r="H355" s="130"/>
      <c r="I355" s="130"/>
    </row>
    <row r="356" spans="2:9">
      <c r="B356" s="129">
        <v>112</v>
      </c>
      <c r="C356" s="130" t="s">
        <v>5005</v>
      </c>
      <c r="D356" s="130" t="s">
        <v>5144</v>
      </c>
      <c r="E356" s="130" t="s">
        <v>5060</v>
      </c>
      <c r="F356" s="130" t="s">
        <v>5008</v>
      </c>
      <c r="G356" s="130">
        <v>3000</v>
      </c>
      <c r="H356" s="130">
        <v>10000</v>
      </c>
      <c r="I356" s="130" t="s">
        <v>5013</v>
      </c>
    </row>
    <row r="357" spans="2:9">
      <c r="B357" s="129"/>
      <c r="C357" s="130"/>
      <c r="D357" s="130"/>
      <c r="E357" s="130"/>
      <c r="F357" s="130"/>
      <c r="G357" s="130"/>
      <c r="H357" s="130"/>
      <c r="I357" s="130"/>
    </row>
    <row r="358" spans="2:9">
      <c r="B358" s="129"/>
      <c r="C358" s="130"/>
      <c r="D358" s="130"/>
      <c r="E358" s="130"/>
      <c r="F358" s="130"/>
      <c r="G358" s="130"/>
      <c r="H358" s="130"/>
      <c r="I358" s="130"/>
    </row>
    <row r="359" spans="2:9">
      <c r="B359" s="129">
        <v>113</v>
      </c>
      <c r="C359" s="130" t="s">
        <v>5005</v>
      </c>
      <c r="D359" s="130" t="s">
        <v>5144</v>
      </c>
      <c r="E359" s="130" t="s">
        <v>5146</v>
      </c>
      <c r="F359" s="130" t="s">
        <v>5026</v>
      </c>
      <c r="G359" s="130">
        <v>3000</v>
      </c>
      <c r="H359" s="130" t="s">
        <v>5037</v>
      </c>
      <c r="I359" s="130" t="s">
        <v>5004</v>
      </c>
    </row>
    <row r="360" spans="2:9">
      <c r="B360" s="129"/>
      <c r="C360" s="130"/>
      <c r="D360" s="130"/>
      <c r="E360" s="130"/>
      <c r="F360" s="130"/>
      <c r="G360" s="130"/>
      <c r="H360" s="130"/>
      <c r="I360" s="130"/>
    </row>
    <row r="361" spans="2:9">
      <c r="B361" s="129"/>
      <c r="C361" s="130"/>
      <c r="D361" s="130"/>
      <c r="E361" s="130"/>
      <c r="F361" s="130"/>
      <c r="G361" s="130"/>
      <c r="H361" s="130"/>
      <c r="I361" s="130"/>
    </row>
    <row r="362" spans="2:9">
      <c r="B362" s="129">
        <v>114</v>
      </c>
      <c r="C362" s="130" t="s">
        <v>5047</v>
      </c>
      <c r="D362" s="130" t="s">
        <v>5147</v>
      </c>
      <c r="E362" s="130" t="s">
        <v>5132</v>
      </c>
      <c r="F362" s="130" t="s">
        <v>5026</v>
      </c>
      <c r="G362" s="130">
        <v>1000</v>
      </c>
      <c r="H362" s="130">
        <v>1000000</v>
      </c>
      <c r="I362" s="130" t="s">
        <v>5004</v>
      </c>
    </row>
    <row r="363" spans="2:9">
      <c r="B363" s="129"/>
      <c r="C363" s="130"/>
      <c r="D363" s="130"/>
      <c r="E363" s="130"/>
      <c r="F363" s="130"/>
      <c r="G363" s="130"/>
      <c r="H363" s="130"/>
      <c r="I363" s="130"/>
    </row>
    <row r="364" spans="2:9">
      <c r="B364" s="129"/>
      <c r="C364" s="130"/>
      <c r="D364" s="130"/>
      <c r="E364" s="130"/>
      <c r="F364" s="130"/>
      <c r="G364" s="130"/>
      <c r="H364" s="130"/>
      <c r="I364" s="130"/>
    </row>
    <row r="365" spans="2:9">
      <c r="B365" s="129">
        <v>115</v>
      </c>
      <c r="C365" s="130" t="s">
        <v>5047</v>
      </c>
      <c r="D365" s="130" t="s">
        <v>5147</v>
      </c>
      <c r="E365" s="130" t="s">
        <v>5132</v>
      </c>
      <c r="F365" s="130" t="s">
        <v>5043</v>
      </c>
      <c r="G365" s="130">
        <v>1000</v>
      </c>
      <c r="H365" s="130">
        <v>1000000</v>
      </c>
      <c r="I365" s="130" t="s">
        <v>5004</v>
      </c>
    </row>
    <row r="366" spans="2:9">
      <c r="B366" s="129"/>
      <c r="C366" s="130"/>
      <c r="D366" s="130"/>
      <c r="E366" s="130"/>
      <c r="F366" s="130"/>
      <c r="G366" s="130"/>
      <c r="H366" s="130"/>
      <c r="I366" s="130"/>
    </row>
    <row r="367" spans="2:9">
      <c r="B367" s="129"/>
      <c r="C367" s="130"/>
      <c r="D367" s="130"/>
      <c r="E367" s="130"/>
      <c r="F367" s="130"/>
      <c r="G367" s="130"/>
      <c r="H367" s="130"/>
      <c r="I367" s="130"/>
    </row>
    <row r="368" spans="2:9">
      <c r="B368" s="129">
        <v>116</v>
      </c>
      <c r="C368" s="130" t="s">
        <v>5102</v>
      </c>
      <c r="D368" s="130" t="s">
        <v>5147</v>
      </c>
      <c r="E368" s="130" t="s">
        <v>5132</v>
      </c>
      <c r="F368" s="130" t="s">
        <v>5043</v>
      </c>
      <c r="G368" s="130">
        <v>10000</v>
      </c>
      <c r="H368" s="130" t="s">
        <v>5037</v>
      </c>
      <c r="I368" s="130" t="s">
        <v>5004</v>
      </c>
    </row>
    <row r="369" spans="2:9">
      <c r="B369" s="129"/>
      <c r="C369" s="130"/>
      <c r="D369" s="130"/>
      <c r="E369" s="130"/>
      <c r="F369" s="130"/>
      <c r="G369" s="130"/>
      <c r="H369" s="130"/>
      <c r="I369" s="130"/>
    </row>
    <row r="370" spans="2:9">
      <c r="B370" s="129"/>
      <c r="C370" s="130"/>
      <c r="D370" s="130"/>
      <c r="E370" s="130"/>
      <c r="F370" s="130"/>
      <c r="G370" s="130"/>
      <c r="H370" s="130"/>
      <c r="I370" s="130"/>
    </row>
    <row r="371" spans="2:9">
      <c r="B371" s="129">
        <v>117</v>
      </c>
      <c r="C371" s="130" t="s">
        <v>5000</v>
      </c>
      <c r="D371" s="130" t="s">
        <v>5147</v>
      </c>
      <c r="E371" s="130" t="s">
        <v>5148</v>
      </c>
      <c r="F371" s="130" t="s">
        <v>5026</v>
      </c>
      <c r="G371" s="130">
        <v>500</v>
      </c>
      <c r="H371" s="130">
        <v>1000000</v>
      </c>
      <c r="I371" s="130" t="s">
        <v>5004</v>
      </c>
    </row>
    <row r="372" spans="2:9">
      <c r="B372" s="129"/>
      <c r="C372" s="130"/>
      <c r="D372" s="130"/>
      <c r="E372" s="130"/>
      <c r="F372" s="130"/>
      <c r="G372" s="130"/>
      <c r="H372" s="130"/>
      <c r="I372" s="130"/>
    </row>
    <row r="373" spans="2:9">
      <c r="B373" s="129"/>
      <c r="C373" s="130"/>
      <c r="D373" s="130"/>
      <c r="E373" s="130"/>
      <c r="F373" s="130"/>
      <c r="G373" s="130"/>
      <c r="H373" s="130"/>
      <c r="I373" s="130"/>
    </row>
    <row r="374" spans="2:9">
      <c r="B374" s="129">
        <v>118</v>
      </c>
      <c r="C374" s="130" t="s">
        <v>5128</v>
      </c>
      <c r="D374" s="130" t="s">
        <v>5147</v>
      </c>
      <c r="E374" s="130" t="s">
        <v>5149</v>
      </c>
      <c r="F374" s="130" t="s">
        <v>5033</v>
      </c>
      <c r="G374" s="130">
        <v>1000</v>
      </c>
      <c r="H374" s="130" t="s">
        <v>5037</v>
      </c>
      <c r="I374" s="130" t="s">
        <v>5004</v>
      </c>
    </row>
    <row r="375" spans="2:9">
      <c r="B375" s="129"/>
      <c r="C375" s="130"/>
      <c r="D375" s="130"/>
      <c r="E375" s="130"/>
      <c r="F375" s="130"/>
      <c r="G375" s="130"/>
      <c r="H375" s="130"/>
      <c r="I375" s="130"/>
    </row>
    <row r="376" spans="2:9">
      <c r="B376" s="129"/>
      <c r="C376" s="130"/>
      <c r="D376" s="130"/>
      <c r="E376" s="130"/>
      <c r="F376" s="130"/>
      <c r="G376" s="130"/>
      <c r="H376" s="130"/>
      <c r="I376" s="130"/>
    </row>
    <row r="377" spans="2:9">
      <c r="B377" s="129">
        <v>119</v>
      </c>
      <c r="C377" s="130" t="s">
        <v>5076</v>
      </c>
      <c r="D377" s="130" t="s">
        <v>5147</v>
      </c>
      <c r="E377" s="130" t="s">
        <v>5130</v>
      </c>
      <c r="F377" s="130" t="s">
        <v>5131</v>
      </c>
      <c r="G377" s="130">
        <v>20000</v>
      </c>
      <c r="H377" s="130">
        <v>49999</v>
      </c>
      <c r="I377" s="130" t="s">
        <v>5004</v>
      </c>
    </row>
    <row r="378" spans="2:9">
      <c r="B378" s="129"/>
      <c r="C378" s="130"/>
      <c r="D378" s="130"/>
      <c r="E378" s="130"/>
      <c r="F378" s="130"/>
      <c r="G378" s="130"/>
      <c r="H378" s="130"/>
      <c r="I378" s="130"/>
    </row>
    <row r="379" spans="2:9">
      <c r="B379" s="129"/>
      <c r="C379" s="130"/>
      <c r="D379" s="130"/>
      <c r="E379" s="130"/>
      <c r="F379" s="130"/>
      <c r="G379" s="130"/>
      <c r="H379" s="130"/>
      <c r="I379" s="130"/>
    </row>
    <row r="380" spans="2:9">
      <c r="B380" s="129">
        <v>120</v>
      </c>
      <c r="C380" s="130" t="s">
        <v>5005</v>
      </c>
      <c r="D380" s="130" t="s">
        <v>5147</v>
      </c>
      <c r="E380" s="130" t="s">
        <v>5060</v>
      </c>
      <c r="F380" s="130" t="s">
        <v>5008</v>
      </c>
      <c r="G380" s="130">
        <v>3000</v>
      </c>
      <c r="H380" s="130">
        <v>10000</v>
      </c>
      <c r="I380" s="130" t="s">
        <v>5013</v>
      </c>
    </row>
    <row r="381" spans="2:9">
      <c r="B381" s="129"/>
      <c r="C381" s="130"/>
      <c r="D381" s="130"/>
      <c r="E381" s="130"/>
      <c r="F381" s="130"/>
      <c r="G381" s="130"/>
      <c r="H381" s="130"/>
      <c r="I381" s="130"/>
    </row>
    <row r="382" spans="2:9">
      <c r="B382" s="129"/>
      <c r="C382" s="130"/>
      <c r="D382" s="130"/>
      <c r="E382" s="130"/>
      <c r="F382" s="130"/>
      <c r="G382" s="130"/>
      <c r="H382" s="130"/>
      <c r="I382" s="130"/>
    </row>
    <row r="383" spans="2:9">
      <c r="B383" s="129">
        <v>121</v>
      </c>
      <c r="C383" s="130" t="s">
        <v>5056</v>
      </c>
      <c r="D383" s="130" t="s">
        <v>5147</v>
      </c>
      <c r="E383" s="130" t="s">
        <v>5091</v>
      </c>
      <c r="F383" s="130" t="s">
        <v>5026</v>
      </c>
      <c r="G383" s="130">
        <v>2000</v>
      </c>
      <c r="H383" s="130" t="s">
        <v>5037</v>
      </c>
      <c r="I383" s="130" t="s">
        <v>5004</v>
      </c>
    </row>
    <row r="384" spans="2:9">
      <c r="B384" s="129"/>
      <c r="C384" s="130"/>
      <c r="D384" s="130"/>
      <c r="E384" s="130"/>
      <c r="F384" s="130"/>
      <c r="G384" s="130"/>
      <c r="H384" s="130"/>
      <c r="I384" s="130"/>
    </row>
    <row r="385" spans="2:9">
      <c r="B385" s="129"/>
      <c r="C385" s="130"/>
      <c r="D385" s="130"/>
      <c r="E385" s="130"/>
      <c r="F385" s="130"/>
      <c r="G385" s="130"/>
      <c r="H385" s="130"/>
      <c r="I385" s="130"/>
    </row>
    <row r="386" spans="2:9">
      <c r="B386" s="129">
        <v>122</v>
      </c>
      <c r="C386" s="130" t="s">
        <v>5000</v>
      </c>
      <c r="D386" s="130" t="s">
        <v>5147</v>
      </c>
      <c r="E386" s="130" t="s">
        <v>5150</v>
      </c>
      <c r="F386" s="130" t="s">
        <v>5026</v>
      </c>
      <c r="G386" s="130">
        <v>500</v>
      </c>
      <c r="H386" s="130">
        <v>1000000</v>
      </c>
      <c r="I386" s="130" t="s">
        <v>5004</v>
      </c>
    </row>
    <row r="387" spans="2:9">
      <c r="B387" s="129"/>
      <c r="C387" s="130"/>
      <c r="D387" s="130"/>
      <c r="E387" s="130"/>
      <c r="F387" s="130"/>
      <c r="G387" s="130"/>
      <c r="H387" s="130"/>
      <c r="I387" s="130"/>
    </row>
    <row r="388" spans="2:9">
      <c r="B388" s="129"/>
      <c r="C388" s="130"/>
      <c r="D388" s="130"/>
      <c r="E388" s="130"/>
      <c r="F388" s="130"/>
      <c r="G388" s="130"/>
      <c r="H388" s="130"/>
      <c r="I388" s="130"/>
    </row>
    <row r="389" spans="2:9">
      <c r="B389" s="129">
        <v>123</v>
      </c>
      <c r="C389" s="130" t="s">
        <v>5102</v>
      </c>
      <c r="D389" s="130" t="s">
        <v>5151</v>
      </c>
      <c r="E389" s="130" t="s">
        <v>5104</v>
      </c>
      <c r="F389" s="130" t="s">
        <v>5038</v>
      </c>
      <c r="G389" s="130">
        <v>1000</v>
      </c>
      <c r="H389" s="130">
        <v>10000</v>
      </c>
      <c r="I389" s="130" t="s">
        <v>5013</v>
      </c>
    </row>
    <row r="390" spans="2:9">
      <c r="B390" s="129"/>
      <c r="C390" s="130"/>
      <c r="D390" s="130"/>
      <c r="E390" s="130"/>
      <c r="F390" s="130"/>
      <c r="G390" s="130"/>
      <c r="H390" s="130"/>
      <c r="I390" s="130"/>
    </row>
    <row r="391" spans="2:9">
      <c r="B391" s="129"/>
      <c r="C391" s="130"/>
      <c r="D391" s="130"/>
      <c r="E391" s="130"/>
      <c r="F391" s="130"/>
      <c r="G391" s="130"/>
      <c r="H391" s="130"/>
      <c r="I391" s="130"/>
    </row>
    <row r="392" spans="2:9">
      <c r="B392" s="129">
        <v>124</v>
      </c>
      <c r="C392" s="130" t="s">
        <v>5009</v>
      </c>
      <c r="D392" s="130" t="s">
        <v>5151</v>
      </c>
      <c r="E392" s="130" t="s">
        <v>5152</v>
      </c>
      <c r="F392" s="130" t="s">
        <v>5033</v>
      </c>
      <c r="G392" s="130">
        <v>5000</v>
      </c>
      <c r="H392" s="130" t="s">
        <v>5037</v>
      </c>
      <c r="I392" s="130" t="s">
        <v>5013</v>
      </c>
    </row>
    <row r="393" spans="2:9">
      <c r="B393" s="129"/>
      <c r="C393" s="130"/>
      <c r="D393" s="130"/>
      <c r="E393" s="130"/>
      <c r="F393" s="130"/>
      <c r="G393" s="130"/>
      <c r="H393" s="130"/>
      <c r="I393" s="130"/>
    </row>
    <row r="394" spans="2:9">
      <c r="B394" s="129"/>
      <c r="C394" s="130"/>
      <c r="D394" s="130"/>
      <c r="E394" s="130"/>
      <c r="F394" s="130"/>
      <c r="G394" s="130"/>
      <c r="H394" s="130"/>
      <c r="I394" s="130"/>
    </row>
    <row r="395" spans="2:9">
      <c r="B395" s="129">
        <v>125</v>
      </c>
      <c r="C395" s="130" t="s">
        <v>5061</v>
      </c>
      <c r="D395" s="130" t="s">
        <v>5151</v>
      </c>
      <c r="E395" s="130" t="s">
        <v>5063</v>
      </c>
      <c r="F395" s="130" t="s">
        <v>5033</v>
      </c>
      <c r="G395" s="130">
        <v>1000</v>
      </c>
      <c r="H395" s="130">
        <v>14000</v>
      </c>
      <c r="I395" s="130" t="s">
        <v>5013</v>
      </c>
    </row>
    <row r="396" spans="2:9">
      <c r="B396" s="129"/>
      <c r="C396" s="130"/>
      <c r="D396" s="130"/>
      <c r="E396" s="130"/>
      <c r="F396" s="130"/>
      <c r="G396" s="130"/>
      <c r="H396" s="130"/>
      <c r="I396" s="130"/>
    </row>
    <row r="397" spans="2:9">
      <c r="B397" s="129"/>
      <c r="C397" s="130"/>
      <c r="D397" s="130"/>
      <c r="E397" s="130"/>
      <c r="F397" s="130"/>
      <c r="G397" s="130"/>
      <c r="H397" s="130"/>
      <c r="I397" s="130"/>
    </row>
    <row r="398" spans="2:9">
      <c r="B398" s="129">
        <v>126</v>
      </c>
      <c r="C398" s="130" t="s">
        <v>5095</v>
      </c>
      <c r="D398" s="130" t="s">
        <v>5151</v>
      </c>
      <c r="E398" s="130" t="s">
        <v>5097</v>
      </c>
      <c r="F398" s="130" t="s">
        <v>5008</v>
      </c>
      <c r="G398" s="130">
        <v>1000</v>
      </c>
      <c r="H398" s="130">
        <v>15000</v>
      </c>
      <c r="I398" s="130" t="s">
        <v>5013</v>
      </c>
    </row>
    <row r="399" spans="2:9">
      <c r="B399" s="129"/>
      <c r="C399" s="130"/>
      <c r="D399" s="130"/>
      <c r="E399" s="130"/>
      <c r="F399" s="130"/>
      <c r="G399" s="130"/>
      <c r="H399" s="130"/>
      <c r="I399" s="130"/>
    </row>
    <row r="400" spans="2:9">
      <c r="B400" s="129"/>
      <c r="C400" s="130"/>
      <c r="D400" s="130"/>
      <c r="E400" s="130"/>
      <c r="F400" s="130"/>
      <c r="G400" s="130"/>
      <c r="H400" s="130"/>
      <c r="I400" s="130"/>
    </row>
    <row r="401" spans="2:9">
      <c r="B401" s="129">
        <v>127</v>
      </c>
      <c r="C401" s="130" t="s">
        <v>5107</v>
      </c>
      <c r="D401" s="130" t="s">
        <v>5151</v>
      </c>
      <c r="E401" s="130" t="s">
        <v>5108</v>
      </c>
      <c r="F401" s="130" t="s">
        <v>5008</v>
      </c>
      <c r="G401" s="130">
        <v>3000</v>
      </c>
      <c r="H401" s="130">
        <v>15000</v>
      </c>
      <c r="I401" s="130" t="s">
        <v>5013</v>
      </c>
    </row>
    <row r="402" spans="2:9">
      <c r="B402" s="129"/>
      <c r="C402" s="130"/>
      <c r="D402" s="130"/>
      <c r="E402" s="130"/>
      <c r="F402" s="130"/>
      <c r="G402" s="130"/>
      <c r="H402" s="130"/>
      <c r="I402" s="130"/>
    </row>
    <row r="403" spans="2:9">
      <c r="B403" s="129"/>
      <c r="C403" s="130"/>
      <c r="D403" s="130"/>
      <c r="E403" s="130"/>
      <c r="F403" s="130"/>
      <c r="G403" s="130"/>
      <c r="H403" s="130"/>
      <c r="I403" s="130"/>
    </row>
    <row r="404" spans="2:9">
      <c r="B404" s="129">
        <v>128</v>
      </c>
      <c r="C404" s="130" t="s">
        <v>5051</v>
      </c>
      <c r="D404" s="130" t="s">
        <v>5153</v>
      </c>
      <c r="E404" s="130" t="s">
        <v>5132</v>
      </c>
      <c r="F404" s="130" t="s">
        <v>5026</v>
      </c>
      <c r="G404" s="130">
        <v>3000</v>
      </c>
      <c r="H404" s="130" t="s">
        <v>5037</v>
      </c>
      <c r="I404" s="130" t="s">
        <v>5004</v>
      </c>
    </row>
    <row r="405" spans="2:9">
      <c r="B405" s="129"/>
      <c r="C405" s="130"/>
      <c r="D405" s="130"/>
      <c r="E405" s="130"/>
      <c r="F405" s="130"/>
      <c r="G405" s="130"/>
      <c r="H405" s="130"/>
      <c r="I405" s="130"/>
    </row>
    <row r="406" spans="2:9">
      <c r="B406" s="129"/>
      <c r="C406" s="130"/>
      <c r="D406" s="130"/>
      <c r="E406" s="130"/>
      <c r="F406" s="130"/>
      <c r="G406" s="130"/>
      <c r="H406" s="130"/>
      <c r="I406" s="130"/>
    </row>
    <row r="407" spans="2:9">
      <c r="B407" s="129">
        <v>129</v>
      </c>
      <c r="C407" s="130" t="s">
        <v>5017</v>
      </c>
      <c r="D407" s="130" t="s">
        <v>5153</v>
      </c>
      <c r="E407" s="130" t="s">
        <v>5133</v>
      </c>
      <c r="F407" s="130" t="s">
        <v>5026</v>
      </c>
      <c r="G407" s="130">
        <v>500</v>
      </c>
      <c r="H407" s="130">
        <v>99999</v>
      </c>
      <c r="I407" s="130" t="s">
        <v>5004</v>
      </c>
    </row>
    <row r="408" spans="2:9">
      <c r="B408" s="129"/>
      <c r="C408" s="130"/>
      <c r="D408" s="130"/>
      <c r="E408" s="130"/>
      <c r="F408" s="130"/>
      <c r="G408" s="130"/>
      <c r="H408" s="130"/>
      <c r="I408" s="130"/>
    </row>
    <row r="409" spans="2:9">
      <c r="B409" s="129"/>
      <c r="C409" s="130"/>
      <c r="D409" s="130"/>
      <c r="E409" s="130"/>
      <c r="F409" s="130"/>
      <c r="G409" s="130"/>
      <c r="H409" s="130"/>
      <c r="I409" s="130"/>
    </row>
    <row r="410" spans="2:9">
      <c r="B410" s="129">
        <v>130</v>
      </c>
      <c r="C410" s="130" t="s">
        <v>5112</v>
      </c>
      <c r="D410" s="130" t="s">
        <v>5154</v>
      </c>
      <c r="E410" s="130" t="s">
        <v>5114</v>
      </c>
      <c r="F410" s="130" t="s">
        <v>5031</v>
      </c>
      <c r="G410" s="130">
        <v>1000</v>
      </c>
      <c r="H410" s="130">
        <v>10000</v>
      </c>
      <c r="I410" s="130" t="s">
        <v>5013</v>
      </c>
    </row>
    <row r="411" spans="2:9">
      <c r="B411" s="129"/>
      <c r="C411" s="130"/>
      <c r="D411" s="130"/>
      <c r="E411" s="130"/>
      <c r="F411" s="130"/>
      <c r="G411" s="130"/>
      <c r="H411" s="130"/>
      <c r="I411" s="130"/>
    </row>
    <row r="412" spans="2:9">
      <c r="B412" s="129"/>
      <c r="C412" s="130"/>
      <c r="D412" s="130"/>
      <c r="E412" s="130"/>
      <c r="F412" s="130"/>
      <c r="G412" s="130"/>
      <c r="H412" s="130"/>
      <c r="I412" s="130"/>
    </row>
    <row r="413" spans="2:9">
      <c r="B413" s="129">
        <v>131</v>
      </c>
      <c r="C413" s="130" t="s">
        <v>5112</v>
      </c>
      <c r="D413" s="130" t="s">
        <v>5155</v>
      </c>
      <c r="E413" s="130" t="s">
        <v>5121</v>
      </c>
      <c r="F413" s="130" t="s">
        <v>5031</v>
      </c>
      <c r="G413" s="130">
        <v>1000</v>
      </c>
      <c r="H413" s="130">
        <v>16700</v>
      </c>
      <c r="I413" s="130" t="s">
        <v>5013</v>
      </c>
    </row>
    <row r="414" spans="2:9">
      <c r="B414" s="129"/>
      <c r="C414" s="130"/>
      <c r="D414" s="130"/>
      <c r="E414" s="130"/>
      <c r="F414" s="130"/>
      <c r="G414" s="130"/>
      <c r="H414" s="130"/>
      <c r="I414" s="130"/>
    </row>
    <row r="415" spans="2:9">
      <c r="B415" s="129"/>
      <c r="C415" s="130"/>
      <c r="D415" s="130"/>
      <c r="E415" s="130"/>
      <c r="F415" s="130"/>
      <c r="G415" s="130"/>
      <c r="H415" s="130"/>
      <c r="I415" s="130"/>
    </row>
    <row r="416" spans="2:9">
      <c r="B416" s="129">
        <v>132</v>
      </c>
      <c r="C416" s="130" t="s">
        <v>5027</v>
      </c>
      <c r="D416" s="130" t="s">
        <v>5156</v>
      </c>
      <c r="E416" s="130" t="s">
        <v>5157</v>
      </c>
      <c r="F416" s="130" t="s">
        <v>5031</v>
      </c>
      <c r="G416" s="130">
        <v>1000</v>
      </c>
      <c r="H416" s="130" t="s">
        <v>5037</v>
      </c>
      <c r="I416" s="130" t="s">
        <v>5004</v>
      </c>
    </row>
    <row r="417" spans="2:9">
      <c r="B417" s="129"/>
      <c r="C417" s="130"/>
      <c r="D417" s="130"/>
      <c r="E417" s="130"/>
      <c r="F417" s="130"/>
      <c r="G417" s="130"/>
      <c r="H417" s="130"/>
      <c r="I417" s="130"/>
    </row>
    <row r="418" spans="2:9">
      <c r="B418" s="129"/>
      <c r="C418" s="130"/>
      <c r="D418" s="130"/>
      <c r="E418" s="130"/>
      <c r="F418" s="130"/>
      <c r="G418" s="130"/>
      <c r="H418" s="130"/>
      <c r="I418" s="130"/>
    </row>
    <row r="419" spans="2:9">
      <c r="B419" s="129">
        <v>133</v>
      </c>
      <c r="C419" s="130" t="s">
        <v>5047</v>
      </c>
      <c r="D419" s="130" t="s">
        <v>5156</v>
      </c>
      <c r="E419" s="130" t="s">
        <v>5132</v>
      </c>
      <c r="F419" s="130" t="s">
        <v>5008</v>
      </c>
      <c r="G419" s="130">
        <v>1000</v>
      </c>
      <c r="H419" s="130">
        <v>1000000</v>
      </c>
      <c r="I419" s="130" t="s">
        <v>5004</v>
      </c>
    </row>
    <row r="420" spans="2:9">
      <c r="B420" s="129"/>
      <c r="C420" s="130"/>
      <c r="D420" s="130"/>
      <c r="E420" s="130"/>
      <c r="F420" s="130"/>
      <c r="G420" s="130"/>
      <c r="H420" s="130"/>
      <c r="I420" s="130"/>
    </row>
    <row r="421" spans="2:9">
      <c r="B421" s="129"/>
      <c r="C421" s="130"/>
      <c r="D421" s="130"/>
      <c r="E421" s="130"/>
      <c r="F421" s="130"/>
      <c r="G421" s="130"/>
      <c r="H421" s="130"/>
      <c r="I421" s="130"/>
    </row>
    <row r="422" spans="2:9">
      <c r="B422" s="129">
        <v>134</v>
      </c>
      <c r="C422" s="130" t="s">
        <v>5051</v>
      </c>
      <c r="D422" s="130" t="s">
        <v>5156</v>
      </c>
      <c r="E422" s="130" t="s">
        <v>5145</v>
      </c>
      <c r="F422" s="130" t="s">
        <v>5031</v>
      </c>
      <c r="G422" s="130">
        <v>3000</v>
      </c>
      <c r="H422" s="130" t="s">
        <v>5037</v>
      </c>
      <c r="I422" s="130" t="s">
        <v>5004</v>
      </c>
    </row>
    <row r="423" spans="2:9">
      <c r="B423" s="129"/>
      <c r="C423" s="130"/>
      <c r="D423" s="130"/>
      <c r="E423" s="130"/>
      <c r="F423" s="130"/>
      <c r="G423" s="130"/>
      <c r="H423" s="130"/>
      <c r="I423" s="130"/>
    </row>
    <row r="424" spans="2:9">
      <c r="B424" s="129"/>
      <c r="C424" s="130"/>
      <c r="D424" s="130"/>
      <c r="E424" s="130"/>
      <c r="F424" s="130"/>
      <c r="G424" s="130"/>
      <c r="H424" s="130"/>
      <c r="I424" s="130"/>
    </row>
    <row r="425" spans="2:9">
      <c r="B425" s="129">
        <v>135</v>
      </c>
      <c r="C425" s="130" t="s">
        <v>5000</v>
      </c>
      <c r="D425" s="130" t="s">
        <v>5156</v>
      </c>
      <c r="E425" s="130" t="s">
        <v>5158</v>
      </c>
      <c r="F425" s="130" t="s">
        <v>5026</v>
      </c>
      <c r="G425" s="130">
        <v>200</v>
      </c>
      <c r="H425" s="130">
        <v>1000000</v>
      </c>
      <c r="I425" s="130" t="s">
        <v>5004</v>
      </c>
    </row>
    <row r="426" spans="2:9">
      <c r="B426" s="129"/>
      <c r="C426" s="130"/>
      <c r="D426" s="130"/>
      <c r="E426" s="130"/>
      <c r="F426" s="130"/>
      <c r="G426" s="130"/>
      <c r="H426" s="130"/>
      <c r="I426" s="130"/>
    </row>
    <row r="427" spans="2:9">
      <c r="B427" s="129"/>
      <c r="C427" s="130"/>
      <c r="D427" s="130"/>
      <c r="E427" s="130"/>
      <c r="F427" s="130"/>
      <c r="G427" s="130"/>
      <c r="H427" s="130"/>
      <c r="I427" s="130"/>
    </row>
    <row r="428" spans="2:9">
      <c r="B428" s="129">
        <v>136</v>
      </c>
      <c r="C428" s="130" t="s">
        <v>5128</v>
      </c>
      <c r="D428" s="130" t="s">
        <v>5156</v>
      </c>
      <c r="E428" s="130" t="s">
        <v>5159</v>
      </c>
      <c r="F428" s="130" t="s">
        <v>5111</v>
      </c>
      <c r="G428" s="130">
        <v>5000</v>
      </c>
      <c r="H428" s="130">
        <v>16000</v>
      </c>
      <c r="I428" s="130" t="s">
        <v>5013</v>
      </c>
    </row>
    <row r="429" spans="2:9">
      <c r="B429" s="129"/>
      <c r="C429" s="130"/>
      <c r="D429" s="130"/>
      <c r="E429" s="130"/>
      <c r="F429" s="130"/>
      <c r="G429" s="130"/>
      <c r="H429" s="130"/>
      <c r="I429" s="130"/>
    </row>
    <row r="430" spans="2:9">
      <c r="B430" s="129"/>
      <c r="C430" s="130"/>
      <c r="D430" s="130"/>
      <c r="E430" s="130"/>
      <c r="F430" s="130"/>
      <c r="G430" s="130"/>
      <c r="H430" s="130"/>
      <c r="I430" s="130"/>
    </row>
    <row r="431" spans="2:9">
      <c r="B431" s="129">
        <v>137</v>
      </c>
      <c r="C431" s="130" t="s">
        <v>5076</v>
      </c>
      <c r="D431" s="130" t="s">
        <v>5156</v>
      </c>
      <c r="E431" s="130" t="s">
        <v>5130</v>
      </c>
      <c r="F431" s="130" t="s">
        <v>5031</v>
      </c>
      <c r="G431" s="130">
        <v>100000</v>
      </c>
      <c r="H431" s="130" t="s">
        <v>5037</v>
      </c>
      <c r="I431" s="130" t="s">
        <v>5004</v>
      </c>
    </row>
    <row r="432" spans="2:9">
      <c r="B432" s="129"/>
      <c r="C432" s="130"/>
      <c r="D432" s="130"/>
      <c r="E432" s="130"/>
      <c r="F432" s="130"/>
      <c r="G432" s="130"/>
      <c r="H432" s="130"/>
      <c r="I432" s="130"/>
    </row>
    <row r="433" spans="2:9">
      <c r="B433" s="129"/>
      <c r="C433" s="130"/>
      <c r="D433" s="130"/>
      <c r="E433" s="130"/>
      <c r="F433" s="130"/>
      <c r="G433" s="130"/>
      <c r="H433" s="130"/>
      <c r="I433" s="130"/>
    </row>
    <row r="434" spans="2:9">
      <c r="B434" s="129">
        <v>138</v>
      </c>
      <c r="C434" s="130" t="s">
        <v>5107</v>
      </c>
      <c r="D434" s="130" t="s">
        <v>5156</v>
      </c>
      <c r="E434" s="130" t="s">
        <v>5132</v>
      </c>
      <c r="F434" s="130" t="s">
        <v>5026</v>
      </c>
      <c r="G434" s="130">
        <v>50000</v>
      </c>
      <c r="H434" s="130">
        <v>99999</v>
      </c>
      <c r="I434" s="130" t="s">
        <v>5004</v>
      </c>
    </row>
    <row r="435" spans="2:9">
      <c r="B435" s="129"/>
      <c r="C435" s="130"/>
      <c r="D435" s="130"/>
      <c r="E435" s="130"/>
      <c r="F435" s="130"/>
      <c r="G435" s="130"/>
      <c r="H435" s="130"/>
      <c r="I435" s="130"/>
    </row>
    <row r="436" spans="2:9">
      <c r="B436" s="129"/>
      <c r="C436" s="130"/>
      <c r="D436" s="130"/>
      <c r="E436" s="130"/>
      <c r="F436" s="130"/>
      <c r="G436" s="130"/>
      <c r="H436" s="130"/>
      <c r="I436" s="130"/>
    </row>
    <row r="437" spans="2:9">
      <c r="B437" s="129">
        <v>139</v>
      </c>
      <c r="C437" s="130" t="s">
        <v>5056</v>
      </c>
      <c r="D437" s="130" t="s">
        <v>5156</v>
      </c>
      <c r="E437" s="130" t="s">
        <v>5091</v>
      </c>
      <c r="F437" s="130" t="s">
        <v>5031</v>
      </c>
      <c r="G437" s="130">
        <v>2000</v>
      </c>
      <c r="H437" s="130" t="s">
        <v>5037</v>
      </c>
      <c r="I437" s="130" t="s">
        <v>5004</v>
      </c>
    </row>
    <row r="438" spans="2:9">
      <c r="B438" s="129"/>
      <c r="C438" s="130"/>
      <c r="D438" s="130"/>
      <c r="E438" s="130"/>
      <c r="F438" s="130"/>
      <c r="G438" s="130"/>
      <c r="H438" s="130"/>
      <c r="I438" s="130"/>
    </row>
    <row r="439" spans="2:9">
      <c r="B439" s="129"/>
      <c r="C439" s="130"/>
      <c r="D439" s="130"/>
      <c r="E439" s="130"/>
      <c r="F439" s="130"/>
      <c r="G439" s="130"/>
      <c r="H439" s="130"/>
      <c r="I439" s="130"/>
    </row>
    <row r="440" spans="2:9">
      <c r="B440" s="129">
        <v>140</v>
      </c>
      <c r="C440" s="130" t="s">
        <v>5021</v>
      </c>
      <c r="D440" s="130" t="s">
        <v>5160</v>
      </c>
      <c r="E440" s="130" t="s">
        <v>5161</v>
      </c>
      <c r="F440" s="130" t="s">
        <v>5085</v>
      </c>
      <c r="G440" s="130">
        <v>1000</v>
      </c>
      <c r="H440" s="130" t="s">
        <v>5037</v>
      </c>
      <c r="I440" s="130" t="s">
        <v>5004</v>
      </c>
    </row>
    <row r="441" spans="2:9">
      <c r="B441" s="129"/>
      <c r="C441" s="130"/>
      <c r="D441" s="130"/>
      <c r="E441" s="130"/>
      <c r="F441" s="130"/>
      <c r="G441" s="130"/>
      <c r="H441" s="130"/>
      <c r="I441" s="130"/>
    </row>
    <row r="442" spans="2:9">
      <c r="B442" s="129"/>
      <c r="C442" s="130"/>
      <c r="D442" s="130"/>
      <c r="E442" s="130"/>
      <c r="F442" s="130"/>
      <c r="G442" s="130"/>
      <c r="H442" s="130"/>
      <c r="I442" s="130"/>
    </row>
    <row r="443" spans="2:9">
      <c r="B443" s="129">
        <v>141</v>
      </c>
      <c r="C443" s="130" t="s">
        <v>5098</v>
      </c>
      <c r="D443" s="130" t="s">
        <v>5162</v>
      </c>
      <c r="E443" s="130" t="s">
        <v>5132</v>
      </c>
      <c r="F443" s="130" t="s">
        <v>5043</v>
      </c>
      <c r="G443" s="130">
        <v>10000</v>
      </c>
      <c r="H443" s="130" t="s">
        <v>5037</v>
      </c>
      <c r="I443" s="130" t="s">
        <v>5004</v>
      </c>
    </row>
    <row r="444" spans="2:9">
      <c r="B444" s="129"/>
      <c r="C444" s="130"/>
      <c r="D444" s="130"/>
      <c r="E444" s="130"/>
      <c r="F444" s="130"/>
      <c r="G444" s="130"/>
      <c r="H444" s="130"/>
      <c r="I444" s="130"/>
    </row>
    <row r="445" spans="2:9">
      <c r="B445" s="129"/>
      <c r="C445" s="130"/>
      <c r="D445" s="130"/>
      <c r="E445" s="130"/>
      <c r="F445" s="130"/>
      <c r="G445" s="130"/>
      <c r="H445" s="130"/>
      <c r="I445" s="130"/>
    </row>
    <row r="446" spans="2:9">
      <c r="B446" s="129">
        <v>142</v>
      </c>
      <c r="C446" s="130" t="s">
        <v>5098</v>
      </c>
      <c r="D446" s="130" t="s">
        <v>5162</v>
      </c>
      <c r="E446" s="130" t="s">
        <v>5132</v>
      </c>
      <c r="F446" s="130" t="s">
        <v>5085</v>
      </c>
      <c r="G446" s="130">
        <v>10000</v>
      </c>
      <c r="H446" s="130" t="s">
        <v>5037</v>
      </c>
      <c r="I446" s="130" t="s">
        <v>5004</v>
      </c>
    </row>
    <row r="447" spans="2:9">
      <c r="B447" s="129"/>
      <c r="C447" s="130"/>
      <c r="D447" s="130"/>
      <c r="E447" s="130"/>
      <c r="F447" s="130"/>
      <c r="G447" s="130"/>
      <c r="H447" s="130"/>
      <c r="I447" s="130"/>
    </row>
    <row r="448" spans="2:9">
      <c r="B448" s="129"/>
      <c r="C448" s="130"/>
      <c r="D448" s="130"/>
      <c r="E448" s="130"/>
      <c r="F448" s="130"/>
      <c r="G448" s="130"/>
      <c r="H448" s="130"/>
      <c r="I448" s="130"/>
    </row>
    <row r="449" spans="2:9">
      <c r="B449" s="129">
        <v>143</v>
      </c>
      <c r="C449" s="130" t="s">
        <v>5051</v>
      </c>
      <c r="D449" s="130" t="s">
        <v>5162</v>
      </c>
      <c r="E449" s="130" t="s">
        <v>5145</v>
      </c>
      <c r="F449" s="130" t="s">
        <v>5139</v>
      </c>
      <c r="G449" s="130">
        <v>3000</v>
      </c>
      <c r="H449" s="130" t="s">
        <v>5037</v>
      </c>
      <c r="I449" s="130" t="s">
        <v>5004</v>
      </c>
    </row>
    <row r="450" spans="2:9">
      <c r="B450" s="129"/>
      <c r="C450" s="130"/>
      <c r="D450" s="130"/>
      <c r="E450" s="130"/>
      <c r="F450" s="130"/>
      <c r="G450" s="130"/>
      <c r="H450" s="130"/>
      <c r="I450" s="130"/>
    </row>
    <row r="451" spans="2:9">
      <c r="B451" s="129"/>
      <c r="C451" s="130"/>
      <c r="D451" s="130"/>
      <c r="E451" s="130"/>
      <c r="F451" s="130"/>
      <c r="G451" s="130"/>
      <c r="H451" s="130"/>
      <c r="I451" s="130"/>
    </row>
    <row r="452" spans="2:9">
      <c r="B452" s="129">
        <v>144</v>
      </c>
      <c r="C452" s="130" t="s">
        <v>5051</v>
      </c>
      <c r="D452" s="130" t="s">
        <v>5162</v>
      </c>
      <c r="E452" s="130" t="s">
        <v>5145</v>
      </c>
      <c r="F452" s="130" t="s">
        <v>5050</v>
      </c>
      <c r="G452" s="130">
        <v>3000</v>
      </c>
      <c r="H452" s="130" t="s">
        <v>5037</v>
      </c>
      <c r="I452" s="130" t="s">
        <v>5004</v>
      </c>
    </row>
    <row r="453" spans="2:9">
      <c r="B453" s="129"/>
      <c r="C453" s="130"/>
      <c r="D453" s="130"/>
      <c r="E453" s="130"/>
      <c r="F453" s="130"/>
      <c r="G453" s="130"/>
      <c r="H453" s="130"/>
      <c r="I453" s="130"/>
    </row>
    <row r="454" spans="2:9">
      <c r="B454" s="129"/>
      <c r="C454" s="130"/>
      <c r="D454" s="130"/>
      <c r="E454" s="130"/>
      <c r="F454" s="130"/>
      <c r="G454" s="130"/>
      <c r="H454" s="130"/>
      <c r="I454" s="130"/>
    </row>
    <row r="455" spans="2:9">
      <c r="B455" s="129">
        <v>145</v>
      </c>
      <c r="C455" s="130" t="s">
        <v>5005</v>
      </c>
      <c r="D455" s="130" t="s">
        <v>5163</v>
      </c>
      <c r="E455" s="130" t="s">
        <v>5060</v>
      </c>
      <c r="F455" s="130" t="s">
        <v>5026</v>
      </c>
      <c r="G455" s="130">
        <v>3000</v>
      </c>
      <c r="H455" s="130">
        <v>10000</v>
      </c>
      <c r="I455" s="130" t="s">
        <v>5013</v>
      </c>
    </row>
    <row r="456" spans="2:9">
      <c r="B456" s="129"/>
      <c r="C456" s="130"/>
      <c r="D456" s="130"/>
      <c r="E456" s="130"/>
      <c r="F456" s="130"/>
      <c r="G456" s="130"/>
      <c r="H456" s="130"/>
      <c r="I456" s="130"/>
    </row>
    <row r="457" spans="2:9">
      <c r="B457" s="129"/>
      <c r="C457" s="130"/>
      <c r="D457" s="130"/>
      <c r="E457" s="130"/>
      <c r="F457" s="130"/>
      <c r="G457" s="130"/>
      <c r="H457" s="130"/>
      <c r="I457" s="130"/>
    </row>
    <row r="458" spans="2:9">
      <c r="B458" s="129">
        <v>146</v>
      </c>
      <c r="C458" s="130" t="s">
        <v>5005</v>
      </c>
      <c r="D458" s="130" t="s">
        <v>5163</v>
      </c>
      <c r="E458" s="130" t="s">
        <v>5060</v>
      </c>
      <c r="F458" s="130" t="s">
        <v>5026</v>
      </c>
      <c r="G458" s="130">
        <v>3000</v>
      </c>
      <c r="H458" s="130">
        <v>10000</v>
      </c>
      <c r="I458" s="130" t="s">
        <v>5013</v>
      </c>
    </row>
    <row r="459" spans="2:9">
      <c r="B459" s="129"/>
      <c r="C459" s="130"/>
      <c r="D459" s="130"/>
      <c r="E459" s="130"/>
      <c r="F459" s="130"/>
      <c r="G459" s="130"/>
      <c r="H459" s="130"/>
      <c r="I459" s="130"/>
    </row>
    <row r="460" spans="2:9">
      <c r="B460" s="129"/>
      <c r="C460" s="130"/>
      <c r="D460" s="130"/>
      <c r="E460" s="130"/>
      <c r="F460" s="130"/>
      <c r="G460" s="130"/>
      <c r="H460" s="130"/>
      <c r="I460" s="130"/>
    </row>
    <row r="461" spans="2:9">
      <c r="B461" s="129">
        <v>147</v>
      </c>
      <c r="C461" s="130" t="s">
        <v>5102</v>
      </c>
      <c r="D461" s="130" t="s">
        <v>5164</v>
      </c>
      <c r="E461" s="130" t="s">
        <v>5165</v>
      </c>
      <c r="F461" s="130" t="s">
        <v>5117</v>
      </c>
      <c r="G461" s="130">
        <v>1000</v>
      </c>
      <c r="H461" s="130">
        <v>10000</v>
      </c>
      <c r="I461" s="130" t="s">
        <v>5013</v>
      </c>
    </row>
    <row r="462" spans="2:9">
      <c r="B462" s="129"/>
      <c r="C462" s="130"/>
      <c r="D462" s="130"/>
      <c r="E462" s="130"/>
      <c r="F462" s="130"/>
      <c r="G462" s="130"/>
      <c r="H462" s="130"/>
      <c r="I462" s="130"/>
    </row>
    <row r="463" spans="2:9">
      <c r="B463" s="129"/>
      <c r="C463" s="130"/>
      <c r="D463" s="130"/>
      <c r="E463" s="130"/>
      <c r="F463" s="130"/>
      <c r="G463" s="130"/>
      <c r="H463" s="130"/>
      <c r="I463" s="130"/>
    </row>
    <row r="464" spans="2:9">
      <c r="B464" s="129">
        <v>148</v>
      </c>
      <c r="C464" s="130" t="s">
        <v>5047</v>
      </c>
      <c r="D464" s="130" t="s">
        <v>5166</v>
      </c>
      <c r="E464" s="130" t="s">
        <v>5132</v>
      </c>
      <c r="F464" s="130" t="s">
        <v>5111</v>
      </c>
      <c r="G464" s="130">
        <v>1000</v>
      </c>
      <c r="H464" s="130">
        <v>1000000</v>
      </c>
      <c r="I464" s="130" t="s">
        <v>5004</v>
      </c>
    </row>
    <row r="465" spans="2:9">
      <c r="B465" s="129"/>
      <c r="C465" s="130"/>
      <c r="D465" s="130"/>
      <c r="E465" s="130"/>
      <c r="F465" s="130"/>
      <c r="G465" s="130"/>
      <c r="H465" s="130"/>
      <c r="I465" s="130"/>
    </row>
    <row r="466" spans="2:9">
      <c r="B466" s="129"/>
      <c r="C466" s="130"/>
      <c r="D466" s="130"/>
      <c r="E466" s="130"/>
      <c r="F466" s="130"/>
      <c r="G466" s="130"/>
      <c r="H466" s="130"/>
      <c r="I466" s="130"/>
    </row>
    <row r="467" spans="2:9">
      <c r="B467" s="129">
        <v>149</v>
      </c>
      <c r="C467" s="130" t="s">
        <v>5098</v>
      </c>
      <c r="D467" s="130" t="s">
        <v>5166</v>
      </c>
      <c r="E467" s="130" t="s">
        <v>5132</v>
      </c>
      <c r="F467" s="130" t="s">
        <v>5026</v>
      </c>
      <c r="G467" s="130">
        <v>10000</v>
      </c>
      <c r="H467" s="130" t="s">
        <v>5037</v>
      </c>
      <c r="I467" s="130" t="s">
        <v>5004</v>
      </c>
    </row>
    <row r="468" spans="2:9">
      <c r="B468" s="129"/>
      <c r="C468" s="130"/>
      <c r="D468" s="130"/>
      <c r="E468" s="130"/>
      <c r="F468" s="130"/>
      <c r="G468" s="130"/>
      <c r="H468" s="130"/>
      <c r="I468" s="130"/>
    </row>
    <row r="469" spans="2:9">
      <c r="B469" s="129"/>
      <c r="C469" s="130"/>
      <c r="D469" s="130"/>
      <c r="E469" s="130"/>
      <c r="F469" s="130"/>
      <c r="G469" s="130"/>
      <c r="H469" s="130"/>
      <c r="I469" s="130"/>
    </row>
    <row r="470" spans="2:9">
      <c r="B470" s="129">
        <v>150</v>
      </c>
      <c r="C470" s="130" t="s">
        <v>5098</v>
      </c>
      <c r="D470" s="130" t="s">
        <v>5166</v>
      </c>
      <c r="E470" s="130" t="s">
        <v>5132</v>
      </c>
      <c r="F470" s="130" t="s">
        <v>5026</v>
      </c>
      <c r="G470" s="130">
        <v>10000</v>
      </c>
      <c r="H470" s="130" t="s">
        <v>5037</v>
      </c>
      <c r="I470" s="130" t="s">
        <v>5004</v>
      </c>
    </row>
    <row r="471" spans="2:9">
      <c r="B471" s="129"/>
      <c r="C471" s="130"/>
      <c r="D471" s="130"/>
      <c r="E471" s="130"/>
      <c r="F471" s="130"/>
      <c r="G471" s="130"/>
      <c r="H471" s="130"/>
      <c r="I471" s="130"/>
    </row>
    <row r="472" spans="2:9">
      <c r="B472" s="129"/>
      <c r="C472" s="130"/>
      <c r="D472" s="130"/>
      <c r="E472" s="130"/>
      <c r="F472" s="130"/>
      <c r="G472" s="130"/>
      <c r="H472" s="130"/>
      <c r="I472" s="130"/>
    </row>
    <row r="473" spans="2:9">
      <c r="B473" s="129">
        <v>151</v>
      </c>
      <c r="C473" s="130" t="s">
        <v>5098</v>
      </c>
      <c r="D473" s="130" t="s">
        <v>5166</v>
      </c>
      <c r="E473" s="130" t="s">
        <v>5132</v>
      </c>
      <c r="F473" s="130" t="s">
        <v>5043</v>
      </c>
      <c r="G473" s="130">
        <v>200</v>
      </c>
      <c r="H473" s="130">
        <v>9999</v>
      </c>
      <c r="I473" s="130" t="s">
        <v>5004</v>
      </c>
    </row>
    <row r="474" spans="2:9">
      <c r="B474" s="129"/>
      <c r="C474" s="130"/>
      <c r="D474" s="130"/>
      <c r="E474" s="130"/>
      <c r="F474" s="130"/>
      <c r="G474" s="130"/>
      <c r="H474" s="130"/>
      <c r="I474" s="130"/>
    </row>
    <row r="475" spans="2:9">
      <c r="B475" s="129"/>
      <c r="C475" s="130"/>
      <c r="D475" s="130"/>
      <c r="E475" s="130"/>
      <c r="F475" s="130"/>
      <c r="G475" s="130"/>
      <c r="H475" s="130"/>
      <c r="I475" s="130"/>
    </row>
    <row r="476" spans="2:9">
      <c r="B476" s="129">
        <v>152</v>
      </c>
      <c r="C476" s="130" t="s">
        <v>5098</v>
      </c>
      <c r="D476" s="130" t="s">
        <v>5166</v>
      </c>
      <c r="E476" s="130" t="s">
        <v>5132</v>
      </c>
      <c r="F476" s="130" t="s">
        <v>5085</v>
      </c>
      <c r="G476" s="130">
        <v>200</v>
      </c>
      <c r="H476" s="130">
        <v>9999</v>
      </c>
      <c r="I476" s="130" t="s">
        <v>5004</v>
      </c>
    </row>
    <row r="477" spans="2:9">
      <c r="B477" s="129"/>
      <c r="C477" s="130"/>
      <c r="D477" s="130"/>
      <c r="E477" s="130"/>
      <c r="F477" s="130"/>
      <c r="G477" s="130"/>
      <c r="H477" s="130"/>
      <c r="I477" s="130"/>
    </row>
    <row r="478" spans="2:9">
      <c r="B478" s="129"/>
      <c r="C478" s="130"/>
      <c r="D478" s="130"/>
      <c r="E478" s="130"/>
      <c r="F478" s="130"/>
      <c r="G478" s="130"/>
      <c r="H478" s="130"/>
      <c r="I478" s="130"/>
    </row>
    <row r="479" spans="2:9">
      <c r="B479" s="129">
        <v>153</v>
      </c>
      <c r="C479" s="130" t="s">
        <v>5000</v>
      </c>
      <c r="D479" s="130" t="s">
        <v>5166</v>
      </c>
      <c r="E479" s="130" t="s">
        <v>5167</v>
      </c>
      <c r="F479" s="130" t="s">
        <v>5033</v>
      </c>
      <c r="G479" s="130">
        <v>500</v>
      </c>
      <c r="H479" s="130">
        <v>1000000</v>
      </c>
      <c r="I479" s="130" t="s">
        <v>5004</v>
      </c>
    </row>
    <row r="480" spans="2:9">
      <c r="B480" s="129"/>
      <c r="C480" s="130"/>
      <c r="D480" s="130"/>
      <c r="E480" s="130"/>
      <c r="F480" s="130"/>
      <c r="G480" s="130"/>
      <c r="H480" s="130"/>
      <c r="I480" s="130"/>
    </row>
    <row r="481" spans="2:9">
      <c r="B481" s="129"/>
      <c r="C481" s="130"/>
      <c r="D481" s="130"/>
      <c r="E481" s="130"/>
      <c r="F481" s="130"/>
      <c r="G481" s="130"/>
      <c r="H481" s="130"/>
      <c r="I481" s="130"/>
    </row>
    <row r="482" spans="2:9">
      <c r="B482" s="129">
        <v>154</v>
      </c>
      <c r="C482" s="130" t="s">
        <v>5051</v>
      </c>
      <c r="D482" s="130" t="s">
        <v>5168</v>
      </c>
      <c r="E482" s="130" t="s">
        <v>5169</v>
      </c>
      <c r="F482" s="130" t="s">
        <v>5026</v>
      </c>
      <c r="G482" s="130">
        <v>3000</v>
      </c>
      <c r="H482" s="130">
        <v>14000</v>
      </c>
      <c r="I482" s="130" t="s">
        <v>5013</v>
      </c>
    </row>
    <row r="483" spans="2:9">
      <c r="B483" s="129"/>
      <c r="C483" s="130"/>
      <c r="D483" s="130"/>
      <c r="E483" s="130"/>
      <c r="F483" s="130"/>
      <c r="G483" s="130"/>
      <c r="H483" s="130"/>
      <c r="I483" s="130"/>
    </row>
    <row r="484" spans="2:9">
      <c r="B484" s="129"/>
      <c r="C484" s="130"/>
      <c r="D484" s="130"/>
      <c r="E484" s="130"/>
      <c r="F484" s="130"/>
      <c r="G484" s="130"/>
      <c r="H484" s="130"/>
      <c r="I484" s="130"/>
    </row>
    <row r="485" spans="2:9">
      <c r="B485" s="129">
        <v>155</v>
      </c>
      <c r="C485" s="130" t="s">
        <v>5098</v>
      </c>
      <c r="D485" s="130" t="s">
        <v>5170</v>
      </c>
      <c r="E485" s="130" t="s">
        <v>5132</v>
      </c>
      <c r="F485" s="130" t="s">
        <v>5031</v>
      </c>
      <c r="G485" s="130">
        <v>10000</v>
      </c>
      <c r="H485" s="130" t="s">
        <v>5037</v>
      </c>
      <c r="I485" s="130" t="s">
        <v>5004</v>
      </c>
    </row>
    <row r="486" spans="2:9">
      <c r="B486" s="129"/>
      <c r="C486" s="130"/>
      <c r="D486" s="130"/>
      <c r="E486" s="130"/>
      <c r="F486" s="130"/>
      <c r="G486" s="130"/>
      <c r="H486" s="130"/>
      <c r="I486" s="130"/>
    </row>
    <row r="487" spans="2:9">
      <c r="B487" s="129"/>
      <c r="C487" s="130"/>
      <c r="D487" s="130"/>
      <c r="E487" s="130"/>
      <c r="F487" s="130"/>
      <c r="G487" s="130"/>
      <c r="H487" s="130"/>
      <c r="I487" s="130"/>
    </row>
    <row r="488" spans="2:9">
      <c r="B488" s="129">
        <v>156</v>
      </c>
      <c r="C488" s="130" t="s">
        <v>5098</v>
      </c>
      <c r="D488" s="130" t="s">
        <v>5170</v>
      </c>
      <c r="E488" s="130" t="s">
        <v>5132</v>
      </c>
      <c r="F488" s="130" t="s">
        <v>5026</v>
      </c>
      <c r="G488" s="130">
        <v>200</v>
      </c>
      <c r="H488" s="130">
        <v>9999</v>
      </c>
      <c r="I488" s="130" t="s">
        <v>5004</v>
      </c>
    </row>
    <row r="489" spans="2:9">
      <c r="B489" s="129"/>
      <c r="C489" s="130"/>
      <c r="D489" s="130"/>
      <c r="E489" s="130"/>
      <c r="F489" s="130"/>
      <c r="G489" s="130"/>
      <c r="H489" s="130"/>
      <c r="I489" s="130"/>
    </row>
    <row r="490" spans="2:9">
      <c r="B490" s="129"/>
      <c r="C490" s="130"/>
      <c r="D490" s="130"/>
      <c r="E490" s="130"/>
      <c r="F490" s="130"/>
      <c r="G490" s="130"/>
      <c r="H490" s="130"/>
      <c r="I490" s="130"/>
    </row>
    <row r="491" spans="2:9">
      <c r="B491" s="129">
        <v>157</v>
      </c>
      <c r="C491" s="130" t="s">
        <v>5098</v>
      </c>
      <c r="D491" s="130" t="s">
        <v>5170</v>
      </c>
      <c r="E491" s="130" t="s">
        <v>5132</v>
      </c>
      <c r="F491" s="130" t="s">
        <v>5026</v>
      </c>
      <c r="G491" s="130">
        <v>200</v>
      </c>
      <c r="H491" s="130">
        <v>9999</v>
      </c>
      <c r="I491" s="130" t="s">
        <v>5004</v>
      </c>
    </row>
    <row r="492" spans="2:9">
      <c r="B492" s="129"/>
      <c r="C492" s="130"/>
      <c r="D492" s="130"/>
      <c r="E492" s="130"/>
      <c r="F492" s="130"/>
      <c r="G492" s="130"/>
      <c r="H492" s="130"/>
      <c r="I492" s="130"/>
    </row>
    <row r="493" spans="2:9">
      <c r="B493" s="129"/>
      <c r="C493" s="130"/>
      <c r="D493" s="130"/>
      <c r="E493" s="130"/>
      <c r="F493" s="130"/>
      <c r="G493" s="130"/>
      <c r="H493" s="130"/>
      <c r="I493" s="130"/>
    </row>
    <row r="494" spans="2:9">
      <c r="B494" s="129">
        <v>158</v>
      </c>
      <c r="C494" s="130" t="s">
        <v>5171</v>
      </c>
      <c r="D494" s="130" t="s">
        <v>5170</v>
      </c>
      <c r="E494" s="130" t="s">
        <v>5172</v>
      </c>
      <c r="F494" s="130" t="s">
        <v>5026</v>
      </c>
      <c r="G494" s="130">
        <v>1000</v>
      </c>
      <c r="H494" s="130" t="s">
        <v>5037</v>
      </c>
      <c r="I494" s="130" t="s">
        <v>5004</v>
      </c>
    </row>
    <row r="495" spans="2:9">
      <c r="B495" s="129"/>
      <c r="C495" s="130"/>
      <c r="D495" s="130"/>
      <c r="E495" s="130"/>
      <c r="F495" s="130"/>
      <c r="G495" s="130"/>
      <c r="H495" s="130"/>
      <c r="I495" s="130"/>
    </row>
    <row r="496" spans="2:9">
      <c r="B496" s="129"/>
      <c r="C496" s="130"/>
      <c r="D496" s="130"/>
      <c r="E496" s="130"/>
      <c r="F496" s="130"/>
      <c r="G496" s="130"/>
      <c r="H496" s="130"/>
      <c r="I496" s="130"/>
    </row>
    <row r="497" spans="2:9">
      <c r="B497" s="129">
        <v>159</v>
      </c>
      <c r="C497" s="130" t="s">
        <v>5171</v>
      </c>
      <c r="D497" s="130" t="s">
        <v>5170</v>
      </c>
      <c r="E497" s="130" t="s">
        <v>5173</v>
      </c>
      <c r="F497" s="130" t="s">
        <v>5026</v>
      </c>
      <c r="G497" s="130">
        <v>1000</v>
      </c>
      <c r="H497" s="130">
        <v>500000</v>
      </c>
      <c r="I497" s="130" t="s">
        <v>5004</v>
      </c>
    </row>
    <row r="498" spans="2:9">
      <c r="B498" s="129"/>
      <c r="C498" s="130"/>
      <c r="D498" s="130"/>
      <c r="E498" s="130"/>
      <c r="F498" s="130"/>
      <c r="G498" s="130"/>
      <c r="H498" s="130"/>
      <c r="I498" s="130"/>
    </row>
    <row r="499" spans="2:9">
      <c r="B499" s="129"/>
      <c r="C499" s="130"/>
      <c r="D499" s="130"/>
      <c r="E499" s="130"/>
      <c r="F499" s="130"/>
      <c r="G499" s="130"/>
      <c r="H499" s="130"/>
      <c r="I499" s="130"/>
    </row>
    <row r="500" spans="2:9">
      <c r="B500" s="129">
        <v>160</v>
      </c>
      <c r="C500" s="130" t="s">
        <v>5122</v>
      </c>
      <c r="D500" s="130" t="s">
        <v>5170</v>
      </c>
      <c r="E500" s="130" t="s">
        <v>5135</v>
      </c>
      <c r="F500" s="130" t="s">
        <v>5031</v>
      </c>
      <c r="G500" s="130">
        <v>1000</v>
      </c>
      <c r="H500" s="130" t="s">
        <v>5037</v>
      </c>
      <c r="I500" s="130" t="s">
        <v>5004</v>
      </c>
    </row>
    <row r="501" spans="2:9">
      <c r="B501" s="129"/>
      <c r="C501" s="130"/>
      <c r="D501" s="130"/>
      <c r="E501" s="130"/>
      <c r="F501" s="130"/>
      <c r="G501" s="130"/>
      <c r="H501" s="130"/>
      <c r="I501" s="130"/>
    </row>
    <row r="502" spans="2:9">
      <c r="B502" s="129"/>
      <c r="C502" s="130"/>
      <c r="D502" s="130"/>
      <c r="E502" s="130"/>
      <c r="F502" s="130"/>
      <c r="G502" s="130"/>
      <c r="H502" s="130"/>
      <c r="I502" s="130"/>
    </row>
    <row r="503" spans="2:9">
      <c r="B503" s="129">
        <v>161</v>
      </c>
      <c r="C503" s="130" t="s">
        <v>5122</v>
      </c>
      <c r="D503" s="130" t="s">
        <v>5170</v>
      </c>
      <c r="E503" s="130" t="s">
        <v>5135</v>
      </c>
      <c r="F503" s="130" t="s">
        <v>5026</v>
      </c>
      <c r="G503" s="130">
        <v>1000</v>
      </c>
      <c r="H503" s="130" t="s">
        <v>5037</v>
      </c>
      <c r="I503" s="130" t="s">
        <v>5004</v>
      </c>
    </row>
    <row r="504" spans="2:9">
      <c r="B504" s="129"/>
      <c r="C504" s="130"/>
      <c r="D504" s="130"/>
      <c r="E504" s="130"/>
      <c r="F504" s="130"/>
      <c r="G504" s="130"/>
      <c r="H504" s="130"/>
      <c r="I504" s="130"/>
    </row>
    <row r="505" spans="2:9">
      <c r="B505" s="129"/>
      <c r="C505" s="130"/>
      <c r="D505" s="130"/>
      <c r="E505" s="130"/>
      <c r="F505" s="130"/>
      <c r="G505" s="130"/>
      <c r="H505" s="130"/>
      <c r="I505" s="130"/>
    </row>
    <row r="506" spans="2:9">
      <c r="B506" s="129">
        <v>162</v>
      </c>
      <c r="C506" s="130" t="s">
        <v>5061</v>
      </c>
      <c r="D506" s="130" t="s">
        <v>5174</v>
      </c>
      <c r="E506" s="130" t="s">
        <v>5105</v>
      </c>
      <c r="F506" s="130" t="s">
        <v>5026</v>
      </c>
      <c r="G506" s="130">
        <v>1000</v>
      </c>
      <c r="H506" s="130">
        <v>14000</v>
      </c>
      <c r="I506" s="130" t="s">
        <v>5013</v>
      </c>
    </row>
    <row r="507" spans="2:9">
      <c r="B507" s="129"/>
      <c r="C507" s="130"/>
      <c r="D507" s="130"/>
      <c r="E507" s="130"/>
      <c r="F507" s="130"/>
      <c r="G507" s="130"/>
      <c r="H507" s="130"/>
      <c r="I507" s="130"/>
    </row>
    <row r="508" spans="2:9">
      <c r="B508" s="129"/>
      <c r="C508" s="130"/>
      <c r="D508" s="130"/>
      <c r="E508" s="130"/>
      <c r="F508" s="130"/>
      <c r="G508" s="130"/>
      <c r="H508" s="130"/>
      <c r="I508" s="130"/>
    </row>
    <row r="509" spans="2:9">
      <c r="B509" s="129">
        <v>163</v>
      </c>
      <c r="C509" s="130" t="s">
        <v>5044</v>
      </c>
      <c r="D509" s="130" t="s">
        <v>5174</v>
      </c>
      <c r="E509" s="130" t="s">
        <v>5106</v>
      </c>
      <c r="F509" s="130" t="s">
        <v>5026</v>
      </c>
      <c r="G509" s="130">
        <v>500</v>
      </c>
      <c r="H509" s="130">
        <v>13000</v>
      </c>
      <c r="I509" s="130" t="s">
        <v>5013</v>
      </c>
    </row>
    <row r="510" spans="2:9">
      <c r="B510" s="129"/>
      <c r="C510" s="130"/>
      <c r="D510" s="130"/>
      <c r="E510" s="130"/>
      <c r="F510" s="130"/>
      <c r="G510" s="130"/>
      <c r="H510" s="130"/>
      <c r="I510" s="130"/>
    </row>
    <row r="511" spans="2:9">
      <c r="B511" s="129"/>
      <c r="C511" s="130"/>
      <c r="D511" s="130"/>
      <c r="E511" s="130"/>
      <c r="F511" s="130"/>
      <c r="G511" s="130"/>
      <c r="H511" s="130"/>
      <c r="I511" s="130"/>
    </row>
    <row r="512" spans="2:9">
      <c r="B512" s="129">
        <v>164</v>
      </c>
      <c r="C512" s="130" t="s">
        <v>5175</v>
      </c>
      <c r="D512" s="130" t="s">
        <v>5176</v>
      </c>
      <c r="E512" s="130" t="s">
        <v>5133</v>
      </c>
      <c r="F512" s="130" t="s">
        <v>5026</v>
      </c>
      <c r="G512" s="130">
        <v>1000</v>
      </c>
      <c r="H512" s="130" t="s">
        <v>5037</v>
      </c>
      <c r="I512" s="130" t="s">
        <v>5004</v>
      </c>
    </row>
    <row r="513" spans="2:9">
      <c r="B513" s="129"/>
      <c r="C513" s="130"/>
      <c r="D513" s="130"/>
      <c r="E513" s="130"/>
      <c r="F513" s="130"/>
      <c r="G513" s="130"/>
      <c r="H513" s="130"/>
      <c r="I513" s="130"/>
    </row>
    <row r="514" spans="2:9">
      <c r="B514" s="129"/>
      <c r="C514" s="130"/>
      <c r="D514" s="130"/>
      <c r="E514" s="130"/>
      <c r="F514" s="130"/>
      <c r="G514" s="130"/>
      <c r="H514" s="130"/>
      <c r="I514" s="130"/>
    </row>
    <row r="515" spans="2:9">
      <c r="B515" s="129">
        <v>165</v>
      </c>
      <c r="C515" s="130" t="s">
        <v>5081</v>
      </c>
      <c r="D515" s="130" t="s">
        <v>5176</v>
      </c>
      <c r="E515" s="130" t="s">
        <v>5132</v>
      </c>
      <c r="F515" s="130" t="s">
        <v>5043</v>
      </c>
      <c r="G515" s="130">
        <v>500</v>
      </c>
      <c r="H515" s="130" t="s">
        <v>5037</v>
      </c>
      <c r="I515" s="130" t="s">
        <v>5004</v>
      </c>
    </row>
    <row r="516" spans="2:9">
      <c r="B516" s="129"/>
      <c r="C516" s="130"/>
      <c r="D516" s="130"/>
      <c r="E516" s="130"/>
      <c r="F516" s="130"/>
      <c r="G516" s="130"/>
      <c r="H516" s="130"/>
      <c r="I516" s="130"/>
    </row>
    <row r="517" spans="2:9">
      <c r="B517" s="129"/>
      <c r="C517" s="130"/>
      <c r="D517" s="130"/>
      <c r="E517" s="130"/>
      <c r="F517" s="130"/>
      <c r="G517" s="130"/>
      <c r="H517" s="130"/>
      <c r="I517" s="130"/>
    </row>
    <row r="518" spans="2:9">
      <c r="B518" s="129">
        <v>166</v>
      </c>
      <c r="C518" s="130" t="s">
        <v>5081</v>
      </c>
      <c r="D518" s="130" t="s">
        <v>5176</v>
      </c>
      <c r="E518" s="130" t="s">
        <v>5177</v>
      </c>
      <c r="F518" s="130" t="s">
        <v>5043</v>
      </c>
      <c r="G518" s="130">
        <v>500</v>
      </c>
      <c r="H518" s="130" t="s">
        <v>5037</v>
      </c>
      <c r="I518" s="130" t="s">
        <v>5004</v>
      </c>
    </row>
    <row r="519" spans="2:9">
      <c r="B519" s="129"/>
      <c r="C519" s="130"/>
      <c r="D519" s="130"/>
      <c r="E519" s="130"/>
      <c r="F519" s="130"/>
      <c r="G519" s="130"/>
      <c r="H519" s="130"/>
      <c r="I519" s="130"/>
    </row>
    <row r="520" spans="2:9">
      <c r="B520" s="129"/>
      <c r="C520" s="130"/>
      <c r="D520" s="130"/>
      <c r="E520" s="130"/>
      <c r="F520" s="130"/>
      <c r="G520" s="130"/>
      <c r="H520" s="130"/>
      <c r="I520" s="130"/>
    </row>
    <row r="521" spans="2:9">
      <c r="B521" s="129">
        <v>167</v>
      </c>
      <c r="C521" s="130" t="s">
        <v>5071</v>
      </c>
      <c r="D521" s="130" t="s">
        <v>5176</v>
      </c>
      <c r="E521" s="130" t="s">
        <v>5178</v>
      </c>
      <c r="F521" s="130" t="s">
        <v>5033</v>
      </c>
      <c r="G521" s="130">
        <v>15000</v>
      </c>
      <c r="H521" s="130">
        <v>100000</v>
      </c>
      <c r="I521" s="130" t="s">
        <v>5004</v>
      </c>
    </row>
    <row r="522" spans="2:9">
      <c r="B522" s="129"/>
      <c r="C522" s="130"/>
      <c r="D522" s="130"/>
      <c r="E522" s="130"/>
      <c r="F522" s="130"/>
      <c r="G522" s="130"/>
      <c r="H522" s="130"/>
      <c r="I522" s="130"/>
    </row>
    <row r="523" spans="2:9">
      <c r="B523" s="129"/>
      <c r="C523" s="130"/>
      <c r="D523" s="130"/>
      <c r="E523" s="130"/>
      <c r="F523" s="130"/>
      <c r="G523" s="130"/>
      <c r="H523" s="130"/>
      <c r="I523" s="130"/>
    </row>
    <row r="524" spans="2:9">
      <c r="B524" s="129">
        <v>168</v>
      </c>
      <c r="C524" s="130" t="s">
        <v>5125</v>
      </c>
      <c r="D524" s="130" t="s">
        <v>5176</v>
      </c>
      <c r="E524" s="130" t="s">
        <v>5179</v>
      </c>
      <c r="F524" s="130" t="s">
        <v>5043</v>
      </c>
      <c r="G524" s="130">
        <v>1000</v>
      </c>
      <c r="H524" s="130" t="s">
        <v>5037</v>
      </c>
      <c r="I524" s="130" t="s">
        <v>5013</v>
      </c>
    </row>
    <row r="525" spans="2:9">
      <c r="B525" s="129"/>
      <c r="C525" s="130"/>
      <c r="D525" s="130"/>
      <c r="E525" s="130"/>
      <c r="F525" s="130"/>
      <c r="G525" s="130"/>
      <c r="H525" s="130"/>
      <c r="I525" s="130"/>
    </row>
    <row r="526" spans="2:9">
      <c r="B526" s="129"/>
      <c r="C526" s="130"/>
      <c r="D526" s="130"/>
      <c r="E526" s="130"/>
      <c r="F526" s="130"/>
      <c r="G526" s="130"/>
      <c r="H526" s="130"/>
      <c r="I526" s="130"/>
    </row>
    <row r="527" spans="2:9">
      <c r="B527" s="129">
        <v>169</v>
      </c>
      <c r="C527" s="130" t="s">
        <v>5125</v>
      </c>
      <c r="D527" s="130" t="s">
        <v>5176</v>
      </c>
      <c r="E527" s="130" t="s">
        <v>5127</v>
      </c>
      <c r="F527" s="130" t="s">
        <v>5043</v>
      </c>
      <c r="G527" s="130">
        <v>1000</v>
      </c>
      <c r="H527" s="130" t="s">
        <v>5037</v>
      </c>
      <c r="I527" s="130" t="s">
        <v>5004</v>
      </c>
    </row>
    <row r="528" spans="2:9">
      <c r="B528" s="129"/>
      <c r="C528" s="130"/>
      <c r="D528" s="130"/>
      <c r="E528" s="130"/>
      <c r="F528" s="130"/>
      <c r="G528" s="130"/>
      <c r="H528" s="130"/>
      <c r="I528" s="130"/>
    </row>
    <row r="529" spans="2:9">
      <c r="B529" s="129"/>
      <c r="C529" s="130"/>
      <c r="D529" s="130"/>
      <c r="E529" s="130"/>
      <c r="F529" s="130"/>
      <c r="G529" s="130"/>
      <c r="H529" s="130"/>
      <c r="I529" s="130"/>
    </row>
    <row r="530" spans="2:9">
      <c r="B530" s="129">
        <v>170</v>
      </c>
      <c r="C530" s="130" t="s">
        <v>5102</v>
      </c>
      <c r="D530" s="130" t="s">
        <v>5176</v>
      </c>
      <c r="E530" s="130" t="s">
        <v>5165</v>
      </c>
      <c r="F530" s="130" t="s">
        <v>5020</v>
      </c>
      <c r="G530" s="130">
        <v>1000</v>
      </c>
      <c r="H530" s="130">
        <v>10000</v>
      </c>
      <c r="I530" s="130" t="s">
        <v>5013</v>
      </c>
    </row>
    <row r="531" spans="2:9">
      <c r="B531" s="129"/>
      <c r="C531" s="130"/>
      <c r="D531" s="130"/>
      <c r="E531" s="130"/>
      <c r="F531" s="130"/>
      <c r="G531" s="130"/>
      <c r="H531" s="130"/>
      <c r="I531" s="130"/>
    </row>
    <row r="532" spans="2:9">
      <c r="B532" s="129"/>
      <c r="C532" s="130"/>
      <c r="D532" s="130"/>
      <c r="E532" s="130"/>
      <c r="F532" s="130"/>
      <c r="G532" s="130"/>
      <c r="H532" s="130"/>
      <c r="I532" s="130"/>
    </row>
    <row r="533" spans="2:9">
      <c r="B533" s="129">
        <v>171</v>
      </c>
      <c r="C533" s="130" t="s">
        <v>5074</v>
      </c>
      <c r="D533" s="130" t="s">
        <v>5176</v>
      </c>
      <c r="E533" s="130" t="s">
        <v>5180</v>
      </c>
      <c r="F533" s="130" t="s">
        <v>5026</v>
      </c>
      <c r="G533" s="130">
        <v>2000</v>
      </c>
      <c r="H533" s="130" t="s">
        <v>5037</v>
      </c>
      <c r="I533" s="130" t="s">
        <v>5004</v>
      </c>
    </row>
    <row r="534" spans="2:9">
      <c r="B534" s="129"/>
      <c r="C534" s="130"/>
      <c r="D534" s="130"/>
      <c r="E534" s="130"/>
      <c r="F534" s="130"/>
      <c r="G534" s="130"/>
      <c r="H534" s="130"/>
      <c r="I534" s="130"/>
    </row>
    <row r="535" spans="2:9">
      <c r="B535" s="129"/>
      <c r="C535" s="130"/>
      <c r="D535" s="130"/>
      <c r="E535" s="130"/>
      <c r="F535" s="130"/>
      <c r="G535" s="130"/>
      <c r="H535" s="130"/>
      <c r="I535" s="130"/>
    </row>
    <row r="536" spans="2:9">
      <c r="B536" s="129">
        <v>172</v>
      </c>
      <c r="C536" s="130" t="s">
        <v>5098</v>
      </c>
      <c r="D536" s="130" t="s">
        <v>5176</v>
      </c>
      <c r="E536" s="130" t="s">
        <v>5132</v>
      </c>
      <c r="F536" s="130" t="s">
        <v>5031</v>
      </c>
      <c r="G536" s="130">
        <v>200</v>
      </c>
      <c r="H536" s="130">
        <v>9999</v>
      </c>
      <c r="I536" s="130" t="s">
        <v>5004</v>
      </c>
    </row>
    <row r="537" spans="2:9">
      <c r="B537" s="129"/>
      <c r="C537" s="130"/>
      <c r="D537" s="130"/>
      <c r="E537" s="130"/>
      <c r="F537" s="130"/>
      <c r="G537" s="130"/>
      <c r="H537" s="130"/>
      <c r="I537" s="130"/>
    </row>
    <row r="538" spans="2:9">
      <c r="B538" s="129"/>
      <c r="C538" s="130"/>
      <c r="D538" s="130"/>
      <c r="E538" s="130"/>
      <c r="F538" s="130"/>
      <c r="G538" s="130"/>
      <c r="H538" s="130"/>
      <c r="I538" s="130"/>
    </row>
    <row r="539" spans="2:9">
      <c r="B539" s="129">
        <v>173</v>
      </c>
      <c r="C539" s="130" t="s">
        <v>5051</v>
      </c>
      <c r="D539" s="130" t="s">
        <v>5176</v>
      </c>
      <c r="E539" s="130" t="s">
        <v>5132</v>
      </c>
      <c r="F539" s="130" t="s">
        <v>5008</v>
      </c>
      <c r="G539" s="130">
        <v>3000</v>
      </c>
      <c r="H539" s="130" t="s">
        <v>5037</v>
      </c>
      <c r="I539" s="130" t="s">
        <v>5004</v>
      </c>
    </row>
    <row r="540" spans="2:9">
      <c r="B540" s="129"/>
      <c r="C540" s="130"/>
      <c r="D540" s="130"/>
      <c r="E540" s="130"/>
      <c r="F540" s="130"/>
      <c r="G540" s="130"/>
      <c r="H540" s="130"/>
      <c r="I540" s="130"/>
    </row>
    <row r="541" spans="2:9">
      <c r="B541" s="129"/>
      <c r="C541" s="130"/>
      <c r="D541" s="130"/>
      <c r="E541" s="130"/>
      <c r="F541" s="130"/>
      <c r="G541" s="130"/>
      <c r="H541" s="130"/>
      <c r="I541" s="130"/>
    </row>
    <row r="542" spans="2:9">
      <c r="B542" s="129">
        <v>174</v>
      </c>
      <c r="C542" s="130" t="s">
        <v>5051</v>
      </c>
      <c r="D542" s="130" t="s">
        <v>5176</v>
      </c>
      <c r="E542" s="130" t="s">
        <v>5132</v>
      </c>
      <c r="F542" s="130" t="s">
        <v>5033</v>
      </c>
      <c r="G542" s="130">
        <v>3000</v>
      </c>
      <c r="H542" s="130" t="s">
        <v>5037</v>
      </c>
      <c r="I542" s="130" t="s">
        <v>5004</v>
      </c>
    </row>
    <row r="543" spans="2:9">
      <c r="B543" s="129"/>
      <c r="C543" s="130"/>
      <c r="D543" s="130"/>
      <c r="E543" s="130"/>
      <c r="F543" s="130"/>
      <c r="G543" s="130"/>
      <c r="H543" s="130"/>
      <c r="I543" s="130"/>
    </row>
    <row r="544" spans="2:9">
      <c r="B544" s="129"/>
      <c r="C544" s="130"/>
      <c r="D544" s="130"/>
      <c r="E544" s="130"/>
      <c r="F544" s="130"/>
      <c r="G544" s="130"/>
      <c r="H544" s="130"/>
      <c r="I544" s="130"/>
    </row>
    <row r="545" spans="2:9">
      <c r="B545" s="129">
        <v>175</v>
      </c>
      <c r="C545" s="130" t="s">
        <v>5061</v>
      </c>
      <c r="D545" s="130" t="s">
        <v>5176</v>
      </c>
      <c r="E545" s="130" t="s">
        <v>5181</v>
      </c>
      <c r="F545" s="130" t="s">
        <v>5026</v>
      </c>
      <c r="G545" s="130">
        <v>500</v>
      </c>
      <c r="H545" s="130" t="s">
        <v>5037</v>
      </c>
      <c r="I545" s="130" t="s">
        <v>5004</v>
      </c>
    </row>
    <row r="546" spans="2:9">
      <c r="B546" s="129"/>
      <c r="C546" s="130"/>
      <c r="D546" s="130"/>
      <c r="E546" s="130"/>
      <c r="F546" s="130"/>
      <c r="G546" s="130"/>
      <c r="H546" s="130"/>
      <c r="I546" s="130"/>
    </row>
    <row r="547" spans="2:9">
      <c r="B547" s="129"/>
      <c r="C547" s="130"/>
      <c r="D547" s="130"/>
      <c r="E547" s="130"/>
      <c r="F547" s="130"/>
      <c r="G547" s="130"/>
      <c r="H547" s="130"/>
      <c r="I547" s="130"/>
    </row>
    <row r="548" spans="2:9">
      <c r="B548" s="129">
        <v>176</v>
      </c>
      <c r="C548" s="130" t="s">
        <v>5000</v>
      </c>
      <c r="D548" s="130" t="s">
        <v>5176</v>
      </c>
      <c r="E548" s="130" t="s">
        <v>5182</v>
      </c>
      <c r="F548" s="130" t="s">
        <v>5033</v>
      </c>
      <c r="G548" s="130">
        <v>200</v>
      </c>
      <c r="H548" s="130">
        <v>1000000</v>
      </c>
      <c r="I548" s="130" t="s">
        <v>5004</v>
      </c>
    </row>
    <row r="549" spans="2:9">
      <c r="B549" s="129"/>
      <c r="C549" s="130"/>
      <c r="D549" s="130"/>
      <c r="E549" s="130"/>
      <c r="F549" s="130"/>
      <c r="G549" s="130"/>
      <c r="H549" s="130"/>
      <c r="I549" s="130"/>
    </row>
    <row r="550" spans="2:9">
      <c r="B550" s="129"/>
      <c r="C550" s="130"/>
      <c r="D550" s="130"/>
      <c r="E550" s="130"/>
      <c r="F550" s="130"/>
      <c r="G550" s="130"/>
      <c r="H550" s="130"/>
      <c r="I550" s="130"/>
    </row>
    <row r="551" spans="2:9">
      <c r="B551" s="129">
        <v>177</v>
      </c>
      <c r="C551" s="130" t="s">
        <v>5000</v>
      </c>
      <c r="D551" s="130" t="s">
        <v>5176</v>
      </c>
      <c r="E551" s="130" t="s">
        <v>5183</v>
      </c>
      <c r="F551" s="130" t="s">
        <v>5033</v>
      </c>
      <c r="G551" s="130">
        <v>500</v>
      </c>
      <c r="H551" s="130">
        <v>1000000</v>
      </c>
      <c r="I551" s="130" t="s">
        <v>5004</v>
      </c>
    </row>
    <row r="552" spans="2:9">
      <c r="B552" s="129"/>
      <c r="C552" s="130"/>
      <c r="D552" s="130"/>
      <c r="E552" s="130"/>
      <c r="F552" s="130"/>
      <c r="G552" s="130"/>
      <c r="H552" s="130"/>
      <c r="I552" s="130"/>
    </row>
    <row r="553" spans="2:9">
      <c r="B553" s="129"/>
      <c r="C553" s="130"/>
      <c r="D553" s="130"/>
      <c r="E553" s="130"/>
      <c r="F553" s="130"/>
      <c r="G553" s="130"/>
      <c r="H553" s="130"/>
      <c r="I553" s="130"/>
    </row>
    <row r="554" spans="2:9">
      <c r="B554" s="129">
        <v>178</v>
      </c>
      <c r="C554" s="130" t="s">
        <v>5184</v>
      </c>
      <c r="D554" s="130" t="s">
        <v>5176</v>
      </c>
      <c r="E554" s="130" t="s">
        <v>5185</v>
      </c>
      <c r="F554" s="130" t="s">
        <v>5012</v>
      </c>
      <c r="G554" s="130">
        <v>200000</v>
      </c>
      <c r="H554" s="130" t="s">
        <v>5037</v>
      </c>
      <c r="I554" s="130" t="s">
        <v>5029</v>
      </c>
    </row>
    <row r="555" spans="2:9">
      <c r="B555" s="129"/>
      <c r="C555" s="130"/>
      <c r="D555" s="130"/>
      <c r="E555" s="130"/>
      <c r="F555" s="130"/>
      <c r="G555" s="130"/>
      <c r="H555" s="130"/>
      <c r="I555" s="130"/>
    </row>
    <row r="556" spans="2:9">
      <c r="B556" s="129"/>
      <c r="C556" s="130"/>
      <c r="D556" s="130"/>
      <c r="E556" s="130"/>
      <c r="F556" s="130"/>
      <c r="G556" s="130"/>
      <c r="H556" s="130"/>
      <c r="I556" s="130"/>
    </row>
    <row r="557" spans="2:9">
      <c r="B557" s="129">
        <v>179</v>
      </c>
      <c r="C557" s="130" t="s">
        <v>5171</v>
      </c>
      <c r="D557" s="130" t="s">
        <v>5176</v>
      </c>
      <c r="E557" s="130" t="s">
        <v>5172</v>
      </c>
      <c r="F557" s="130" t="s">
        <v>5033</v>
      </c>
      <c r="G557" s="130">
        <v>1000</v>
      </c>
      <c r="H557" s="130" t="s">
        <v>5037</v>
      </c>
      <c r="I557" s="130" t="s">
        <v>5004</v>
      </c>
    </row>
    <row r="558" spans="2:9">
      <c r="B558" s="129"/>
      <c r="C558" s="130"/>
      <c r="D558" s="130"/>
      <c r="E558" s="130"/>
      <c r="F558" s="130"/>
      <c r="G558" s="130"/>
      <c r="H558" s="130"/>
      <c r="I558" s="130"/>
    </row>
    <row r="559" spans="2:9">
      <c r="B559" s="129"/>
      <c r="C559" s="130"/>
      <c r="D559" s="130"/>
      <c r="E559" s="130"/>
      <c r="F559" s="130"/>
      <c r="G559" s="130"/>
      <c r="H559" s="130"/>
      <c r="I559" s="130"/>
    </row>
    <row r="560" spans="2:9">
      <c r="B560" s="129">
        <v>180</v>
      </c>
      <c r="C560" s="130" t="s">
        <v>5171</v>
      </c>
      <c r="D560" s="130" t="s">
        <v>5176</v>
      </c>
      <c r="E560" s="130" t="s">
        <v>5186</v>
      </c>
      <c r="F560" s="130" t="s">
        <v>5033</v>
      </c>
      <c r="G560" s="130">
        <v>1000</v>
      </c>
      <c r="H560" s="130">
        <v>500000</v>
      </c>
      <c r="I560" s="130" t="s">
        <v>5004</v>
      </c>
    </row>
    <row r="561" spans="2:9">
      <c r="B561" s="129"/>
      <c r="C561" s="130"/>
      <c r="D561" s="130"/>
      <c r="E561" s="130"/>
      <c r="F561" s="130"/>
      <c r="G561" s="130"/>
      <c r="H561" s="130"/>
      <c r="I561" s="130"/>
    </row>
    <row r="562" spans="2:9">
      <c r="B562" s="129"/>
      <c r="C562" s="130"/>
      <c r="D562" s="130"/>
      <c r="E562" s="130"/>
      <c r="F562" s="130"/>
      <c r="G562" s="130"/>
      <c r="H562" s="130"/>
      <c r="I562" s="130"/>
    </row>
    <row r="563" spans="2:9">
      <c r="B563" s="129">
        <v>181</v>
      </c>
      <c r="C563" s="130" t="s">
        <v>5112</v>
      </c>
      <c r="D563" s="130" t="s">
        <v>5176</v>
      </c>
      <c r="E563" s="130" t="s">
        <v>5121</v>
      </c>
      <c r="F563" s="130" t="s">
        <v>5033</v>
      </c>
      <c r="G563" s="130">
        <v>1000</v>
      </c>
      <c r="H563" s="130">
        <v>17700</v>
      </c>
      <c r="I563" s="130" t="s">
        <v>5013</v>
      </c>
    </row>
    <row r="564" spans="2:9">
      <c r="B564" s="129"/>
      <c r="C564" s="130"/>
      <c r="D564" s="130"/>
      <c r="E564" s="130"/>
      <c r="F564" s="130"/>
      <c r="G564" s="130"/>
      <c r="H564" s="130"/>
      <c r="I564" s="130"/>
    </row>
    <row r="565" spans="2:9">
      <c r="B565" s="129"/>
      <c r="C565" s="130"/>
      <c r="D565" s="130"/>
      <c r="E565" s="130"/>
      <c r="F565" s="130"/>
      <c r="G565" s="130"/>
      <c r="H565" s="130"/>
      <c r="I565" s="130"/>
    </row>
    <row r="566" spans="2:9">
      <c r="B566" s="129">
        <v>182</v>
      </c>
      <c r="C566" s="130" t="s">
        <v>5128</v>
      </c>
      <c r="D566" s="130" t="s">
        <v>5176</v>
      </c>
      <c r="E566" s="130" t="s">
        <v>5129</v>
      </c>
      <c r="F566" s="130" t="s">
        <v>5026</v>
      </c>
      <c r="G566" s="130">
        <v>1000</v>
      </c>
      <c r="H566" s="130" t="s">
        <v>5037</v>
      </c>
      <c r="I566" s="130" t="s">
        <v>5004</v>
      </c>
    </row>
    <row r="567" spans="2:9">
      <c r="B567" s="129"/>
      <c r="C567" s="130"/>
      <c r="D567" s="130"/>
      <c r="E567" s="130"/>
      <c r="F567" s="130"/>
      <c r="G567" s="130"/>
      <c r="H567" s="130"/>
      <c r="I567" s="130"/>
    </row>
    <row r="568" spans="2:9">
      <c r="B568" s="129"/>
      <c r="C568" s="130"/>
      <c r="D568" s="130"/>
      <c r="E568" s="130"/>
      <c r="F568" s="130"/>
      <c r="G568" s="130"/>
      <c r="H568" s="130"/>
      <c r="I568" s="130"/>
    </row>
    <row r="569" spans="2:9">
      <c r="B569" s="129">
        <v>183</v>
      </c>
      <c r="C569" s="130" t="s">
        <v>5128</v>
      </c>
      <c r="D569" s="130" t="s">
        <v>5176</v>
      </c>
      <c r="E569" s="130" t="s">
        <v>5127</v>
      </c>
      <c r="F569" s="130" t="s">
        <v>5038</v>
      </c>
      <c r="G569" s="130">
        <v>50000</v>
      </c>
      <c r="H569" s="130" t="s">
        <v>5037</v>
      </c>
      <c r="I569" s="130" t="s">
        <v>5013</v>
      </c>
    </row>
    <row r="570" spans="2:9">
      <c r="B570" s="129"/>
      <c r="C570" s="130"/>
      <c r="D570" s="130"/>
      <c r="E570" s="130"/>
      <c r="F570" s="130"/>
      <c r="G570" s="130"/>
      <c r="H570" s="130"/>
      <c r="I570" s="130"/>
    </row>
    <row r="571" spans="2:9">
      <c r="B571" s="129"/>
      <c r="C571" s="130"/>
      <c r="D571" s="130"/>
      <c r="E571" s="130"/>
      <c r="F571" s="130"/>
      <c r="G571" s="130"/>
      <c r="H571" s="130"/>
      <c r="I571" s="130"/>
    </row>
    <row r="572" spans="2:9">
      <c r="B572" s="129">
        <v>184</v>
      </c>
      <c r="C572" s="130" t="s">
        <v>5076</v>
      </c>
      <c r="D572" s="130" t="s">
        <v>5176</v>
      </c>
      <c r="E572" s="130" t="s">
        <v>5077</v>
      </c>
      <c r="F572" s="130" t="s">
        <v>5008</v>
      </c>
      <c r="G572" s="130">
        <v>5000</v>
      </c>
      <c r="H572" s="130">
        <v>12000</v>
      </c>
      <c r="I572" s="130" t="s">
        <v>5013</v>
      </c>
    </row>
    <row r="573" spans="2:9">
      <c r="B573" s="129"/>
      <c r="C573" s="130"/>
      <c r="D573" s="130"/>
      <c r="E573" s="130"/>
      <c r="F573" s="130"/>
      <c r="G573" s="130"/>
      <c r="H573" s="130"/>
      <c r="I573" s="130"/>
    </row>
    <row r="574" spans="2:9">
      <c r="B574" s="129"/>
      <c r="C574" s="130"/>
      <c r="D574" s="130"/>
      <c r="E574" s="130"/>
      <c r="F574" s="130"/>
      <c r="G574" s="130"/>
      <c r="H574" s="130"/>
      <c r="I574" s="130"/>
    </row>
    <row r="575" spans="2:9">
      <c r="B575" s="129">
        <v>185</v>
      </c>
      <c r="C575" s="130" t="s">
        <v>5076</v>
      </c>
      <c r="D575" s="130" t="s">
        <v>5176</v>
      </c>
      <c r="E575" s="130" t="s">
        <v>5130</v>
      </c>
      <c r="F575" s="130" t="s">
        <v>5131</v>
      </c>
      <c r="G575" s="130">
        <v>1000</v>
      </c>
      <c r="H575" s="130">
        <v>19999</v>
      </c>
      <c r="I575" s="130" t="s">
        <v>5004</v>
      </c>
    </row>
    <row r="576" spans="2:9">
      <c r="B576" s="129"/>
      <c r="C576" s="130"/>
      <c r="D576" s="130"/>
      <c r="E576" s="130"/>
      <c r="F576" s="130"/>
      <c r="G576" s="130"/>
      <c r="H576" s="130"/>
      <c r="I576" s="130"/>
    </row>
    <row r="577" spans="2:9">
      <c r="B577" s="129"/>
      <c r="C577" s="130"/>
      <c r="D577" s="130"/>
      <c r="E577" s="130"/>
      <c r="F577" s="130"/>
      <c r="G577" s="130"/>
      <c r="H577" s="130"/>
      <c r="I577" s="130"/>
    </row>
    <row r="578" spans="2:9">
      <c r="B578" s="129">
        <v>186</v>
      </c>
      <c r="C578" s="130" t="s">
        <v>5076</v>
      </c>
      <c r="D578" s="130" t="s">
        <v>5176</v>
      </c>
      <c r="E578" s="130" t="s">
        <v>5130</v>
      </c>
      <c r="F578" s="130" t="s">
        <v>5031</v>
      </c>
      <c r="G578" s="130">
        <v>50000</v>
      </c>
      <c r="H578" s="130">
        <v>99999</v>
      </c>
      <c r="I578" s="130" t="s">
        <v>5004</v>
      </c>
    </row>
    <row r="579" spans="2:9">
      <c r="B579" s="129"/>
      <c r="C579" s="130"/>
      <c r="D579" s="130"/>
      <c r="E579" s="130"/>
      <c r="F579" s="130"/>
      <c r="G579" s="130"/>
      <c r="H579" s="130"/>
      <c r="I579" s="130"/>
    </row>
    <row r="580" spans="2:9">
      <c r="B580" s="129"/>
      <c r="C580" s="130"/>
      <c r="D580" s="130"/>
      <c r="E580" s="130"/>
      <c r="F580" s="130"/>
      <c r="G580" s="130"/>
      <c r="H580" s="130"/>
      <c r="I580" s="130"/>
    </row>
    <row r="581" spans="2:9">
      <c r="B581" s="129">
        <v>187</v>
      </c>
      <c r="C581" s="130" t="s">
        <v>5076</v>
      </c>
      <c r="D581" s="130" t="s">
        <v>5176</v>
      </c>
      <c r="E581" s="130" t="s">
        <v>5078</v>
      </c>
      <c r="F581" s="130" t="s">
        <v>5033</v>
      </c>
      <c r="G581" s="130">
        <v>1000</v>
      </c>
      <c r="H581" s="130">
        <v>19999</v>
      </c>
      <c r="I581" s="130" t="s">
        <v>5004</v>
      </c>
    </row>
    <row r="582" spans="2:9">
      <c r="B582" s="129"/>
      <c r="C582" s="130"/>
      <c r="D582" s="130"/>
      <c r="E582" s="130"/>
      <c r="F582" s="130"/>
      <c r="G582" s="130"/>
      <c r="H582" s="130"/>
      <c r="I582" s="130"/>
    </row>
    <row r="583" spans="2:9">
      <c r="B583" s="129"/>
      <c r="C583" s="130"/>
      <c r="D583" s="130"/>
      <c r="E583" s="130"/>
      <c r="F583" s="130"/>
      <c r="G583" s="130"/>
      <c r="H583" s="130"/>
      <c r="I583" s="130"/>
    </row>
    <row r="584" spans="2:9">
      <c r="B584" s="129">
        <v>188</v>
      </c>
      <c r="C584" s="130" t="s">
        <v>5107</v>
      </c>
      <c r="D584" s="130" t="s">
        <v>5176</v>
      </c>
      <c r="E584" s="130" t="s">
        <v>5132</v>
      </c>
      <c r="F584" s="130" t="s">
        <v>5026</v>
      </c>
      <c r="G584" s="130">
        <v>3000</v>
      </c>
      <c r="H584" s="130">
        <v>49999</v>
      </c>
      <c r="I584" s="130" t="s">
        <v>5004</v>
      </c>
    </row>
    <row r="585" spans="2:9">
      <c r="B585" s="129"/>
      <c r="C585" s="130"/>
      <c r="D585" s="130"/>
      <c r="E585" s="130"/>
      <c r="F585" s="130"/>
      <c r="G585" s="130"/>
      <c r="H585" s="130"/>
      <c r="I585" s="130"/>
    </row>
    <row r="586" spans="2:9">
      <c r="B586" s="129"/>
      <c r="C586" s="130"/>
      <c r="D586" s="130"/>
      <c r="E586" s="130"/>
      <c r="F586" s="130"/>
      <c r="G586" s="130"/>
      <c r="H586" s="130"/>
      <c r="I586" s="130"/>
    </row>
    <row r="587" spans="2:9">
      <c r="B587" s="129">
        <v>189</v>
      </c>
      <c r="C587" s="130" t="s">
        <v>5017</v>
      </c>
      <c r="D587" s="130" t="s">
        <v>5176</v>
      </c>
      <c r="E587" s="130" t="s">
        <v>5133</v>
      </c>
      <c r="F587" s="130" t="s">
        <v>5033</v>
      </c>
      <c r="G587" s="130">
        <v>100000</v>
      </c>
      <c r="H587" s="130" t="s">
        <v>5037</v>
      </c>
      <c r="I587" s="130" t="s">
        <v>5004</v>
      </c>
    </row>
    <row r="588" spans="2:9">
      <c r="B588" s="129"/>
      <c r="C588" s="130"/>
      <c r="D588" s="130"/>
      <c r="E588" s="130"/>
      <c r="F588" s="130"/>
      <c r="G588" s="130"/>
      <c r="H588" s="130"/>
      <c r="I588" s="130"/>
    </row>
    <row r="589" spans="2:9">
      <c r="B589" s="129"/>
      <c r="C589" s="130"/>
      <c r="D589" s="130"/>
      <c r="E589" s="130"/>
      <c r="F589" s="130"/>
      <c r="G589" s="130"/>
      <c r="H589" s="130"/>
      <c r="I589" s="130"/>
    </row>
    <row r="590" spans="2:9">
      <c r="B590" s="129">
        <v>190</v>
      </c>
      <c r="C590" s="130" t="s">
        <v>5056</v>
      </c>
      <c r="D590" s="130" t="s">
        <v>5176</v>
      </c>
      <c r="E590" s="130" t="s">
        <v>5091</v>
      </c>
      <c r="F590" s="130" t="s">
        <v>5033</v>
      </c>
      <c r="G590" s="130">
        <v>2000</v>
      </c>
      <c r="H590" s="130" t="s">
        <v>5037</v>
      </c>
      <c r="I590" s="130" t="s">
        <v>5004</v>
      </c>
    </row>
    <row r="591" spans="2:9">
      <c r="B591" s="129"/>
      <c r="C591" s="130"/>
      <c r="D591" s="130"/>
      <c r="E591" s="130"/>
      <c r="F591" s="130"/>
      <c r="G591" s="130"/>
      <c r="H591" s="130"/>
      <c r="I591" s="130"/>
    </row>
    <row r="592" spans="2:9">
      <c r="B592" s="129"/>
      <c r="C592" s="130"/>
      <c r="D592" s="130"/>
      <c r="E592" s="130"/>
      <c r="F592" s="130"/>
      <c r="G592" s="130"/>
      <c r="H592" s="130"/>
      <c r="I592" s="130"/>
    </row>
    <row r="593" spans="2:9">
      <c r="B593" s="129">
        <v>191</v>
      </c>
      <c r="C593" s="130" t="s">
        <v>5005</v>
      </c>
      <c r="D593" s="130" t="s">
        <v>5176</v>
      </c>
      <c r="E593" s="130" t="s">
        <v>5007</v>
      </c>
      <c r="F593" s="130" t="s">
        <v>5008</v>
      </c>
      <c r="G593" s="130">
        <v>10001</v>
      </c>
      <c r="H593" s="130" t="s">
        <v>5037</v>
      </c>
      <c r="I593" s="130" t="s">
        <v>5004</v>
      </c>
    </row>
    <row r="594" spans="2:9">
      <c r="B594" s="129"/>
      <c r="C594" s="130"/>
      <c r="D594" s="130"/>
      <c r="E594" s="130"/>
      <c r="F594" s="130"/>
      <c r="G594" s="130"/>
      <c r="H594" s="130"/>
      <c r="I594" s="130"/>
    </row>
    <row r="595" spans="2:9">
      <c r="B595" s="129"/>
      <c r="C595" s="130"/>
      <c r="D595" s="130"/>
      <c r="E595" s="130"/>
      <c r="F595" s="130"/>
      <c r="G595" s="130"/>
      <c r="H595" s="130"/>
      <c r="I595" s="130"/>
    </row>
    <row r="596" spans="2:9">
      <c r="B596" s="129">
        <v>192</v>
      </c>
      <c r="C596" s="130" t="s">
        <v>5056</v>
      </c>
      <c r="D596" s="130" t="s">
        <v>5176</v>
      </c>
      <c r="E596" s="130" t="s">
        <v>5187</v>
      </c>
      <c r="F596" s="130" t="s">
        <v>5012</v>
      </c>
      <c r="G596" s="130">
        <v>0</v>
      </c>
      <c r="H596" s="130" t="s">
        <v>5037</v>
      </c>
      <c r="I596" s="130" t="s">
        <v>5029</v>
      </c>
    </row>
    <row r="597" spans="2:9">
      <c r="B597" s="129"/>
      <c r="C597" s="130"/>
      <c r="D597" s="130"/>
      <c r="E597" s="130"/>
      <c r="F597" s="130"/>
      <c r="G597" s="130"/>
      <c r="H597" s="130"/>
      <c r="I597" s="130"/>
    </row>
    <row r="598" spans="2:9">
      <c r="B598" s="129"/>
      <c r="C598" s="130"/>
      <c r="D598" s="130"/>
      <c r="E598" s="130"/>
      <c r="F598" s="130"/>
      <c r="G598" s="130"/>
      <c r="H598" s="130"/>
      <c r="I598" s="130"/>
    </row>
    <row r="599" spans="2:9">
      <c r="B599" s="129">
        <v>193</v>
      </c>
      <c r="C599" s="130" t="s">
        <v>5081</v>
      </c>
      <c r="D599" s="130" t="s">
        <v>5176</v>
      </c>
      <c r="E599" s="130" t="s">
        <v>5082</v>
      </c>
      <c r="F599" s="130" t="s">
        <v>5012</v>
      </c>
      <c r="G599" s="130">
        <v>20000</v>
      </c>
      <c r="H599" s="130">
        <v>100000</v>
      </c>
      <c r="I599" s="130" t="s">
        <v>5029</v>
      </c>
    </row>
    <row r="600" spans="2:9">
      <c r="B600" s="129"/>
      <c r="C600" s="130"/>
      <c r="D600" s="130"/>
      <c r="E600" s="130"/>
      <c r="F600" s="130"/>
      <c r="G600" s="130"/>
      <c r="H600" s="130"/>
      <c r="I600" s="130"/>
    </row>
    <row r="601" spans="2:9">
      <c r="B601" s="129"/>
      <c r="C601" s="130"/>
      <c r="D601" s="130"/>
      <c r="E601" s="130"/>
      <c r="F601" s="130"/>
      <c r="G601" s="130"/>
      <c r="H601" s="130"/>
      <c r="I601" s="130"/>
    </row>
    <row r="602" spans="2:9">
      <c r="B602" s="129">
        <v>194</v>
      </c>
      <c r="C602" s="130" t="s">
        <v>5188</v>
      </c>
      <c r="D602" s="130" t="s">
        <v>5176</v>
      </c>
      <c r="E602" s="130" t="s">
        <v>5189</v>
      </c>
      <c r="F602" s="130" t="s">
        <v>5050</v>
      </c>
      <c r="G602" s="130">
        <v>1000</v>
      </c>
      <c r="H602" s="130" t="s">
        <v>5037</v>
      </c>
      <c r="I602" s="130" t="s">
        <v>5004</v>
      </c>
    </row>
    <row r="603" spans="2:9">
      <c r="B603" s="129"/>
      <c r="C603" s="130"/>
      <c r="D603" s="130"/>
      <c r="E603" s="130"/>
      <c r="F603" s="130"/>
      <c r="G603" s="130"/>
      <c r="H603" s="130"/>
      <c r="I603" s="130"/>
    </row>
    <row r="604" spans="2:9">
      <c r="B604" s="129"/>
      <c r="C604" s="130"/>
      <c r="D604" s="130"/>
      <c r="E604" s="130"/>
      <c r="F604" s="130"/>
      <c r="G604" s="130"/>
      <c r="H604" s="130"/>
      <c r="I604" s="130"/>
    </row>
    <row r="605" spans="2:9">
      <c r="B605" s="129">
        <v>195</v>
      </c>
      <c r="C605" s="130" t="s">
        <v>5051</v>
      </c>
      <c r="D605" s="130" t="s">
        <v>5190</v>
      </c>
      <c r="E605" s="130" t="s">
        <v>5169</v>
      </c>
      <c r="F605" s="130" t="s">
        <v>5033</v>
      </c>
      <c r="G605" s="130">
        <v>3000</v>
      </c>
      <c r="H605" s="130">
        <v>14000</v>
      </c>
      <c r="I605" s="130" t="s">
        <v>5013</v>
      </c>
    </row>
    <row r="606" spans="2:9">
      <c r="B606" s="129"/>
      <c r="C606" s="130"/>
      <c r="D606" s="130"/>
      <c r="E606" s="130"/>
      <c r="F606" s="130"/>
      <c r="G606" s="130"/>
      <c r="H606" s="130"/>
      <c r="I606" s="130"/>
    </row>
    <row r="607" spans="2:9">
      <c r="B607" s="129"/>
      <c r="C607" s="130"/>
      <c r="D607" s="130"/>
      <c r="E607" s="130"/>
      <c r="F607" s="130"/>
      <c r="G607" s="130"/>
      <c r="H607" s="130"/>
      <c r="I607" s="130"/>
    </row>
    <row r="608" spans="2:9">
      <c r="B608" s="129">
        <v>196</v>
      </c>
      <c r="C608" s="130" t="s">
        <v>5005</v>
      </c>
      <c r="D608" s="130" t="s">
        <v>5190</v>
      </c>
      <c r="E608" s="130" t="s">
        <v>5138</v>
      </c>
      <c r="F608" s="130" t="s">
        <v>5033</v>
      </c>
      <c r="G608" s="130">
        <v>1000</v>
      </c>
      <c r="H608" s="130" t="s">
        <v>5037</v>
      </c>
      <c r="I608" s="130" t="s">
        <v>5004</v>
      </c>
    </row>
    <row r="609" spans="2:9">
      <c r="B609" s="129"/>
      <c r="C609" s="130"/>
      <c r="D609" s="130"/>
      <c r="E609" s="130"/>
      <c r="F609" s="130"/>
      <c r="G609" s="130"/>
      <c r="H609" s="130"/>
      <c r="I609" s="130"/>
    </row>
    <row r="610" spans="2:9">
      <c r="B610" s="129"/>
      <c r="C610" s="130"/>
      <c r="D610" s="130"/>
      <c r="E610" s="130"/>
      <c r="F610" s="130"/>
      <c r="G610" s="130"/>
      <c r="H610" s="130"/>
      <c r="I610" s="130"/>
    </row>
    <row r="611" spans="2:9">
      <c r="B611" s="129">
        <v>197</v>
      </c>
      <c r="C611" s="130" t="s">
        <v>5034</v>
      </c>
      <c r="D611" s="130" t="s">
        <v>5190</v>
      </c>
      <c r="E611" s="130" t="s">
        <v>5036</v>
      </c>
      <c r="F611" s="130" t="s">
        <v>5020</v>
      </c>
      <c r="G611" s="130">
        <v>10000</v>
      </c>
      <c r="H611" s="130" t="s">
        <v>5037</v>
      </c>
      <c r="I611" s="130" t="s">
        <v>5004</v>
      </c>
    </row>
    <row r="612" spans="2:9">
      <c r="B612" s="129"/>
      <c r="C612" s="130"/>
      <c r="D612" s="130"/>
      <c r="E612" s="130"/>
      <c r="F612" s="130"/>
      <c r="G612" s="130"/>
      <c r="H612" s="130"/>
      <c r="I612" s="130"/>
    </row>
    <row r="613" spans="2:9">
      <c r="B613" s="129"/>
      <c r="C613" s="130"/>
      <c r="D613" s="130"/>
      <c r="E613" s="130"/>
      <c r="F613" s="130"/>
      <c r="G613" s="130"/>
      <c r="H613" s="130"/>
      <c r="I613" s="130"/>
    </row>
    <row r="614" spans="2:9">
      <c r="B614" s="129">
        <v>198</v>
      </c>
      <c r="C614" s="130" t="s">
        <v>5061</v>
      </c>
      <c r="D614" s="130" t="s">
        <v>5191</v>
      </c>
      <c r="E614" s="130" t="s">
        <v>5105</v>
      </c>
      <c r="F614" s="130" t="s">
        <v>5033</v>
      </c>
      <c r="G614" s="130">
        <v>1000</v>
      </c>
      <c r="H614" s="130">
        <v>14000</v>
      </c>
      <c r="I614" s="130" t="s">
        <v>5013</v>
      </c>
    </row>
    <row r="615" spans="2:9">
      <c r="B615" s="129"/>
      <c r="C615" s="130"/>
      <c r="D615" s="130"/>
      <c r="E615" s="130"/>
      <c r="F615" s="130"/>
      <c r="G615" s="130"/>
      <c r="H615" s="130"/>
      <c r="I615" s="130"/>
    </row>
    <row r="616" spans="2:9">
      <c r="B616" s="129"/>
      <c r="C616" s="130"/>
      <c r="D616" s="130"/>
      <c r="E616" s="130"/>
      <c r="F616" s="130"/>
      <c r="G616" s="130"/>
      <c r="H616" s="130"/>
      <c r="I616" s="130"/>
    </row>
    <row r="617" spans="2:9">
      <c r="B617" s="129">
        <v>199</v>
      </c>
      <c r="C617" s="130" t="s">
        <v>5044</v>
      </c>
      <c r="D617" s="130" t="s">
        <v>5191</v>
      </c>
      <c r="E617" s="130" t="s">
        <v>5106</v>
      </c>
      <c r="F617" s="130" t="s">
        <v>5033</v>
      </c>
      <c r="G617" s="130">
        <v>500</v>
      </c>
      <c r="H617" s="130">
        <v>13000</v>
      </c>
      <c r="I617" s="130" t="s">
        <v>5013</v>
      </c>
    </row>
    <row r="618" spans="2:9">
      <c r="B618" s="129"/>
      <c r="C618" s="130"/>
      <c r="D618" s="130"/>
      <c r="E618" s="130"/>
      <c r="F618" s="130"/>
      <c r="G618" s="130"/>
      <c r="H618" s="130"/>
      <c r="I618" s="130"/>
    </row>
    <row r="619" spans="2:9">
      <c r="B619" s="129"/>
      <c r="C619" s="130"/>
      <c r="D619" s="130"/>
      <c r="E619" s="130"/>
      <c r="F619" s="130"/>
      <c r="G619" s="130"/>
      <c r="H619" s="130"/>
      <c r="I619" s="130"/>
    </row>
    <row r="620" spans="2:9">
      <c r="B620" s="129">
        <v>200</v>
      </c>
      <c r="C620" s="130" t="s">
        <v>5175</v>
      </c>
      <c r="D620" s="130" t="s">
        <v>5192</v>
      </c>
      <c r="E620" s="130" t="s">
        <v>5133</v>
      </c>
      <c r="F620" s="130" t="s">
        <v>5038</v>
      </c>
      <c r="G620" s="130">
        <v>1000</v>
      </c>
      <c r="H620" s="130" t="s">
        <v>5037</v>
      </c>
      <c r="I620" s="130" t="s">
        <v>5004</v>
      </c>
    </row>
    <row r="621" spans="2:9">
      <c r="B621" s="129"/>
      <c r="C621" s="130"/>
      <c r="D621" s="130"/>
      <c r="E621" s="130"/>
      <c r="F621" s="130"/>
      <c r="G621" s="130"/>
      <c r="H621" s="130"/>
      <c r="I621" s="130"/>
    </row>
    <row r="622" spans="2:9">
      <c r="B622" s="129"/>
      <c r="C622" s="130"/>
      <c r="D622" s="130"/>
      <c r="E622" s="130"/>
      <c r="F622" s="130"/>
      <c r="G622" s="130"/>
      <c r="H622" s="130"/>
      <c r="I622" s="130"/>
    </row>
    <row r="623" spans="2:9">
      <c r="B623" s="129">
        <v>201</v>
      </c>
      <c r="C623" s="130" t="s">
        <v>5061</v>
      </c>
      <c r="D623" s="130" t="s">
        <v>5192</v>
      </c>
      <c r="E623" s="130" t="s">
        <v>5105</v>
      </c>
      <c r="F623" s="130" t="s">
        <v>5020</v>
      </c>
      <c r="G623" s="130">
        <v>1000</v>
      </c>
      <c r="H623" s="130">
        <v>14000</v>
      </c>
      <c r="I623" s="130" t="s">
        <v>5013</v>
      </c>
    </row>
    <row r="624" spans="2:9">
      <c r="B624" s="129"/>
      <c r="C624" s="130"/>
      <c r="D624" s="130"/>
      <c r="E624" s="130"/>
      <c r="F624" s="130"/>
      <c r="G624" s="130"/>
      <c r="H624" s="130"/>
      <c r="I624" s="130"/>
    </row>
    <row r="625" spans="2:9">
      <c r="B625" s="129"/>
      <c r="C625" s="130"/>
      <c r="D625" s="130"/>
      <c r="E625" s="130"/>
      <c r="F625" s="130"/>
      <c r="G625" s="130"/>
      <c r="H625" s="130"/>
      <c r="I625" s="130"/>
    </row>
    <row r="626" spans="2:9">
      <c r="B626" s="129">
        <v>202</v>
      </c>
      <c r="C626" s="130" t="s">
        <v>5034</v>
      </c>
      <c r="D626" s="130" t="s">
        <v>5192</v>
      </c>
      <c r="E626" s="130" t="s">
        <v>5036</v>
      </c>
      <c r="F626" s="130" t="s">
        <v>5020</v>
      </c>
      <c r="G626" s="130">
        <v>1000</v>
      </c>
      <c r="H626" s="130">
        <v>9999</v>
      </c>
      <c r="I626" s="130" t="s">
        <v>5004</v>
      </c>
    </row>
    <row r="627" spans="2:9">
      <c r="B627" s="129"/>
      <c r="C627" s="130"/>
      <c r="D627" s="130"/>
      <c r="E627" s="130"/>
      <c r="F627" s="130"/>
      <c r="G627" s="130"/>
      <c r="H627" s="130"/>
      <c r="I627" s="130"/>
    </row>
    <row r="628" spans="2:9">
      <c r="B628" s="129"/>
      <c r="C628" s="130"/>
      <c r="D628" s="130"/>
      <c r="E628" s="130"/>
      <c r="F628" s="130"/>
      <c r="G628" s="130"/>
      <c r="H628" s="130"/>
      <c r="I628" s="130"/>
    </row>
    <row r="629" spans="2:9">
      <c r="B629" s="129">
        <v>203</v>
      </c>
      <c r="C629" s="130" t="s">
        <v>5056</v>
      </c>
      <c r="D629" s="130" t="s">
        <v>5192</v>
      </c>
      <c r="E629" s="130" t="s">
        <v>5075</v>
      </c>
      <c r="F629" s="130" t="s">
        <v>5012</v>
      </c>
      <c r="G629" s="130">
        <v>20000</v>
      </c>
      <c r="H629" s="130" t="s">
        <v>5037</v>
      </c>
      <c r="I629" s="130" t="s">
        <v>5029</v>
      </c>
    </row>
    <row r="630" spans="2:9">
      <c r="B630" s="129"/>
      <c r="C630" s="130"/>
      <c r="D630" s="130"/>
      <c r="E630" s="130"/>
      <c r="F630" s="130"/>
      <c r="G630" s="130"/>
      <c r="H630" s="130"/>
      <c r="I630" s="130"/>
    </row>
    <row r="631" spans="2:9">
      <c r="B631" s="129"/>
      <c r="C631" s="130"/>
      <c r="D631" s="130"/>
      <c r="E631" s="130"/>
      <c r="F631" s="130"/>
      <c r="G631" s="130"/>
      <c r="H631" s="130"/>
      <c r="I631" s="130"/>
    </row>
    <row r="632" spans="2:9">
      <c r="B632" s="129">
        <v>204</v>
      </c>
      <c r="C632" s="130" t="s">
        <v>5051</v>
      </c>
      <c r="D632" s="130" t="s">
        <v>5193</v>
      </c>
      <c r="E632" s="130" t="s">
        <v>5169</v>
      </c>
      <c r="F632" s="130" t="s">
        <v>5008</v>
      </c>
      <c r="G632" s="130">
        <v>3000</v>
      </c>
      <c r="H632" s="130">
        <v>14000</v>
      </c>
      <c r="I632" s="130" t="s">
        <v>5013</v>
      </c>
    </row>
    <row r="633" spans="2:9">
      <c r="B633" s="129"/>
      <c r="C633" s="130"/>
      <c r="D633" s="130"/>
      <c r="E633" s="130"/>
      <c r="F633" s="130"/>
      <c r="G633" s="130"/>
      <c r="H633" s="130"/>
      <c r="I633" s="130"/>
    </row>
    <row r="634" spans="2:9">
      <c r="B634" s="129"/>
      <c r="C634" s="130"/>
      <c r="D634" s="130"/>
      <c r="E634" s="130"/>
      <c r="F634" s="130"/>
      <c r="G634" s="130"/>
      <c r="H634" s="130"/>
      <c r="I634" s="130"/>
    </row>
    <row r="635" spans="2:9">
      <c r="B635" s="129">
        <v>205</v>
      </c>
      <c r="C635" s="130" t="s">
        <v>5027</v>
      </c>
      <c r="D635" s="130" t="s">
        <v>5194</v>
      </c>
      <c r="E635" s="130" t="s">
        <v>5195</v>
      </c>
      <c r="F635" s="130" t="s">
        <v>5196</v>
      </c>
      <c r="G635" s="130">
        <v>500</v>
      </c>
      <c r="H635" s="130" t="s">
        <v>5037</v>
      </c>
      <c r="I635" s="130" t="s">
        <v>5013</v>
      </c>
    </row>
    <row r="636" spans="2:9">
      <c r="B636" s="129"/>
      <c r="C636" s="130"/>
      <c r="D636" s="130"/>
      <c r="E636" s="130"/>
      <c r="F636" s="130"/>
      <c r="G636" s="130"/>
      <c r="H636" s="130"/>
      <c r="I636" s="130"/>
    </row>
    <row r="637" spans="2:9">
      <c r="B637" s="129"/>
      <c r="C637" s="130"/>
      <c r="D637" s="130"/>
      <c r="E637" s="130"/>
      <c r="F637" s="130"/>
      <c r="G637" s="130"/>
      <c r="H637" s="130"/>
      <c r="I637" s="130"/>
    </row>
    <row r="638" spans="2:9">
      <c r="B638" s="129">
        <v>206</v>
      </c>
      <c r="C638" s="130" t="s">
        <v>5061</v>
      </c>
      <c r="D638" s="130" t="s">
        <v>5194</v>
      </c>
      <c r="E638" s="130" t="s">
        <v>5068</v>
      </c>
      <c r="F638" s="130" t="s">
        <v>5043</v>
      </c>
      <c r="G638" s="130">
        <v>1000</v>
      </c>
      <c r="H638" s="130">
        <v>14000</v>
      </c>
      <c r="I638" s="130" t="s">
        <v>5013</v>
      </c>
    </row>
    <row r="639" spans="2:9">
      <c r="B639" s="129"/>
      <c r="C639" s="130"/>
      <c r="D639" s="130"/>
      <c r="E639" s="130"/>
      <c r="F639" s="130"/>
      <c r="G639" s="130"/>
      <c r="H639" s="130"/>
      <c r="I639" s="130"/>
    </row>
    <row r="640" spans="2:9">
      <c r="B640" s="129"/>
      <c r="C640" s="130"/>
      <c r="D640" s="130"/>
      <c r="E640" s="130"/>
      <c r="F640" s="130"/>
      <c r="G640" s="130"/>
      <c r="H640" s="130"/>
      <c r="I640" s="130"/>
    </row>
    <row r="641" spans="2:9">
      <c r="B641" s="129">
        <v>207</v>
      </c>
      <c r="C641" s="130" t="s">
        <v>5061</v>
      </c>
      <c r="D641" s="130" t="s">
        <v>5194</v>
      </c>
      <c r="E641" s="130" t="s">
        <v>5105</v>
      </c>
      <c r="F641" s="130" t="s">
        <v>5008</v>
      </c>
      <c r="G641" s="130">
        <v>1000</v>
      </c>
      <c r="H641" s="130">
        <v>14000</v>
      </c>
      <c r="I641" s="130" t="s">
        <v>5013</v>
      </c>
    </row>
    <row r="642" spans="2:9">
      <c r="B642" s="129"/>
      <c r="C642" s="130"/>
      <c r="D642" s="130"/>
      <c r="E642" s="130"/>
      <c r="F642" s="130"/>
      <c r="G642" s="130"/>
      <c r="H642" s="130"/>
      <c r="I642" s="130"/>
    </row>
    <row r="643" spans="2:9">
      <c r="B643" s="129"/>
      <c r="C643" s="130"/>
      <c r="D643" s="130"/>
      <c r="E643" s="130"/>
      <c r="F643" s="130"/>
      <c r="G643" s="130"/>
      <c r="H643" s="130"/>
      <c r="I643" s="130"/>
    </row>
    <row r="644" spans="2:9">
      <c r="B644" s="129">
        <v>208</v>
      </c>
      <c r="C644" s="130" t="s">
        <v>5128</v>
      </c>
      <c r="D644" s="130" t="s">
        <v>5194</v>
      </c>
      <c r="E644" s="130" t="s">
        <v>5159</v>
      </c>
      <c r="F644" s="130" t="s">
        <v>5140</v>
      </c>
      <c r="G644" s="130">
        <v>5000</v>
      </c>
      <c r="H644" s="130">
        <v>16000</v>
      </c>
      <c r="I644" s="130" t="s">
        <v>5013</v>
      </c>
    </row>
    <row r="645" spans="2:9">
      <c r="B645" s="129"/>
      <c r="C645" s="130"/>
      <c r="D645" s="130"/>
      <c r="E645" s="130"/>
      <c r="F645" s="130"/>
      <c r="G645" s="130"/>
      <c r="H645" s="130"/>
      <c r="I645" s="130"/>
    </row>
    <row r="646" spans="2:9">
      <c r="B646" s="129"/>
      <c r="C646" s="130"/>
      <c r="D646" s="130"/>
      <c r="E646" s="130"/>
      <c r="F646" s="130"/>
      <c r="G646" s="130"/>
      <c r="H646" s="130"/>
      <c r="I646" s="130"/>
    </row>
    <row r="647" spans="2:9">
      <c r="B647" s="129">
        <v>209</v>
      </c>
      <c r="C647" s="130" t="s">
        <v>5044</v>
      </c>
      <c r="D647" s="130" t="s">
        <v>5194</v>
      </c>
      <c r="E647" s="130" t="s">
        <v>5106</v>
      </c>
      <c r="F647" s="130" t="s">
        <v>5008</v>
      </c>
      <c r="G647" s="130">
        <v>500</v>
      </c>
      <c r="H647" s="130">
        <v>13000</v>
      </c>
      <c r="I647" s="130" t="s">
        <v>5013</v>
      </c>
    </row>
    <row r="648" spans="2:9">
      <c r="B648" s="129"/>
      <c r="C648" s="130"/>
      <c r="D648" s="130"/>
      <c r="E648" s="130"/>
      <c r="F648" s="130"/>
      <c r="G648" s="130"/>
      <c r="H648" s="130"/>
      <c r="I648" s="130"/>
    </row>
    <row r="649" spans="2:9">
      <c r="B649" s="129"/>
      <c r="C649" s="130"/>
      <c r="D649" s="130"/>
      <c r="E649" s="130"/>
      <c r="F649" s="130"/>
      <c r="G649" s="130"/>
      <c r="H649" s="130"/>
      <c r="I649" s="130"/>
    </row>
    <row r="650" spans="2:9">
      <c r="B650" s="129">
        <v>210</v>
      </c>
      <c r="C650" s="130" t="s">
        <v>5125</v>
      </c>
      <c r="D650" s="130" t="s">
        <v>5197</v>
      </c>
      <c r="E650" s="130" t="s">
        <v>5198</v>
      </c>
      <c r="F650" s="130" t="s">
        <v>5026</v>
      </c>
      <c r="G650" s="130">
        <v>500000</v>
      </c>
      <c r="H650" s="130" t="s">
        <v>5037</v>
      </c>
      <c r="I650" s="130" t="s">
        <v>5004</v>
      </c>
    </row>
    <row r="651" spans="2:9">
      <c r="B651" s="129"/>
      <c r="C651" s="130"/>
      <c r="D651" s="130"/>
      <c r="E651" s="130"/>
      <c r="F651" s="130"/>
      <c r="G651" s="130"/>
      <c r="H651" s="130"/>
      <c r="I651" s="130"/>
    </row>
    <row r="652" spans="2:9">
      <c r="B652" s="129"/>
      <c r="C652" s="130"/>
      <c r="D652" s="130"/>
      <c r="E652" s="130"/>
      <c r="F652" s="130"/>
      <c r="G652" s="130"/>
      <c r="H652" s="130"/>
      <c r="I652" s="130"/>
    </row>
    <row r="653" spans="2:9">
      <c r="B653" s="129">
        <v>211</v>
      </c>
      <c r="C653" s="130" t="s">
        <v>5005</v>
      </c>
      <c r="D653" s="130" t="s">
        <v>5197</v>
      </c>
      <c r="E653" s="130" t="s">
        <v>5146</v>
      </c>
      <c r="F653" s="130" t="s">
        <v>5033</v>
      </c>
      <c r="G653" s="130">
        <v>3000</v>
      </c>
      <c r="H653" s="130" t="s">
        <v>5037</v>
      </c>
      <c r="I653" s="130" t="s">
        <v>5004</v>
      </c>
    </row>
    <row r="654" spans="2:9">
      <c r="B654" s="129"/>
      <c r="C654" s="130"/>
      <c r="D654" s="130"/>
      <c r="E654" s="130"/>
      <c r="F654" s="130"/>
      <c r="G654" s="130"/>
      <c r="H654" s="130"/>
      <c r="I654" s="130"/>
    </row>
    <row r="655" spans="2:9">
      <c r="B655" s="129"/>
      <c r="C655" s="130"/>
      <c r="D655" s="130"/>
      <c r="E655" s="130"/>
      <c r="F655" s="130"/>
      <c r="G655" s="130"/>
      <c r="H655" s="130"/>
      <c r="I655" s="130"/>
    </row>
    <row r="656" spans="2:9">
      <c r="B656" s="129">
        <v>212</v>
      </c>
      <c r="C656" s="130" t="s">
        <v>5056</v>
      </c>
      <c r="D656" s="130" t="s">
        <v>5197</v>
      </c>
      <c r="E656" s="130" t="s">
        <v>5075</v>
      </c>
      <c r="F656" s="130" t="s">
        <v>5012</v>
      </c>
      <c r="G656" s="130">
        <v>10000</v>
      </c>
      <c r="H656" s="130">
        <v>19999</v>
      </c>
      <c r="I656" s="130" t="s">
        <v>5029</v>
      </c>
    </row>
    <row r="657" spans="2:9">
      <c r="B657" s="129"/>
      <c r="C657" s="130"/>
      <c r="D657" s="130"/>
      <c r="E657" s="130"/>
      <c r="F657" s="130"/>
      <c r="G657" s="130"/>
      <c r="H657" s="130"/>
      <c r="I657" s="130"/>
    </row>
    <row r="658" spans="2:9">
      <c r="B658" s="129"/>
      <c r="C658" s="130"/>
      <c r="D658" s="130"/>
      <c r="E658" s="130"/>
      <c r="F658" s="130"/>
      <c r="G658" s="130"/>
      <c r="H658" s="130"/>
      <c r="I658" s="130"/>
    </row>
    <row r="659" spans="2:9">
      <c r="B659" s="129">
        <v>213</v>
      </c>
      <c r="C659" s="130" t="s">
        <v>5034</v>
      </c>
      <c r="D659" s="130" t="s">
        <v>5199</v>
      </c>
      <c r="E659" s="130" t="s">
        <v>5064</v>
      </c>
      <c r="F659" s="130" t="s">
        <v>5050</v>
      </c>
      <c r="G659" s="130">
        <v>1000</v>
      </c>
      <c r="H659" s="130">
        <v>19000</v>
      </c>
      <c r="I659" s="130" t="s">
        <v>5013</v>
      </c>
    </row>
    <row r="660" spans="2:9">
      <c r="B660" s="129"/>
      <c r="C660" s="130"/>
      <c r="D660" s="130"/>
      <c r="E660" s="130"/>
      <c r="F660" s="130"/>
      <c r="G660" s="130"/>
      <c r="H660" s="130"/>
      <c r="I660" s="130"/>
    </row>
    <row r="661" spans="2:9">
      <c r="B661" s="129"/>
      <c r="C661" s="130"/>
      <c r="D661" s="130"/>
      <c r="E661" s="130"/>
      <c r="F661" s="130"/>
      <c r="G661" s="130"/>
      <c r="H661" s="130"/>
      <c r="I661" s="130"/>
    </row>
    <row r="662" spans="2:9">
      <c r="B662" s="129">
        <v>214</v>
      </c>
      <c r="C662" s="130" t="s">
        <v>5034</v>
      </c>
      <c r="D662" s="130" t="s">
        <v>5199</v>
      </c>
      <c r="E662" s="130" t="s">
        <v>5065</v>
      </c>
      <c r="F662" s="130" t="s">
        <v>5050</v>
      </c>
      <c r="G662" s="130">
        <v>5000</v>
      </c>
      <c r="H662" s="130">
        <v>19000</v>
      </c>
      <c r="I662" s="130" t="s">
        <v>5013</v>
      </c>
    </row>
    <row r="663" spans="2:9">
      <c r="B663" s="129"/>
      <c r="C663" s="130"/>
      <c r="D663" s="130"/>
      <c r="E663" s="130"/>
      <c r="F663" s="130"/>
      <c r="G663" s="130"/>
      <c r="H663" s="130"/>
      <c r="I663" s="130"/>
    </row>
    <row r="664" spans="2:9">
      <c r="B664" s="129"/>
      <c r="C664" s="130"/>
      <c r="D664" s="130"/>
      <c r="E664" s="130"/>
      <c r="F664" s="130"/>
      <c r="G664" s="130"/>
      <c r="H664" s="130"/>
      <c r="I664" s="130"/>
    </row>
    <row r="665" spans="2:9">
      <c r="B665" s="129">
        <v>215</v>
      </c>
      <c r="C665" s="130" t="s">
        <v>5034</v>
      </c>
      <c r="D665" s="130" t="s">
        <v>5200</v>
      </c>
      <c r="E665" s="130" t="s">
        <v>5064</v>
      </c>
      <c r="F665" s="130" t="s">
        <v>5033</v>
      </c>
      <c r="G665" s="130">
        <v>1000</v>
      </c>
      <c r="H665" s="130">
        <v>19000</v>
      </c>
      <c r="I665" s="130" t="s">
        <v>5013</v>
      </c>
    </row>
    <row r="666" spans="2:9">
      <c r="B666" s="129"/>
      <c r="C666" s="130"/>
      <c r="D666" s="130"/>
      <c r="E666" s="130"/>
      <c r="F666" s="130"/>
      <c r="G666" s="130"/>
      <c r="H666" s="130"/>
      <c r="I666" s="130"/>
    </row>
    <row r="667" spans="2:9">
      <c r="B667" s="129"/>
      <c r="C667" s="130"/>
      <c r="D667" s="130"/>
      <c r="E667" s="130"/>
      <c r="F667" s="130"/>
      <c r="G667" s="130"/>
      <c r="H667" s="130"/>
      <c r="I667" s="130"/>
    </row>
    <row r="668" spans="2:9">
      <c r="B668" s="129">
        <v>216</v>
      </c>
      <c r="C668" s="130" t="s">
        <v>5034</v>
      </c>
      <c r="D668" s="130" t="s">
        <v>5200</v>
      </c>
      <c r="E668" s="130" t="s">
        <v>5065</v>
      </c>
      <c r="F668" s="130" t="s">
        <v>5033</v>
      </c>
      <c r="G668" s="130">
        <v>5000</v>
      </c>
      <c r="H668" s="130">
        <v>19000</v>
      </c>
      <c r="I668" s="130" t="s">
        <v>5013</v>
      </c>
    </row>
    <row r="669" spans="2:9">
      <c r="B669" s="129"/>
      <c r="C669" s="130"/>
      <c r="D669" s="130"/>
      <c r="E669" s="130"/>
      <c r="F669" s="130"/>
      <c r="G669" s="130"/>
      <c r="H669" s="130"/>
      <c r="I669" s="130"/>
    </row>
    <row r="670" spans="2:9">
      <c r="B670" s="129"/>
      <c r="C670" s="130"/>
      <c r="D670" s="130"/>
      <c r="E670" s="130"/>
      <c r="F670" s="130"/>
      <c r="G670" s="130"/>
      <c r="H670" s="130"/>
      <c r="I670" s="130"/>
    </row>
    <row r="671" spans="2:9">
      <c r="B671" s="129">
        <v>217</v>
      </c>
      <c r="C671" s="130" t="s">
        <v>5027</v>
      </c>
      <c r="D671" s="130" t="s">
        <v>5201</v>
      </c>
      <c r="E671" s="130" t="s">
        <v>5177</v>
      </c>
      <c r="F671" s="130" t="s">
        <v>5033</v>
      </c>
      <c r="G671" s="130">
        <v>100000</v>
      </c>
      <c r="H671" s="130" t="s">
        <v>5037</v>
      </c>
      <c r="I671" s="130" t="s">
        <v>5004</v>
      </c>
    </row>
    <row r="672" spans="2:9">
      <c r="B672" s="129"/>
      <c r="C672" s="130"/>
      <c r="D672" s="130"/>
      <c r="E672" s="130"/>
      <c r="F672" s="130"/>
      <c r="G672" s="130"/>
      <c r="H672" s="130"/>
      <c r="I672" s="130"/>
    </row>
    <row r="673" spans="2:9">
      <c r="B673" s="129"/>
      <c r="C673" s="130"/>
      <c r="D673" s="130"/>
      <c r="E673" s="130"/>
      <c r="F673" s="130"/>
      <c r="G673" s="130"/>
      <c r="H673" s="130"/>
      <c r="I673" s="130"/>
    </row>
    <row r="674" spans="2:9">
      <c r="B674" s="129">
        <v>218</v>
      </c>
      <c r="C674" s="130" t="s">
        <v>5027</v>
      </c>
      <c r="D674" s="130" t="s">
        <v>5201</v>
      </c>
      <c r="E674" s="130" t="s">
        <v>5177</v>
      </c>
      <c r="F674" s="130" t="s">
        <v>5026</v>
      </c>
      <c r="G674" s="130">
        <v>100000</v>
      </c>
      <c r="H674" s="130" t="s">
        <v>5037</v>
      </c>
      <c r="I674" s="130" t="s">
        <v>5004</v>
      </c>
    </row>
    <row r="675" spans="2:9">
      <c r="B675" s="129"/>
      <c r="C675" s="130"/>
      <c r="D675" s="130"/>
      <c r="E675" s="130"/>
      <c r="F675" s="130"/>
      <c r="G675" s="130"/>
      <c r="H675" s="130"/>
      <c r="I675" s="130"/>
    </row>
    <row r="676" spans="2:9">
      <c r="B676" s="129"/>
      <c r="C676" s="130"/>
      <c r="D676" s="130"/>
      <c r="E676" s="130"/>
      <c r="F676" s="130"/>
      <c r="G676" s="130"/>
      <c r="H676" s="130"/>
      <c r="I676" s="130"/>
    </row>
    <row r="677" spans="2:9">
      <c r="B677" s="129">
        <v>219</v>
      </c>
      <c r="C677" s="130" t="s">
        <v>5125</v>
      </c>
      <c r="D677" s="130" t="s">
        <v>5201</v>
      </c>
      <c r="E677" s="130" t="s">
        <v>5198</v>
      </c>
      <c r="F677" s="130" t="s">
        <v>5026</v>
      </c>
      <c r="G677" s="130">
        <v>100000</v>
      </c>
      <c r="H677" s="130">
        <v>500000</v>
      </c>
      <c r="I677" s="130" t="s">
        <v>5004</v>
      </c>
    </row>
    <row r="678" spans="2:9">
      <c r="B678" s="129"/>
      <c r="C678" s="130"/>
      <c r="D678" s="130"/>
      <c r="E678" s="130"/>
      <c r="F678" s="130"/>
      <c r="G678" s="130"/>
      <c r="H678" s="130"/>
      <c r="I678" s="130"/>
    </row>
    <row r="679" spans="2:9">
      <c r="B679" s="129"/>
      <c r="C679" s="130"/>
      <c r="D679" s="130"/>
      <c r="E679" s="130"/>
      <c r="F679" s="130"/>
      <c r="G679" s="130"/>
      <c r="H679" s="130"/>
      <c r="I679" s="130"/>
    </row>
    <row r="680" spans="2:9">
      <c r="B680" s="129">
        <v>220</v>
      </c>
      <c r="C680" s="130" t="s">
        <v>5102</v>
      </c>
      <c r="D680" s="130" t="s">
        <v>5201</v>
      </c>
      <c r="E680" s="130" t="s">
        <v>5132</v>
      </c>
      <c r="F680" s="130" t="s">
        <v>5043</v>
      </c>
      <c r="G680" s="130">
        <v>1000</v>
      </c>
      <c r="H680" s="130">
        <v>10000</v>
      </c>
      <c r="I680" s="130" t="s">
        <v>5004</v>
      </c>
    </row>
    <row r="681" spans="2:9">
      <c r="B681" s="129"/>
      <c r="C681" s="130"/>
      <c r="D681" s="130"/>
      <c r="E681" s="130"/>
      <c r="F681" s="130"/>
      <c r="G681" s="130"/>
      <c r="H681" s="130"/>
      <c r="I681" s="130"/>
    </row>
    <row r="682" spans="2:9">
      <c r="B682" s="129"/>
      <c r="C682" s="130"/>
      <c r="D682" s="130"/>
      <c r="E682" s="130"/>
      <c r="F682" s="130"/>
      <c r="G682" s="130"/>
      <c r="H682" s="130"/>
      <c r="I682" s="130"/>
    </row>
    <row r="683" spans="2:9">
      <c r="B683" s="129">
        <v>221</v>
      </c>
      <c r="C683" s="130" t="s">
        <v>5074</v>
      </c>
      <c r="D683" s="130" t="s">
        <v>5201</v>
      </c>
      <c r="E683" s="130" t="s">
        <v>5202</v>
      </c>
      <c r="F683" s="130" t="s">
        <v>5033</v>
      </c>
      <c r="G683" s="130">
        <v>1000</v>
      </c>
      <c r="H683" s="130" t="s">
        <v>5037</v>
      </c>
      <c r="I683" s="130" t="s">
        <v>5004</v>
      </c>
    </row>
    <row r="684" spans="2:9">
      <c r="B684" s="129"/>
      <c r="C684" s="130"/>
      <c r="D684" s="130"/>
      <c r="E684" s="130"/>
      <c r="F684" s="130"/>
      <c r="G684" s="130"/>
      <c r="H684" s="130"/>
      <c r="I684" s="130"/>
    </row>
    <row r="685" spans="2:9">
      <c r="B685" s="129"/>
      <c r="C685" s="130"/>
      <c r="D685" s="130"/>
      <c r="E685" s="130"/>
      <c r="F685" s="130"/>
      <c r="G685" s="130"/>
      <c r="H685" s="130"/>
      <c r="I685" s="130"/>
    </row>
    <row r="686" spans="2:9">
      <c r="B686" s="129">
        <v>222</v>
      </c>
      <c r="C686" s="130" t="s">
        <v>5076</v>
      </c>
      <c r="D686" s="130" t="s">
        <v>5201</v>
      </c>
      <c r="E686" s="130" t="s">
        <v>5130</v>
      </c>
      <c r="F686" s="130" t="s">
        <v>5031</v>
      </c>
      <c r="G686" s="130">
        <v>1000</v>
      </c>
      <c r="H686" s="130">
        <v>19999</v>
      </c>
      <c r="I686" s="130" t="s">
        <v>5004</v>
      </c>
    </row>
    <row r="687" spans="2:9">
      <c r="B687" s="129"/>
      <c r="C687" s="130"/>
      <c r="D687" s="130"/>
      <c r="E687" s="130"/>
      <c r="F687" s="130"/>
      <c r="G687" s="130"/>
      <c r="H687" s="130"/>
      <c r="I687" s="130"/>
    </row>
    <row r="688" spans="2:9">
      <c r="B688" s="129"/>
      <c r="C688" s="130"/>
      <c r="D688" s="130"/>
      <c r="E688" s="130"/>
      <c r="F688" s="130"/>
      <c r="G688" s="130"/>
      <c r="H688" s="130"/>
      <c r="I688" s="130"/>
    </row>
    <row r="689" spans="2:9">
      <c r="B689" s="129">
        <v>223</v>
      </c>
      <c r="C689" s="130" t="s">
        <v>5076</v>
      </c>
      <c r="D689" s="130" t="s">
        <v>5201</v>
      </c>
      <c r="E689" s="130" t="s">
        <v>5130</v>
      </c>
      <c r="F689" s="130" t="s">
        <v>5031</v>
      </c>
      <c r="G689" s="130">
        <v>20000</v>
      </c>
      <c r="H689" s="130">
        <v>49999</v>
      </c>
      <c r="I689" s="130" t="s">
        <v>5004</v>
      </c>
    </row>
    <row r="690" spans="2:9">
      <c r="B690" s="129"/>
      <c r="C690" s="130"/>
      <c r="D690" s="130"/>
      <c r="E690" s="130"/>
      <c r="F690" s="130"/>
      <c r="G690" s="130"/>
      <c r="H690" s="130"/>
      <c r="I690" s="130"/>
    </row>
    <row r="691" spans="2:9">
      <c r="B691" s="129"/>
      <c r="C691" s="130"/>
      <c r="D691" s="130"/>
      <c r="E691" s="130"/>
      <c r="F691" s="130"/>
      <c r="G691" s="130"/>
      <c r="H691" s="130"/>
      <c r="I691" s="130"/>
    </row>
    <row r="692" spans="2:9">
      <c r="B692" s="129">
        <v>224</v>
      </c>
      <c r="C692" s="130" t="s">
        <v>5122</v>
      </c>
      <c r="D692" s="130" t="s">
        <v>5201</v>
      </c>
      <c r="E692" s="130" t="s">
        <v>5135</v>
      </c>
      <c r="F692" s="130" t="s">
        <v>5003</v>
      </c>
      <c r="G692" s="130">
        <v>150000</v>
      </c>
      <c r="H692" s="130" t="s">
        <v>5037</v>
      </c>
      <c r="I692" s="130" t="s">
        <v>5004</v>
      </c>
    </row>
    <row r="693" spans="2:9">
      <c r="B693" s="129"/>
      <c r="C693" s="130"/>
      <c r="D693" s="130"/>
      <c r="E693" s="130"/>
      <c r="F693" s="130"/>
      <c r="G693" s="130"/>
      <c r="H693" s="130"/>
      <c r="I693" s="130"/>
    </row>
    <row r="694" spans="2:9">
      <c r="B694" s="129"/>
      <c r="C694" s="130"/>
      <c r="D694" s="130"/>
      <c r="E694" s="130"/>
      <c r="F694" s="130"/>
      <c r="G694" s="130"/>
      <c r="H694" s="130"/>
      <c r="I694" s="130"/>
    </row>
    <row r="695" spans="2:9">
      <c r="B695" s="129">
        <v>225</v>
      </c>
      <c r="C695" s="130" t="s">
        <v>5056</v>
      </c>
      <c r="D695" s="130" t="s">
        <v>5201</v>
      </c>
      <c r="E695" s="130" t="s">
        <v>5075</v>
      </c>
      <c r="F695" s="130" t="s">
        <v>5012</v>
      </c>
      <c r="G695" s="130">
        <v>5000</v>
      </c>
      <c r="H695" s="130">
        <v>9999</v>
      </c>
      <c r="I695" s="130" t="s">
        <v>5029</v>
      </c>
    </row>
    <row r="696" spans="2:9">
      <c r="B696" s="129"/>
      <c r="C696" s="130"/>
      <c r="D696" s="130"/>
      <c r="E696" s="130"/>
      <c r="F696" s="130"/>
      <c r="G696" s="130"/>
      <c r="H696" s="130"/>
      <c r="I696" s="130"/>
    </row>
    <row r="697" spans="2:9">
      <c r="B697" s="129"/>
      <c r="C697" s="130"/>
      <c r="D697" s="130"/>
      <c r="E697" s="130"/>
      <c r="F697" s="130"/>
      <c r="G697" s="130"/>
      <c r="H697" s="130"/>
      <c r="I697" s="130"/>
    </row>
    <row r="698" spans="2:9">
      <c r="B698" s="129">
        <v>226</v>
      </c>
      <c r="C698" s="130" t="s">
        <v>5125</v>
      </c>
      <c r="D698" s="130" t="s">
        <v>5203</v>
      </c>
      <c r="E698" s="130" t="s">
        <v>5198</v>
      </c>
      <c r="F698" s="130" t="s">
        <v>5026</v>
      </c>
      <c r="G698" s="130">
        <v>1000</v>
      </c>
      <c r="H698" s="130">
        <v>100000</v>
      </c>
      <c r="I698" s="130" t="s">
        <v>5004</v>
      </c>
    </row>
    <row r="699" spans="2:9">
      <c r="B699" s="129"/>
      <c r="C699" s="130"/>
      <c r="D699" s="130"/>
      <c r="E699" s="130"/>
      <c r="F699" s="130"/>
      <c r="G699" s="130"/>
      <c r="H699" s="130"/>
      <c r="I699" s="130"/>
    </row>
    <row r="700" spans="2:9">
      <c r="B700" s="129"/>
      <c r="C700" s="130"/>
      <c r="D700" s="130"/>
      <c r="E700" s="130"/>
      <c r="F700" s="130"/>
      <c r="G700" s="130"/>
      <c r="H700" s="130"/>
      <c r="I700" s="130"/>
    </row>
    <row r="701" spans="2:9">
      <c r="B701" s="129">
        <v>227</v>
      </c>
      <c r="C701" s="130" t="s">
        <v>5098</v>
      </c>
      <c r="D701" s="130" t="s">
        <v>5203</v>
      </c>
      <c r="E701" s="130" t="s">
        <v>5132</v>
      </c>
      <c r="F701" s="130" t="s">
        <v>5033</v>
      </c>
      <c r="G701" s="130">
        <v>10000</v>
      </c>
      <c r="H701" s="130" t="s">
        <v>5037</v>
      </c>
      <c r="I701" s="130" t="s">
        <v>5004</v>
      </c>
    </row>
    <row r="702" spans="2:9">
      <c r="B702" s="129"/>
      <c r="C702" s="130"/>
      <c r="D702" s="130"/>
      <c r="E702" s="130"/>
      <c r="F702" s="130"/>
      <c r="G702" s="130"/>
      <c r="H702" s="130"/>
      <c r="I702" s="130"/>
    </row>
    <row r="703" spans="2:9">
      <c r="B703" s="129"/>
      <c r="C703" s="130"/>
      <c r="D703" s="130"/>
      <c r="E703" s="130"/>
      <c r="F703" s="130"/>
      <c r="G703" s="130"/>
      <c r="H703" s="130"/>
      <c r="I703" s="130"/>
    </row>
    <row r="704" spans="2:9">
      <c r="B704" s="129">
        <v>228</v>
      </c>
      <c r="C704" s="130" t="s">
        <v>5098</v>
      </c>
      <c r="D704" s="130" t="s">
        <v>5203</v>
      </c>
      <c r="E704" s="130" t="s">
        <v>5132</v>
      </c>
      <c r="F704" s="130" t="s">
        <v>5033</v>
      </c>
      <c r="G704" s="130">
        <v>10000</v>
      </c>
      <c r="H704" s="130" t="s">
        <v>5037</v>
      </c>
      <c r="I704" s="130" t="s">
        <v>5004</v>
      </c>
    </row>
    <row r="705" spans="2:9">
      <c r="B705" s="129"/>
      <c r="C705" s="130"/>
      <c r="D705" s="130"/>
      <c r="E705" s="130"/>
      <c r="F705" s="130"/>
      <c r="G705" s="130"/>
      <c r="H705" s="130"/>
      <c r="I705" s="130"/>
    </row>
    <row r="706" spans="2:9">
      <c r="B706" s="129"/>
      <c r="C706" s="130"/>
      <c r="D706" s="130"/>
      <c r="E706" s="130"/>
      <c r="F706" s="130"/>
      <c r="G706" s="130"/>
      <c r="H706" s="130"/>
      <c r="I706" s="130"/>
    </row>
    <row r="707" spans="2:9">
      <c r="B707" s="129">
        <v>229</v>
      </c>
      <c r="C707" s="130" t="s">
        <v>5095</v>
      </c>
      <c r="D707" s="130" t="s">
        <v>5203</v>
      </c>
      <c r="E707" s="130" t="s">
        <v>5204</v>
      </c>
      <c r="F707" s="130" t="s">
        <v>5117</v>
      </c>
      <c r="G707" s="130">
        <v>500</v>
      </c>
      <c r="H707" s="130" t="s">
        <v>5037</v>
      </c>
      <c r="I707" s="130" t="s">
        <v>5004</v>
      </c>
    </row>
    <row r="708" spans="2:9">
      <c r="B708" s="129"/>
      <c r="C708" s="130"/>
      <c r="D708" s="130"/>
      <c r="E708" s="130"/>
      <c r="F708" s="130"/>
      <c r="G708" s="130"/>
      <c r="H708" s="130"/>
      <c r="I708" s="130"/>
    </row>
    <row r="709" spans="2:9">
      <c r="B709" s="129"/>
      <c r="C709" s="130"/>
      <c r="D709" s="130"/>
      <c r="E709" s="130"/>
      <c r="F709" s="130"/>
      <c r="G709" s="130"/>
      <c r="H709" s="130"/>
      <c r="I709" s="130"/>
    </row>
    <row r="710" spans="2:9">
      <c r="B710" s="129">
        <v>230</v>
      </c>
      <c r="C710" s="130" t="s">
        <v>5095</v>
      </c>
      <c r="D710" s="130" t="s">
        <v>5203</v>
      </c>
      <c r="E710" s="130" t="s">
        <v>5204</v>
      </c>
      <c r="F710" s="130" t="s">
        <v>5043</v>
      </c>
      <c r="G710" s="130">
        <v>500</v>
      </c>
      <c r="H710" s="130" t="s">
        <v>5037</v>
      </c>
      <c r="I710" s="130" t="s">
        <v>5004</v>
      </c>
    </row>
    <row r="711" spans="2:9">
      <c r="B711" s="129"/>
      <c r="C711" s="130"/>
      <c r="D711" s="130"/>
      <c r="E711" s="130"/>
      <c r="F711" s="130"/>
      <c r="G711" s="130"/>
      <c r="H711" s="130"/>
      <c r="I711" s="130"/>
    </row>
    <row r="712" spans="2:9">
      <c r="B712" s="129"/>
      <c r="C712" s="130"/>
      <c r="D712" s="130"/>
      <c r="E712" s="130"/>
      <c r="F712" s="130"/>
      <c r="G712" s="130"/>
      <c r="H712" s="130"/>
      <c r="I712" s="130"/>
    </row>
    <row r="713" spans="2:9">
      <c r="B713" s="129">
        <v>231</v>
      </c>
      <c r="C713" s="130" t="s">
        <v>5095</v>
      </c>
      <c r="D713" s="130" t="s">
        <v>5203</v>
      </c>
      <c r="E713" s="130" t="s">
        <v>5205</v>
      </c>
      <c r="F713" s="130" t="s">
        <v>5043</v>
      </c>
      <c r="G713" s="130">
        <v>500</v>
      </c>
      <c r="H713" s="130">
        <v>9999</v>
      </c>
      <c r="I713" s="130" t="s">
        <v>5004</v>
      </c>
    </row>
    <row r="714" spans="2:9">
      <c r="B714" s="129"/>
      <c r="C714" s="130"/>
      <c r="D714" s="130"/>
      <c r="E714" s="130"/>
      <c r="F714" s="130"/>
      <c r="G714" s="130"/>
      <c r="H714" s="130"/>
      <c r="I714" s="130"/>
    </row>
    <row r="715" spans="2:9">
      <c r="B715" s="129"/>
      <c r="C715" s="130"/>
      <c r="D715" s="130"/>
      <c r="E715" s="130"/>
      <c r="F715" s="130"/>
      <c r="G715" s="130"/>
      <c r="H715" s="130"/>
      <c r="I715" s="130"/>
    </row>
    <row r="716" spans="2:9">
      <c r="B716" s="129">
        <v>232</v>
      </c>
      <c r="C716" s="130" t="s">
        <v>5095</v>
      </c>
      <c r="D716" s="130" t="s">
        <v>5203</v>
      </c>
      <c r="E716" s="130" t="s">
        <v>5205</v>
      </c>
      <c r="F716" s="130" t="s">
        <v>5043</v>
      </c>
      <c r="G716" s="130">
        <v>10000</v>
      </c>
      <c r="H716" s="130">
        <v>24999</v>
      </c>
      <c r="I716" s="130" t="s">
        <v>5004</v>
      </c>
    </row>
    <row r="717" spans="2:9">
      <c r="B717" s="129"/>
      <c r="C717" s="130"/>
      <c r="D717" s="130"/>
      <c r="E717" s="130"/>
      <c r="F717" s="130"/>
      <c r="G717" s="130"/>
      <c r="H717" s="130"/>
      <c r="I717" s="130"/>
    </row>
    <row r="718" spans="2:9">
      <c r="B718" s="129"/>
      <c r="C718" s="130"/>
      <c r="D718" s="130"/>
      <c r="E718" s="130"/>
      <c r="F718" s="130"/>
      <c r="G718" s="130"/>
      <c r="H718" s="130"/>
      <c r="I718" s="130"/>
    </row>
    <row r="719" spans="2:9">
      <c r="B719" s="129">
        <v>233</v>
      </c>
      <c r="C719" s="130" t="s">
        <v>5095</v>
      </c>
      <c r="D719" s="130" t="s">
        <v>5203</v>
      </c>
      <c r="E719" s="130" t="s">
        <v>5205</v>
      </c>
      <c r="F719" s="130" t="s">
        <v>5043</v>
      </c>
      <c r="G719" s="130">
        <v>25000</v>
      </c>
      <c r="H719" s="130">
        <v>49999</v>
      </c>
      <c r="I719" s="130" t="s">
        <v>5004</v>
      </c>
    </row>
    <row r="720" spans="2:9">
      <c r="B720" s="129"/>
      <c r="C720" s="130"/>
      <c r="D720" s="130"/>
      <c r="E720" s="130"/>
      <c r="F720" s="130"/>
      <c r="G720" s="130"/>
      <c r="H720" s="130"/>
      <c r="I720" s="130"/>
    </row>
    <row r="721" spans="2:9">
      <c r="B721" s="129"/>
      <c r="C721" s="130"/>
      <c r="D721" s="130"/>
      <c r="E721" s="130"/>
      <c r="F721" s="130"/>
      <c r="G721" s="130"/>
      <c r="H721" s="130"/>
      <c r="I721" s="130"/>
    </row>
    <row r="722" spans="2:9">
      <c r="B722" s="129">
        <v>234</v>
      </c>
      <c r="C722" s="130" t="s">
        <v>5095</v>
      </c>
      <c r="D722" s="130" t="s">
        <v>5203</v>
      </c>
      <c r="E722" s="130" t="s">
        <v>5205</v>
      </c>
      <c r="F722" s="130" t="s">
        <v>5043</v>
      </c>
      <c r="G722" s="130">
        <v>50000</v>
      </c>
      <c r="H722" s="130" t="s">
        <v>5037</v>
      </c>
      <c r="I722" s="130" t="s">
        <v>5004</v>
      </c>
    </row>
    <row r="723" spans="2:9">
      <c r="B723" s="129"/>
      <c r="C723" s="130"/>
      <c r="D723" s="130"/>
      <c r="E723" s="130"/>
      <c r="F723" s="130"/>
      <c r="G723" s="130"/>
      <c r="H723" s="130"/>
      <c r="I723" s="130"/>
    </row>
    <row r="724" spans="2:9">
      <c r="B724" s="129"/>
      <c r="C724" s="130"/>
      <c r="D724" s="130"/>
      <c r="E724" s="130"/>
      <c r="F724" s="130"/>
      <c r="G724" s="130"/>
      <c r="H724" s="130"/>
      <c r="I724" s="130"/>
    </row>
    <row r="725" spans="2:9">
      <c r="B725" s="129">
        <v>235</v>
      </c>
      <c r="C725" s="130" t="s">
        <v>5017</v>
      </c>
      <c r="D725" s="130" t="s">
        <v>5203</v>
      </c>
      <c r="E725" s="130" t="s">
        <v>5133</v>
      </c>
      <c r="F725" s="130" t="s">
        <v>5033</v>
      </c>
      <c r="G725" s="130">
        <v>500</v>
      </c>
      <c r="H725" s="130">
        <v>99999</v>
      </c>
      <c r="I725" s="130" t="s">
        <v>5004</v>
      </c>
    </row>
    <row r="726" spans="2:9">
      <c r="B726" s="129"/>
      <c r="C726" s="130"/>
      <c r="D726" s="130"/>
      <c r="E726" s="130"/>
      <c r="F726" s="130"/>
      <c r="G726" s="130"/>
      <c r="H726" s="130"/>
      <c r="I726" s="130"/>
    </row>
    <row r="727" spans="2:9">
      <c r="B727" s="129"/>
      <c r="C727" s="130"/>
      <c r="D727" s="130"/>
      <c r="E727" s="130"/>
      <c r="F727" s="130"/>
      <c r="G727" s="130"/>
      <c r="H727" s="130"/>
      <c r="I727" s="130"/>
    </row>
    <row r="728" spans="2:9">
      <c r="B728" s="129">
        <v>236</v>
      </c>
      <c r="C728" s="130" t="s">
        <v>5122</v>
      </c>
      <c r="D728" s="130" t="s">
        <v>5203</v>
      </c>
      <c r="E728" s="130" t="s">
        <v>5135</v>
      </c>
      <c r="F728" s="130" t="s">
        <v>5003</v>
      </c>
      <c r="G728" s="130">
        <v>100000</v>
      </c>
      <c r="H728" s="130">
        <v>149999</v>
      </c>
      <c r="I728" s="130" t="s">
        <v>5004</v>
      </c>
    </row>
    <row r="729" spans="2:9">
      <c r="B729" s="129"/>
      <c r="C729" s="130"/>
      <c r="D729" s="130"/>
      <c r="E729" s="130"/>
      <c r="F729" s="130"/>
      <c r="G729" s="130"/>
      <c r="H729" s="130"/>
      <c r="I729" s="130"/>
    </row>
    <row r="730" spans="2:9">
      <c r="B730" s="129"/>
      <c r="C730" s="130"/>
      <c r="D730" s="130"/>
      <c r="E730" s="130"/>
      <c r="F730" s="130"/>
      <c r="G730" s="130"/>
      <c r="H730" s="130"/>
      <c r="I730" s="130"/>
    </row>
    <row r="731" spans="2:9">
      <c r="B731" s="129">
        <v>237</v>
      </c>
      <c r="C731" s="130" t="s">
        <v>5056</v>
      </c>
      <c r="D731" s="130" t="s">
        <v>5203</v>
      </c>
      <c r="E731" s="130" t="s">
        <v>5075</v>
      </c>
      <c r="F731" s="130" t="s">
        <v>5012</v>
      </c>
      <c r="G731" s="130">
        <v>2000</v>
      </c>
      <c r="H731" s="130">
        <v>4999</v>
      </c>
      <c r="I731" s="130" t="s">
        <v>5029</v>
      </c>
    </row>
    <row r="732" spans="2:9">
      <c r="B732" s="129"/>
      <c r="C732" s="130"/>
      <c r="D732" s="130"/>
      <c r="E732" s="130"/>
      <c r="F732" s="130"/>
      <c r="G732" s="130"/>
      <c r="H732" s="130"/>
      <c r="I732" s="130"/>
    </row>
    <row r="733" spans="2:9">
      <c r="B733" s="129"/>
      <c r="C733" s="130"/>
      <c r="D733" s="130"/>
      <c r="E733" s="130"/>
      <c r="F733" s="130"/>
      <c r="G733" s="130"/>
      <c r="H733" s="130"/>
      <c r="I733" s="130"/>
    </row>
    <row r="734" spans="2:9">
      <c r="B734" s="129">
        <v>238</v>
      </c>
      <c r="C734" s="130" t="s">
        <v>5175</v>
      </c>
      <c r="D734" s="130" t="s">
        <v>5206</v>
      </c>
      <c r="E734" s="130" t="s">
        <v>5133</v>
      </c>
      <c r="F734" s="130" t="s">
        <v>5033</v>
      </c>
      <c r="G734" s="130">
        <v>1000</v>
      </c>
      <c r="H734" s="130" t="s">
        <v>5037</v>
      </c>
      <c r="I734" s="130" t="s">
        <v>5004</v>
      </c>
    </row>
    <row r="735" spans="2:9">
      <c r="B735" s="129"/>
      <c r="C735" s="130"/>
      <c r="D735" s="130"/>
      <c r="E735" s="130"/>
      <c r="F735" s="130"/>
      <c r="G735" s="130"/>
      <c r="H735" s="130"/>
      <c r="I735" s="130"/>
    </row>
    <row r="736" spans="2:9">
      <c r="B736" s="129"/>
      <c r="C736" s="130"/>
      <c r="D736" s="130"/>
      <c r="E736" s="130"/>
      <c r="F736" s="130"/>
      <c r="G736" s="130"/>
      <c r="H736" s="130"/>
      <c r="I736" s="130"/>
    </row>
    <row r="737" spans="2:9">
      <c r="B737" s="129">
        <v>239</v>
      </c>
      <c r="C737" s="130" t="s">
        <v>5098</v>
      </c>
      <c r="D737" s="130" t="s">
        <v>5206</v>
      </c>
      <c r="E737" s="130" t="s">
        <v>5132</v>
      </c>
      <c r="F737" s="130" t="s">
        <v>5033</v>
      </c>
      <c r="G737" s="130">
        <v>200</v>
      </c>
      <c r="H737" s="130">
        <v>9999</v>
      </c>
      <c r="I737" s="130" t="s">
        <v>5004</v>
      </c>
    </row>
    <row r="738" spans="2:9">
      <c r="B738" s="129"/>
      <c r="C738" s="130"/>
      <c r="D738" s="130"/>
      <c r="E738" s="130"/>
      <c r="F738" s="130"/>
      <c r="G738" s="130"/>
      <c r="H738" s="130"/>
      <c r="I738" s="130"/>
    </row>
    <row r="739" spans="2:9">
      <c r="B739" s="129"/>
      <c r="C739" s="130"/>
      <c r="D739" s="130"/>
      <c r="E739" s="130"/>
      <c r="F739" s="130"/>
      <c r="G739" s="130"/>
      <c r="H739" s="130"/>
      <c r="I739" s="130"/>
    </row>
    <row r="740" spans="2:9">
      <c r="B740" s="129">
        <v>240</v>
      </c>
      <c r="C740" s="130" t="s">
        <v>5098</v>
      </c>
      <c r="D740" s="130" t="s">
        <v>5206</v>
      </c>
      <c r="E740" s="130" t="s">
        <v>5132</v>
      </c>
      <c r="F740" s="130" t="s">
        <v>5033</v>
      </c>
      <c r="G740" s="130">
        <v>200</v>
      </c>
      <c r="H740" s="130">
        <v>9999</v>
      </c>
      <c r="I740" s="130" t="s">
        <v>5004</v>
      </c>
    </row>
    <row r="741" spans="2:9">
      <c r="B741" s="129"/>
      <c r="C741" s="130"/>
      <c r="D741" s="130"/>
      <c r="E741" s="130"/>
      <c r="F741" s="130"/>
      <c r="G741" s="130"/>
      <c r="H741" s="130"/>
      <c r="I741" s="130"/>
    </row>
    <row r="742" spans="2:9">
      <c r="B742" s="129"/>
      <c r="C742" s="130"/>
      <c r="D742" s="130"/>
      <c r="E742" s="130"/>
      <c r="F742" s="130"/>
      <c r="G742" s="130"/>
      <c r="H742" s="130"/>
      <c r="I742" s="130"/>
    </row>
    <row r="743" spans="2:9">
      <c r="B743" s="129">
        <v>241</v>
      </c>
      <c r="C743" s="130" t="s">
        <v>5128</v>
      </c>
      <c r="D743" s="130" t="s">
        <v>5206</v>
      </c>
      <c r="E743" s="130" t="s">
        <v>5159</v>
      </c>
      <c r="F743" s="130" t="s">
        <v>5050</v>
      </c>
      <c r="G743" s="130">
        <v>5000</v>
      </c>
      <c r="H743" s="130">
        <v>16000</v>
      </c>
      <c r="I743" s="130" t="s">
        <v>5013</v>
      </c>
    </row>
    <row r="744" spans="2:9">
      <c r="B744" s="129"/>
      <c r="C744" s="130"/>
      <c r="D744" s="130"/>
      <c r="E744" s="130"/>
      <c r="F744" s="130"/>
      <c r="G744" s="130"/>
      <c r="H744" s="130"/>
      <c r="I744" s="130"/>
    </row>
    <row r="745" spans="2:9">
      <c r="B745" s="129"/>
      <c r="C745" s="130"/>
      <c r="D745" s="130"/>
      <c r="E745" s="130"/>
      <c r="F745" s="130"/>
      <c r="G745" s="130"/>
      <c r="H745" s="130"/>
      <c r="I745" s="130"/>
    </row>
    <row r="746" spans="2:9">
      <c r="B746" s="129">
        <v>242</v>
      </c>
      <c r="C746" s="130" t="s">
        <v>5128</v>
      </c>
      <c r="D746" s="130" t="s">
        <v>5206</v>
      </c>
      <c r="E746" s="130" t="s">
        <v>5149</v>
      </c>
      <c r="F746" s="130" t="s">
        <v>5008</v>
      </c>
      <c r="G746" s="130">
        <v>1000</v>
      </c>
      <c r="H746" s="130" t="s">
        <v>5037</v>
      </c>
      <c r="I746" s="130" t="s">
        <v>5004</v>
      </c>
    </row>
    <row r="747" spans="2:9">
      <c r="B747" s="129"/>
      <c r="C747" s="130"/>
      <c r="D747" s="130"/>
      <c r="E747" s="130"/>
      <c r="F747" s="130"/>
      <c r="G747" s="130"/>
      <c r="H747" s="130"/>
      <c r="I747" s="130"/>
    </row>
    <row r="748" spans="2:9">
      <c r="B748" s="129"/>
      <c r="C748" s="130"/>
      <c r="D748" s="130"/>
      <c r="E748" s="130"/>
      <c r="F748" s="130"/>
      <c r="G748" s="130"/>
      <c r="H748" s="130"/>
      <c r="I748" s="130"/>
    </row>
    <row r="749" spans="2:9">
      <c r="B749" s="129">
        <v>243</v>
      </c>
      <c r="C749" s="130" t="s">
        <v>5000</v>
      </c>
      <c r="D749" s="130" t="s">
        <v>5206</v>
      </c>
      <c r="E749" s="130" t="s">
        <v>5207</v>
      </c>
      <c r="F749" s="130" t="s">
        <v>5008</v>
      </c>
      <c r="G749" s="130">
        <v>500</v>
      </c>
      <c r="H749" s="130">
        <v>1000000</v>
      </c>
      <c r="I749" s="130" t="s">
        <v>5004</v>
      </c>
    </row>
    <row r="750" spans="2:9">
      <c r="B750" s="129"/>
      <c r="C750" s="130"/>
      <c r="D750" s="130"/>
      <c r="E750" s="130"/>
      <c r="F750" s="130"/>
      <c r="G750" s="130"/>
      <c r="H750" s="130"/>
      <c r="I750" s="130"/>
    </row>
    <row r="751" spans="2:9">
      <c r="B751" s="129"/>
      <c r="C751" s="130"/>
      <c r="D751" s="130"/>
      <c r="E751" s="130"/>
      <c r="F751" s="130"/>
      <c r="G751" s="130"/>
      <c r="H751" s="130"/>
      <c r="I751" s="130"/>
    </row>
    <row r="752" spans="2:9">
      <c r="B752" s="129">
        <v>244</v>
      </c>
      <c r="C752" s="130" t="s">
        <v>5208</v>
      </c>
      <c r="D752" s="130" t="s">
        <v>5206</v>
      </c>
      <c r="E752" s="130" t="s">
        <v>5209</v>
      </c>
      <c r="F752" s="130" t="s">
        <v>5134</v>
      </c>
      <c r="G752" s="130">
        <v>1000</v>
      </c>
      <c r="H752" s="130">
        <v>18100</v>
      </c>
      <c r="I752" s="130" t="s">
        <v>5013</v>
      </c>
    </row>
    <row r="753" spans="2:9">
      <c r="B753" s="129"/>
      <c r="C753" s="130"/>
      <c r="D753" s="130"/>
      <c r="E753" s="130"/>
      <c r="F753" s="130"/>
      <c r="G753" s="130"/>
      <c r="H753" s="130"/>
      <c r="I753" s="130"/>
    </row>
    <row r="754" spans="2:9">
      <c r="B754" s="129"/>
      <c r="C754" s="130"/>
      <c r="D754" s="130"/>
      <c r="E754" s="130"/>
      <c r="F754" s="130"/>
      <c r="G754" s="130"/>
      <c r="H754" s="130"/>
      <c r="I754" s="130"/>
    </row>
    <row r="755" spans="2:9">
      <c r="B755" s="129">
        <v>245</v>
      </c>
      <c r="C755" s="130" t="s">
        <v>5107</v>
      </c>
      <c r="D755" s="130" t="s">
        <v>5206</v>
      </c>
      <c r="E755" s="130" t="s">
        <v>5132</v>
      </c>
      <c r="F755" s="130" t="s">
        <v>5033</v>
      </c>
      <c r="G755" s="130">
        <v>100000</v>
      </c>
      <c r="H755" s="130" t="s">
        <v>5037</v>
      </c>
      <c r="I755" s="130" t="s">
        <v>5004</v>
      </c>
    </row>
    <row r="756" spans="2:9">
      <c r="B756" s="129"/>
      <c r="C756" s="130"/>
      <c r="D756" s="130"/>
      <c r="E756" s="130"/>
      <c r="F756" s="130"/>
      <c r="G756" s="130"/>
      <c r="H756" s="130"/>
      <c r="I756" s="130"/>
    </row>
    <row r="757" spans="2:9">
      <c r="B757" s="129"/>
      <c r="C757" s="130"/>
      <c r="D757" s="130"/>
      <c r="E757" s="130"/>
      <c r="F757" s="130"/>
      <c r="G757" s="130"/>
      <c r="H757" s="130"/>
      <c r="I757" s="130"/>
    </row>
    <row r="758" spans="2:9">
      <c r="B758" s="129">
        <v>246</v>
      </c>
      <c r="C758" s="130" t="s">
        <v>5122</v>
      </c>
      <c r="D758" s="130" t="s">
        <v>5206</v>
      </c>
      <c r="E758" s="130" t="s">
        <v>5135</v>
      </c>
      <c r="F758" s="130" t="s">
        <v>5003</v>
      </c>
      <c r="G758" s="130">
        <v>50000</v>
      </c>
      <c r="H758" s="130">
        <v>99999</v>
      </c>
      <c r="I758" s="130" t="s">
        <v>5004</v>
      </c>
    </row>
    <row r="759" spans="2:9">
      <c r="B759" s="129"/>
      <c r="C759" s="130"/>
      <c r="D759" s="130"/>
      <c r="E759" s="130"/>
      <c r="F759" s="130"/>
      <c r="G759" s="130"/>
      <c r="H759" s="130"/>
      <c r="I759" s="130"/>
    </row>
    <row r="760" spans="2:9">
      <c r="B760" s="129"/>
      <c r="C760" s="130"/>
      <c r="D760" s="130"/>
      <c r="E760" s="130"/>
      <c r="F760" s="130"/>
      <c r="G760" s="130"/>
      <c r="H760" s="130"/>
      <c r="I760" s="130"/>
    </row>
    <row r="761" spans="2:9">
      <c r="B761" s="129">
        <v>247</v>
      </c>
      <c r="C761" s="130" t="s">
        <v>5122</v>
      </c>
      <c r="D761" s="130" t="s">
        <v>5210</v>
      </c>
      <c r="E761" s="130" t="s">
        <v>5135</v>
      </c>
      <c r="F761" s="130" t="s">
        <v>5003</v>
      </c>
      <c r="G761" s="130">
        <v>25000</v>
      </c>
      <c r="H761" s="130">
        <v>49999</v>
      </c>
      <c r="I761" s="130" t="s">
        <v>5004</v>
      </c>
    </row>
    <row r="762" spans="2:9">
      <c r="B762" s="129"/>
      <c r="C762" s="130"/>
      <c r="D762" s="130"/>
      <c r="E762" s="130"/>
      <c r="F762" s="130"/>
      <c r="G762" s="130"/>
      <c r="H762" s="130"/>
      <c r="I762" s="130"/>
    </row>
    <row r="763" spans="2:9">
      <c r="B763" s="129"/>
      <c r="C763" s="130"/>
      <c r="D763" s="130"/>
      <c r="E763" s="130"/>
      <c r="F763" s="130"/>
      <c r="G763" s="130"/>
      <c r="H763" s="130"/>
      <c r="I763" s="130"/>
    </row>
    <row r="764" spans="2:9">
      <c r="B764" s="129">
        <v>248</v>
      </c>
      <c r="C764" s="130" t="s">
        <v>5000</v>
      </c>
      <c r="D764" s="130" t="s">
        <v>5211</v>
      </c>
      <c r="E764" s="130" t="s">
        <v>5212</v>
      </c>
      <c r="F764" s="130" t="s">
        <v>5008</v>
      </c>
      <c r="G764" s="130">
        <v>500</v>
      </c>
      <c r="H764" s="130">
        <v>1000000</v>
      </c>
      <c r="I764" s="130" t="s">
        <v>5004</v>
      </c>
    </row>
    <row r="765" spans="2:9">
      <c r="B765" s="129"/>
      <c r="C765" s="130"/>
      <c r="D765" s="130"/>
      <c r="E765" s="130"/>
      <c r="F765" s="130"/>
      <c r="G765" s="130"/>
      <c r="H765" s="130"/>
      <c r="I765" s="130"/>
    </row>
    <row r="766" spans="2:9">
      <c r="B766" s="129"/>
      <c r="C766" s="130"/>
      <c r="D766" s="130"/>
      <c r="E766" s="130"/>
      <c r="F766" s="130"/>
      <c r="G766" s="130"/>
      <c r="H766" s="130"/>
      <c r="I766" s="130"/>
    </row>
    <row r="767" spans="2:9">
      <c r="B767" s="129">
        <v>249</v>
      </c>
      <c r="C767" s="130" t="s">
        <v>5188</v>
      </c>
      <c r="D767" s="130" t="s">
        <v>5211</v>
      </c>
      <c r="E767" s="130" t="s">
        <v>5213</v>
      </c>
      <c r="F767" s="130" t="s">
        <v>5043</v>
      </c>
      <c r="G767" s="130">
        <v>100000</v>
      </c>
      <c r="H767" s="130" t="s">
        <v>5037</v>
      </c>
      <c r="I767" s="130" t="s">
        <v>5004</v>
      </c>
    </row>
    <row r="768" spans="2:9">
      <c r="B768" s="129"/>
      <c r="C768" s="130"/>
      <c r="D768" s="130"/>
      <c r="E768" s="130"/>
      <c r="F768" s="130"/>
      <c r="G768" s="130"/>
      <c r="H768" s="130"/>
      <c r="I768" s="130"/>
    </row>
    <row r="769" spans="2:9">
      <c r="B769" s="129"/>
      <c r="C769" s="130"/>
      <c r="D769" s="130"/>
      <c r="E769" s="130"/>
      <c r="F769" s="130"/>
      <c r="G769" s="130"/>
      <c r="H769" s="130"/>
      <c r="I769" s="130"/>
    </row>
    <row r="770" spans="2:9">
      <c r="B770" s="129">
        <v>250</v>
      </c>
      <c r="C770" s="130" t="s">
        <v>5027</v>
      </c>
      <c r="D770" s="130" t="s">
        <v>5211</v>
      </c>
      <c r="E770" s="130" t="s">
        <v>5177</v>
      </c>
      <c r="F770" s="130" t="s">
        <v>5033</v>
      </c>
      <c r="G770" s="130">
        <v>10000</v>
      </c>
      <c r="H770" s="130">
        <v>100000</v>
      </c>
      <c r="I770" s="130" t="s">
        <v>5004</v>
      </c>
    </row>
    <row r="771" spans="2:9">
      <c r="B771" s="129"/>
      <c r="C771" s="130"/>
      <c r="D771" s="130"/>
      <c r="E771" s="130"/>
      <c r="F771" s="130"/>
      <c r="G771" s="130"/>
      <c r="H771" s="130"/>
      <c r="I771" s="130"/>
    </row>
    <row r="772" spans="2:9">
      <c r="B772" s="129"/>
      <c r="C772" s="130"/>
      <c r="D772" s="130"/>
      <c r="E772" s="130"/>
      <c r="F772" s="130"/>
      <c r="G772" s="130"/>
      <c r="H772" s="130"/>
      <c r="I772" s="130"/>
    </row>
    <row r="773" spans="2:9">
      <c r="B773" s="129">
        <v>251</v>
      </c>
      <c r="C773" s="130" t="s">
        <v>5027</v>
      </c>
      <c r="D773" s="130" t="s">
        <v>5211</v>
      </c>
      <c r="E773" s="130" t="s">
        <v>5177</v>
      </c>
      <c r="F773" s="130" t="s">
        <v>5026</v>
      </c>
      <c r="G773" s="130">
        <v>10000</v>
      </c>
      <c r="H773" s="130">
        <v>100000</v>
      </c>
      <c r="I773" s="130" t="s">
        <v>5004</v>
      </c>
    </row>
    <row r="774" spans="2:9">
      <c r="B774" s="129"/>
      <c r="C774" s="130"/>
      <c r="D774" s="130"/>
      <c r="E774" s="130"/>
      <c r="F774" s="130"/>
      <c r="G774" s="130"/>
      <c r="H774" s="130"/>
      <c r="I774" s="130"/>
    </row>
    <row r="775" spans="2:9">
      <c r="B775" s="129"/>
      <c r="C775" s="130"/>
      <c r="D775" s="130"/>
      <c r="E775" s="130"/>
      <c r="F775" s="130"/>
      <c r="G775" s="130"/>
      <c r="H775" s="130"/>
      <c r="I775" s="130"/>
    </row>
    <row r="776" spans="2:9">
      <c r="B776" s="129">
        <v>252</v>
      </c>
      <c r="C776" s="130" t="s">
        <v>5047</v>
      </c>
      <c r="D776" s="130" t="s">
        <v>5211</v>
      </c>
      <c r="E776" s="130" t="s">
        <v>5075</v>
      </c>
      <c r="F776" s="130" t="s">
        <v>5012</v>
      </c>
      <c r="G776" s="130">
        <v>0</v>
      </c>
      <c r="H776" s="130" t="s">
        <v>5037</v>
      </c>
      <c r="I776" s="130" t="s">
        <v>5029</v>
      </c>
    </row>
    <row r="777" spans="2:9">
      <c r="B777" s="129"/>
      <c r="C777" s="130"/>
      <c r="D777" s="130"/>
      <c r="E777" s="130"/>
      <c r="F777" s="130"/>
      <c r="G777" s="130"/>
      <c r="H777" s="130"/>
      <c r="I777" s="130"/>
    </row>
    <row r="778" spans="2:9">
      <c r="B778" s="129"/>
      <c r="C778" s="130"/>
      <c r="D778" s="130"/>
      <c r="E778" s="130"/>
      <c r="F778" s="130"/>
      <c r="G778" s="130"/>
      <c r="H778" s="130"/>
      <c r="I778" s="130"/>
    </row>
    <row r="779" spans="2:9">
      <c r="B779" s="129">
        <v>253</v>
      </c>
      <c r="C779" s="130" t="s">
        <v>5000</v>
      </c>
      <c r="D779" s="130" t="s">
        <v>5211</v>
      </c>
      <c r="E779" s="130" t="s">
        <v>5214</v>
      </c>
      <c r="F779" s="130" t="s">
        <v>5008</v>
      </c>
      <c r="G779" s="130">
        <v>200</v>
      </c>
      <c r="H779" s="130">
        <v>1000000</v>
      </c>
      <c r="I779" s="130" t="s">
        <v>5004</v>
      </c>
    </row>
    <row r="780" spans="2:9">
      <c r="B780" s="129"/>
      <c r="C780" s="130"/>
      <c r="D780" s="130"/>
      <c r="E780" s="130"/>
      <c r="F780" s="130"/>
      <c r="G780" s="130"/>
      <c r="H780" s="130"/>
      <c r="I780" s="130"/>
    </row>
    <row r="781" spans="2:9">
      <c r="B781" s="129"/>
      <c r="C781" s="130"/>
      <c r="D781" s="130"/>
      <c r="E781" s="130"/>
      <c r="F781" s="130"/>
      <c r="G781" s="130"/>
      <c r="H781" s="130"/>
      <c r="I781" s="130"/>
    </row>
    <row r="782" spans="2:9">
      <c r="B782" s="129">
        <v>254</v>
      </c>
      <c r="C782" s="130" t="s">
        <v>5128</v>
      </c>
      <c r="D782" s="130" t="s">
        <v>5211</v>
      </c>
      <c r="E782" s="130" t="s">
        <v>5159</v>
      </c>
      <c r="F782" s="130" t="s">
        <v>5026</v>
      </c>
      <c r="G782" s="130">
        <v>5000</v>
      </c>
      <c r="H782" s="130">
        <v>16000</v>
      </c>
      <c r="I782" s="130" t="s">
        <v>5013</v>
      </c>
    </row>
    <row r="783" spans="2:9">
      <c r="B783" s="129"/>
      <c r="C783" s="130"/>
      <c r="D783" s="130"/>
      <c r="E783" s="130"/>
      <c r="F783" s="130"/>
      <c r="G783" s="130"/>
      <c r="H783" s="130"/>
      <c r="I783" s="130"/>
    </row>
    <row r="784" spans="2:9">
      <c r="B784" s="129"/>
      <c r="C784" s="130"/>
      <c r="D784" s="130"/>
      <c r="E784" s="130"/>
      <c r="F784" s="130"/>
      <c r="G784" s="130"/>
      <c r="H784" s="130"/>
      <c r="I784" s="130"/>
    </row>
    <row r="785" spans="2:9">
      <c r="B785" s="129">
        <v>255</v>
      </c>
      <c r="C785" s="130" t="s">
        <v>5128</v>
      </c>
      <c r="D785" s="130" t="s">
        <v>5211</v>
      </c>
      <c r="E785" s="130" t="s">
        <v>5127</v>
      </c>
      <c r="F785" s="130" t="s">
        <v>5038</v>
      </c>
      <c r="G785" s="130">
        <v>10000</v>
      </c>
      <c r="H785" s="130">
        <v>49999</v>
      </c>
      <c r="I785" s="130" t="s">
        <v>5013</v>
      </c>
    </row>
    <row r="786" spans="2:9">
      <c r="B786" s="129"/>
      <c r="C786" s="130"/>
      <c r="D786" s="130"/>
      <c r="E786" s="130"/>
      <c r="F786" s="130"/>
      <c r="G786" s="130"/>
      <c r="H786" s="130"/>
      <c r="I786" s="130"/>
    </row>
    <row r="787" spans="2:9">
      <c r="B787" s="129"/>
      <c r="C787" s="130"/>
      <c r="D787" s="130"/>
      <c r="E787" s="130"/>
      <c r="F787" s="130"/>
      <c r="G787" s="130"/>
      <c r="H787" s="130"/>
      <c r="I787" s="130"/>
    </row>
    <row r="788" spans="2:9">
      <c r="B788" s="129">
        <v>256</v>
      </c>
      <c r="C788" s="130" t="s">
        <v>5208</v>
      </c>
      <c r="D788" s="130" t="s">
        <v>5211</v>
      </c>
      <c r="E788" s="130" t="s">
        <v>5209</v>
      </c>
      <c r="F788" s="130" t="s">
        <v>5038</v>
      </c>
      <c r="G788" s="130">
        <v>1000</v>
      </c>
      <c r="H788" s="130">
        <v>18100</v>
      </c>
      <c r="I788" s="130" t="s">
        <v>5013</v>
      </c>
    </row>
    <row r="789" spans="2:9">
      <c r="B789" s="129"/>
      <c r="C789" s="130"/>
      <c r="D789" s="130"/>
      <c r="E789" s="130"/>
      <c r="F789" s="130"/>
      <c r="G789" s="130"/>
      <c r="H789" s="130"/>
      <c r="I789" s="130"/>
    </row>
    <row r="790" spans="2:9">
      <c r="B790" s="129"/>
      <c r="C790" s="130"/>
      <c r="D790" s="130"/>
      <c r="E790" s="130"/>
      <c r="F790" s="130"/>
      <c r="G790" s="130"/>
      <c r="H790" s="130"/>
      <c r="I790" s="130"/>
    </row>
    <row r="791" spans="2:9">
      <c r="B791" s="129">
        <v>257</v>
      </c>
      <c r="C791" s="130" t="s">
        <v>5056</v>
      </c>
      <c r="D791" s="130" t="s">
        <v>5211</v>
      </c>
      <c r="E791" s="130" t="s">
        <v>5215</v>
      </c>
      <c r="F791" s="130" t="s">
        <v>5008</v>
      </c>
      <c r="G791" s="130">
        <v>2000</v>
      </c>
      <c r="H791" s="130" t="s">
        <v>5037</v>
      </c>
      <c r="I791" s="130" t="s">
        <v>5004</v>
      </c>
    </row>
    <row r="792" spans="2:9">
      <c r="B792" s="129"/>
      <c r="C792" s="130"/>
      <c r="D792" s="130"/>
      <c r="E792" s="130"/>
      <c r="F792" s="130"/>
      <c r="G792" s="130"/>
      <c r="H792" s="130"/>
      <c r="I792" s="130"/>
    </row>
    <row r="793" spans="2:9">
      <c r="B793" s="129"/>
      <c r="C793" s="130"/>
      <c r="D793" s="130"/>
      <c r="E793" s="130"/>
      <c r="F793" s="130"/>
      <c r="G793" s="130"/>
      <c r="H793" s="130"/>
      <c r="I793" s="130"/>
    </row>
    <row r="794" spans="2:9">
      <c r="B794" s="129">
        <v>258</v>
      </c>
      <c r="C794" s="130" t="s">
        <v>5122</v>
      </c>
      <c r="D794" s="130" t="s">
        <v>5211</v>
      </c>
      <c r="E794" s="130" t="s">
        <v>5135</v>
      </c>
      <c r="F794" s="130" t="s">
        <v>5003</v>
      </c>
      <c r="G794" s="130">
        <v>10000</v>
      </c>
      <c r="H794" s="130">
        <v>24999</v>
      </c>
      <c r="I794" s="130" t="s">
        <v>5004</v>
      </c>
    </row>
    <row r="795" spans="2:9">
      <c r="B795" s="129"/>
      <c r="C795" s="130"/>
      <c r="D795" s="130"/>
      <c r="E795" s="130"/>
      <c r="F795" s="130"/>
      <c r="G795" s="130"/>
      <c r="H795" s="130"/>
      <c r="I795" s="130"/>
    </row>
    <row r="796" spans="2:9">
      <c r="B796" s="129"/>
      <c r="C796" s="130"/>
      <c r="D796" s="130"/>
      <c r="E796" s="130"/>
      <c r="F796" s="130"/>
      <c r="G796" s="130"/>
      <c r="H796" s="130"/>
      <c r="I796" s="130"/>
    </row>
    <row r="797" spans="2:9">
      <c r="B797" s="129">
        <v>259</v>
      </c>
      <c r="C797" s="130" t="s">
        <v>5175</v>
      </c>
      <c r="D797" s="130" t="s">
        <v>5216</v>
      </c>
      <c r="E797" s="130" t="s">
        <v>5133</v>
      </c>
      <c r="F797" s="130" t="s">
        <v>5008</v>
      </c>
      <c r="G797" s="130">
        <v>1000</v>
      </c>
      <c r="H797" s="130" t="s">
        <v>5037</v>
      </c>
      <c r="I797" s="130" t="s">
        <v>5004</v>
      </c>
    </row>
    <row r="798" spans="2:9">
      <c r="B798" s="129"/>
      <c r="C798" s="130"/>
      <c r="D798" s="130"/>
      <c r="E798" s="130"/>
      <c r="F798" s="130"/>
      <c r="G798" s="130"/>
      <c r="H798" s="130"/>
      <c r="I798" s="130"/>
    </row>
    <row r="799" spans="2:9">
      <c r="B799" s="129"/>
      <c r="C799" s="130"/>
      <c r="D799" s="130"/>
      <c r="E799" s="130"/>
      <c r="F799" s="130"/>
      <c r="G799" s="130"/>
      <c r="H799" s="130"/>
      <c r="I799" s="130"/>
    </row>
    <row r="800" spans="2:9">
      <c r="B800" s="129">
        <v>260</v>
      </c>
      <c r="C800" s="130" t="s">
        <v>5098</v>
      </c>
      <c r="D800" s="130" t="s">
        <v>5216</v>
      </c>
      <c r="E800" s="130" t="s">
        <v>5132</v>
      </c>
      <c r="F800" s="130" t="s">
        <v>5008</v>
      </c>
      <c r="G800" s="130">
        <v>10000</v>
      </c>
      <c r="H800" s="130" t="s">
        <v>5037</v>
      </c>
      <c r="I800" s="130" t="s">
        <v>5004</v>
      </c>
    </row>
    <row r="801" spans="2:9">
      <c r="B801" s="129"/>
      <c r="C801" s="130"/>
      <c r="D801" s="130"/>
      <c r="E801" s="130"/>
      <c r="F801" s="130"/>
      <c r="G801" s="130"/>
      <c r="H801" s="130"/>
      <c r="I801" s="130"/>
    </row>
    <row r="802" spans="2:9">
      <c r="B802" s="129"/>
      <c r="C802" s="130"/>
      <c r="D802" s="130"/>
      <c r="E802" s="130"/>
      <c r="F802" s="130"/>
      <c r="G802" s="130"/>
      <c r="H802" s="130"/>
      <c r="I802" s="130"/>
    </row>
    <row r="803" spans="2:9">
      <c r="B803" s="129">
        <v>261</v>
      </c>
      <c r="C803" s="130" t="s">
        <v>5098</v>
      </c>
      <c r="D803" s="130" t="s">
        <v>5216</v>
      </c>
      <c r="E803" s="130" t="s">
        <v>5132</v>
      </c>
      <c r="F803" s="130" t="s">
        <v>5008</v>
      </c>
      <c r="G803" s="130">
        <v>10000</v>
      </c>
      <c r="H803" s="130" t="s">
        <v>5037</v>
      </c>
      <c r="I803" s="130" t="s">
        <v>5004</v>
      </c>
    </row>
    <row r="804" spans="2:9">
      <c r="B804" s="129"/>
      <c r="C804" s="130"/>
      <c r="D804" s="130"/>
      <c r="E804" s="130"/>
      <c r="F804" s="130"/>
      <c r="G804" s="130"/>
      <c r="H804" s="130"/>
      <c r="I804" s="130"/>
    </row>
    <row r="805" spans="2:9">
      <c r="B805" s="129"/>
      <c r="C805" s="130"/>
      <c r="D805" s="130"/>
      <c r="E805" s="130"/>
      <c r="F805" s="130"/>
      <c r="G805" s="130"/>
      <c r="H805" s="130"/>
      <c r="I805" s="130"/>
    </row>
    <row r="806" spans="2:9">
      <c r="B806" s="129">
        <v>262</v>
      </c>
      <c r="C806" s="130" t="s">
        <v>5122</v>
      </c>
      <c r="D806" s="130" t="s">
        <v>5216</v>
      </c>
      <c r="E806" s="130" t="s">
        <v>5135</v>
      </c>
      <c r="F806" s="130" t="s">
        <v>5003</v>
      </c>
      <c r="G806" s="130">
        <v>1000</v>
      </c>
      <c r="H806" s="130">
        <v>9999</v>
      </c>
      <c r="I806" s="130" t="s">
        <v>5004</v>
      </c>
    </row>
    <row r="807" spans="2:9">
      <c r="B807" s="129"/>
      <c r="C807" s="130"/>
      <c r="D807" s="130"/>
      <c r="E807" s="130"/>
      <c r="F807" s="130"/>
      <c r="G807" s="130"/>
      <c r="H807" s="130"/>
      <c r="I807" s="130"/>
    </row>
    <row r="808" spans="2:9">
      <c r="B808" s="129"/>
      <c r="C808" s="130"/>
      <c r="D808" s="130"/>
      <c r="E808" s="130"/>
      <c r="F808" s="130"/>
      <c r="G808" s="130"/>
      <c r="H808" s="130"/>
      <c r="I808" s="130"/>
    </row>
    <row r="809" spans="2:9">
      <c r="B809" s="129">
        <v>263</v>
      </c>
      <c r="C809" s="130" t="s">
        <v>5081</v>
      </c>
      <c r="D809" s="130" t="s">
        <v>5217</v>
      </c>
      <c r="E809" s="130" t="s">
        <v>5132</v>
      </c>
      <c r="F809" s="130" t="s">
        <v>5026</v>
      </c>
      <c r="G809" s="130">
        <v>500</v>
      </c>
      <c r="H809" s="130" t="s">
        <v>5037</v>
      </c>
      <c r="I809" s="130" t="s">
        <v>5004</v>
      </c>
    </row>
    <row r="810" spans="2:9">
      <c r="B810" s="129"/>
      <c r="C810" s="130"/>
      <c r="D810" s="130"/>
      <c r="E810" s="130"/>
      <c r="F810" s="130"/>
      <c r="G810" s="130"/>
      <c r="H810" s="130"/>
      <c r="I810" s="130"/>
    </row>
    <row r="811" spans="2:9">
      <c r="B811" s="129"/>
      <c r="C811" s="130"/>
      <c r="D811" s="130"/>
      <c r="E811" s="130"/>
      <c r="F811" s="130"/>
      <c r="G811" s="130"/>
      <c r="H811" s="130"/>
      <c r="I811" s="130"/>
    </row>
    <row r="812" spans="2:9">
      <c r="B812" s="129">
        <v>264</v>
      </c>
      <c r="C812" s="130" t="s">
        <v>5081</v>
      </c>
      <c r="D812" s="130" t="s">
        <v>5217</v>
      </c>
      <c r="E812" s="130" t="s">
        <v>5177</v>
      </c>
      <c r="F812" s="130" t="s">
        <v>5026</v>
      </c>
      <c r="G812" s="130">
        <v>500</v>
      </c>
      <c r="H812" s="130" t="s">
        <v>5037</v>
      </c>
      <c r="I812" s="130" t="s">
        <v>5004</v>
      </c>
    </row>
    <row r="813" spans="2:9">
      <c r="B813" s="129"/>
      <c r="C813" s="130"/>
      <c r="D813" s="130"/>
      <c r="E813" s="130"/>
      <c r="F813" s="130"/>
      <c r="G813" s="130"/>
      <c r="H813" s="130"/>
      <c r="I813" s="130"/>
    </row>
    <row r="814" spans="2:9">
      <c r="B814" s="129"/>
      <c r="C814" s="130"/>
      <c r="D814" s="130"/>
      <c r="E814" s="130"/>
      <c r="F814" s="130"/>
      <c r="G814" s="130"/>
      <c r="H814" s="130"/>
      <c r="I814" s="130"/>
    </row>
    <row r="815" spans="2:9">
      <c r="B815" s="129">
        <v>265</v>
      </c>
      <c r="C815" s="130" t="s">
        <v>5218</v>
      </c>
      <c r="D815" s="130" t="s">
        <v>5217</v>
      </c>
      <c r="E815" s="130" t="s">
        <v>5219</v>
      </c>
      <c r="F815" s="130" t="s">
        <v>5043</v>
      </c>
      <c r="G815" s="130">
        <v>50000</v>
      </c>
      <c r="H815" s="130" t="s">
        <v>5037</v>
      </c>
      <c r="I815" s="130" t="s">
        <v>5004</v>
      </c>
    </row>
    <row r="816" spans="2:9">
      <c r="B816" s="129"/>
      <c r="C816" s="130"/>
      <c r="D816" s="130"/>
      <c r="E816" s="130"/>
      <c r="F816" s="130"/>
      <c r="G816" s="130"/>
      <c r="H816" s="130"/>
      <c r="I816" s="130"/>
    </row>
    <row r="817" spans="2:9">
      <c r="B817" s="129"/>
      <c r="C817" s="130"/>
      <c r="D817" s="130"/>
      <c r="E817" s="130"/>
      <c r="F817" s="130"/>
      <c r="G817" s="130"/>
      <c r="H817" s="130"/>
      <c r="I817" s="130"/>
    </row>
    <row r="818" spans="2:9">
      <c r="B818" s="129">
        <v>266</v>
      </c>
      <c r="C818" s="130" t="s">
        <v>5027</v>
      </c>
      <c r="D818" s="130" t="s">
        <v>5217</v>
      </c>
      <c r="E818" s="130" t="s">
        <v>5157</v>
      </c>
      <c r="F818" s="130" t="s">
        <v>5033</v>
      </c>
      <c r="G818" s="130">
        <v>1000</v>
      </c>
      <c r="H818" s="130" t="s">
        <v>5037</v>
      </c>
      <c r="I818" s="130" t="s">
        <v>5004</v>
      </c>
    </row>
    <row r="819" spans="2:9">
      <c r="B819" s="129"/>
      <c r="C819" s="130"/>
      <c r="D819" s="130"/>
      <c r="E819" s="130"/>
      <c r="F819" s="130"/>
      <c r="G819" s="130"/>
      <c r="H819" s="130"/>
      <c r="I819" s="130"/>
    </row>
    <row r="820" spans="2:9">
      <c r="B820" s="129"/>
      <c r="C820" s="130"/>
      <c r="D820" s="130"/>
      <c r="E820" s="130"/>
      <c r="F820" s="130"/>
      <c r="G820" s="130"/>
      <c r="H820" s="130"/>
      <c r="I820" s="130"/>
    </row>
    <row r="821" spans="2:9">
      <c r="B821" s="129">
        <v>267</v>
      </c>
      <c r="C821" s="130" t="s">
        <v>5074</v>
      </c>
      <c r="D821" s="130" t="s">
        <v>5217</v>
      </c>
      <c r="E821" s="130" t="s">
        <v>5220</v>
      </c>
      <c r="F821" s="130" t="s">
        <v>5008</v>
      </c>
      <c r="G821" s="130">
        <v>2000</v>
      </c>
      <c r="H821" s="130" t="s">
        <v>5037</v>
      </c>
      <c r="I821" s="130" t="s">
        <v>5004</v>
      </c>
    </row>
    <row r="822" spans="2:9">
      <c r="B822" s="129"/>
      <c r="C822" s="130"/>
      <c r="D822" s="130"/>
      <c r="E822" s="130"/>
      <c r="F822" s="130"/>
      <c r="G822" s="130"/>
      <c r="H822" s="130"/>
      <c r="I822" s="130"/>
    </row>
    <row r="823" spans="2:9">
      <c r="B823" s="129"/>
      <c r="C823" s="130"/>
      <c r="D823" s="130"/>
      <c r="E823" s="130"/>
      <c r="F823" s="130"/>
      <c r="G823" s="130"/>
      <c r="H823" s="130"/>
      <c r="I823" s="130"/>
    </row>
    <row r="824" spans="2:9">
      <c r="B824" s="129">
        <v>268</v>
      </c>
      <c r="C824" s="130" t="s">
        <v>5098</v>
      </c>
      <c r="D824" s="130" t="s">
        <v>5217</v>
      </c>
      <c r="E824" s="130" t="s">
        <v>5221</v>
      </c>
      <c r="F824" s="130" t="s">
        <v>5008</v>
      </c>
      <c r="G824" s="130">
        <v>200</v>
      </c>
      <c r="H824" s="130" t="s">
        <v>5037</v>
      </c>
      <c r="I824" s="130" t="s">
        <v>5004</v>
      </c>
    </row>
    <row r="825" spans="2:9">
      <c r="B825" s="129"/>
      <c r="C825" s="130"/>
      <c r="D825" s="130"/>
      <c r="E825" s="130"/>
      <c r="F825" s="130"/>
      <c r="G825" s="130"/>
      <c r="H825" s="130"/>
      <c r="I825" s="130"/>
    </row>
    <row r="826" spans="2:9">
      <c r="B826" s="129"/>
      <c r="C826" s="130"/>
      <c r="D826" s="130"/>
      <c r="E826" s="130"/>
      <c r="F826" s="130"/>
      <c r="G826" s="130"/>
      <c r="H826" s="130"/>
      <c r="I826" s="130"/>
    </row>
    <row r="827" spans="2:9">
      <c r="B827" s="129">
        <v>269</v>
      </c>
      <c r="C827" s="130" t="s">
        <v>5098</v>
      </c>
      <c r="D827" s="130" t="s">
        <v>5217</v>
      </c>
      <c r="E827" s="130" t="s">
        <v>5132</v>
      </c>
      <c r="F827" s="130" t="s">
        <v>5008</v>
      </c>
      <c r="G827" s="130">
        <v>200</v>
      </c>
      <c r="H827" s="130">
        <v>9999</v>
      </c>
      <c r="I827" s="130" t="s">
        <v>5004</v>
      </c>
    </row>
    <row r="828" spans="2:9">
      <c r="B828" s="129"/>
      <c r="C828" s="130"/>
      <c r="D828" s="130"/>
      <c r="E828" s="130"/>
      <c r="F828" s="130"/>
      <c r="G828" s="130"/>
      <c r="H828" s="130"/>
      <c r="I828" s="130"/>
    </row>
    <row r="829" spans="2:9">
      <c r="B829" s="129"/>
      <c r="C829" s="130"/>
      <c r="D829" s="130"/>
      <c r="E829" s="130"/>
      <c r="F829" s="130"/>
      <c r="G829" s="130"/>
      <c r="H829" s="130"/>
      <c r="I829" s="130"/>
    </row>
    <row r="830" spans="2:9">
      <c r="B830" s="129">
        <v>270</v>
      </c>
      <c r="C830" s="130" t="s">
        <v>5098</v>
      </c>
      <c r="D830" s="130" t="s">
        <v>5217</v>
      </c>
      <c r="E830" s="130" t="s">
        <v>5132</v>
      </c>
      <c r="F830" s="130" t="s">
        <v>5008</v>
      </c>
      <c r="G830" s="130">
        <v>200</v>
      </c>
      <c r="H830" s="130">
        <v>9999</v>
      </c>
      <c r="I830" s="130" t="s">
        <v>5004</v>
      </c>
    </row>
    <row r="831" spans="2:9">
      <c r="B831" s="129"/>
      <c r="C831" s="130"/>
      <c r="D831" s="130"/>
      <c r="E831" s="130"/>
      <c r="F831" s="130"/>
      <c r="G831" s="130"/>
      <c r="H831" s="130"/>
      <c r="I831" s="130"/>
    </row>
    <row r="832" spans="2:9">
      <c r="B832" s="129"/>
      <c r="C832" s="130"/>
      <c r="D832" s="130"/>
      <c r="E832" s="130"/>
      <c r="F832" s="130"/>
      <c r="G832" s="130"/>
      <c r="H832" s="130"/>
      <c r="I832" s="130"/>
    </row>
    <row r="833" spans="2:9">
      <c r="B833" s="129">
        <v>271</v>
      </c>
      <c r="C833" s="130" t="s">
        <v>5061</v>
      </c>
      <c r="D833" s="130" t="s">
        <v>5217</v>
      </c>
      <c r="E833" s="130" t="s">
        <v>5181</v>
      </c>
      <c r="F833" s="130" t="s">
        <v>5033</v>
      </c>
      <c r="G833" s="130">
        <v>500</v>
      </c>
      <c r="H833" s="130" t="s">
        <v>5037</v>
      </c>
      <c r="I833" s="130" t="s">
        <v>5004</v>
      </c>
    </row>
    <row r="834" spans="2:9">
      <c r="B834" s="129"/>
      <c r="C834" s="130"/>
      <c r="D834" s="130"/>
      <c r="E834" s="130"/>
      <c r="F834" s="130"/>
      <c r="G834" s="130"/>
      <c r="H834" s="130"/>
      <c r="I834" s="130"/>
    </row>
    <row r="835" spans="2:9">
      <c r="B835" s="129"/>
      <c r="C835" s="130"/>
      <c r="D835" s="130"/>
      <c r="E835" s="130"/>
      <c r="F835" s="130"/>
      <c r="G835" s="130"/>
      <c r="H835" s="130"/>
      <c r="I835" s="130"/>
    </row>
    <row r="836" spans="2:9">
      <c r="B836" s="129">
        <v>272</v>
      </c>
      <c r="C836" s="130" t="s">
        <v>5061</v>
      </c>
      <c r="D836" s="130" t="s">
        <v>5217</v>
      </c>
      <c r="E836" s="130" t="s">
        <v>5132</v>
      </c>
      <c r="F836" s="130" t="s">
        <v>5026</v>
      </c>
      <c r="G836" s="130">
        <v>500</v>
      </c>
      <c r="H836" s="130" t="s">
        <v>5037</v>
      </c>
      <c r="I836" s="130" t="s">
        <v>5004</v>
      </c>
    </row>
    <row r="837" spans="2:9">
      <c r="B837" s="129"/>
      <c r="C837" s="130"/>
      <c r="D837" s="130"/>
      <c r="E837" s="130"/>
      <c r="F837" s="130"/>
      <c r="G837" s="130"/>
      <c r="H837" s="130"/>
      <c r="I837" s="130"/>
    </row>
    <row r="838" spans="2:9">
      <c r="B838" s="129"/>
      <c r="C838" s="130"/>
      <c r="D838" s="130"/>
      <c r="E838" s="130"/>
      <c r="F838" s="130"/>
      <c r="G838" s="130"/>
      <c r="H838" s="130"/>
      <c r="I838" s="130"/>
    </row>
    <row r="839" spans="2:9">
      <c r="B839" s="129">
        <v>273</v>
      </c>
      <c r="C839" s="130" t="s">
        <v>5061</v>
      </c>
      <c r="D839" s="130" t="s">
        <v>5217</v>
      </c>
      <c r="E839" s="130" t="s">
        <v>5132</v>
      </c>
      <c r="F839" s="130" t="s">
        <v>5043</v>
      </c>
      <c r="G839" s="130">
        <v>500</v>
      </c>
      <c r="H839" s="130" t="s">
        <v>5037</v>
      </c>
      <c r="I839" s="130" t="s">
        <v>5004</v>
      </c>
    </row>
    <row r="840" spans="2:9">
      <c r="B840" s="129"/>
      <c r="C840" s="130"/>
      <c r="D840" s="130"/>
      <c r="E840" s="130"/>
      <c r="F840" s="130"/>
      <c r="G840" s="130"/>
      <c r="H840" s="130"/>
      <c r="I840" s="130"/>
    </row>
    <row r="841" spans="2:9">
      <c r="B841" s="129"/>
      <c r="C841" s="130"/>
      <c r="D841" s="130"/>
      <c r="E841" s="130"/>
      <c r="F841" s="130"/>
      <c r="G841" s="130"/>
      <c r="H841" s="130"/>
      <c r="I841" s="130"/>
    </row>
    <row r="842" spans="2:9">
      <c r="B842" s="129">
        <v>274</v>
      </c>
      <c r="C842" s="130" t="s">
        <v>5061</v>
      </c>
      <c r="D842" s="130" t="s">
        <v>5217</v>
      </c>
      <c r="E842" s="130" t="s">
        <v>5132</v>
      </c>
      <c r="F842" s="130" t="s">
        <v>5085</v>
      </c>
      <c r="G842" s="130">
        <v>500</v>
      </c>
      <c r="H842" s="130" t="s">
        <v>5037</v>
      </c>
      <c r="I842" s="130" t="s">
        <v>5004</v>
      </c>
    </row>
    <row r="843" spans="2:9">
      <c r="B843" s="129"/>
      <c r="C843" s="130"/>
      <c r="D843" s="130"/>
      <c r="E843" s="130"/>
      <c r="F843" s="130"/>
      <c r="G843" s="130"/>
      <c r="H843" s="130"/>
      <c r="I843" s="130"/>
    </row>
    <row r="844" spans="2:9">
      <c r="B844" s="129"/>
      <c r="C844" s="130"/>
      <c r="D844" s="130"/>
      <c r="E844" s="130"/>
      <c r="F844" s="130"/>
      <c r="G844" s="130"/>
      <c r="H844" s="130"/>
      <c r="I844" s="130"/>
    </row>
    <row r="845" spans="2:9">
      <c r="B845" s="129">
        <v>275</v>
      </c>
      <c r="C845" s="130" t="s">
        <v>5184</v>
      </c>
      <c r="D845" s="130" t="s">
        <v>5217</v>
      </c>
      <c r="E845" s="130" t="s">
        <v>5185</v>
      </c>
      <c r="F845" s="130" t="s">
        <v>5012</v>
      </c>
      <c r="G845" s="130">
        <v>100000</v>
      </c>
      <c r="H845" s="130">
        <v>199999</v>
      </c>
      <c r="I845" s="130" t="s">
        <v>5029</v>
      </c>
    </row>
    <row r="846" spans="2:9">
      <c r="B846" s="129"/>
      <c r="C846" s="130"/>
      <c r="D846" s="130"/>
      <c r="E846" s="130"/>
      <c r="F846" s="130"/>
      <c r="G846" s="130"/>
      <c r="H846" s="130"/>
      <c r="I846" s="130"/>
    </row>
    <row r="847" spans="2:9">
      <c r="B847" s="129"/>
      <c r="C847" s="130"/>
      <c r="D847" s="130"/>
      <c r="E847" s="130"/>
      <c r="F847" s="130"/>
      <c r="G847" s="130"/>
      <c r="H847" s="130"/>
      <c r="I847" s="130"/>
    </row>
    <row r="848" spans="2:9">
      <c r="B848" s="129">
        <v>276</v>
      </c>
      <c r="C848" s="130" t="s">
        <v>5171</v>
      </c>
      <c r="D848" s="130" t="s">
        <v>5217</v>
      </c>
      <c r="E848" s="130" t="s">
        <v>5133</v>
      </c>
      <c r="F848" s="130" t="s">
        <v>5043</v>
      </c>
      <c r="G848" s="130">
        <v>1000</v>
      </c>
      <c r="H848" s="130" t="s">
        <v>5037</v>
      </c>
      <c r="I848" s="130" t="s">
        <v>5004</v>
      </c>
    </row>
    <row r="849" spans="2:9">
      <c r="B849" s="129"/>
      <c r="C849" s="130"/>
      <c r="D849" s="130"/>
      <c r="E849" s="130"/>
      <c r="F849" s="130"/>
      <c r="G849" s="130"/>
      <c r="H849" s="130"/>
      <c r="I849" s="130"/>
    </row>
    <row r="850" spans="2:9">
      <c r="B850" s="129"/>
      <c r="C850" s="130"/>
      <c r="D850" s="130"/>
      <c r="E850" s="130"/>
      <c r="F850" s="130"/>
      <c r="G850" s="130"/>
      <c r="H850" s="130"/>
      <c r="I850" s="130"/>
    </row>
    <row r="851" spans="2:9">
      <c r="B851" s="129">
        <v>277</v>
      </c>
      <c r="C851" s="130" t="s">
        <v>5171</v>
      </c>
      <c r="D851" s="130" t="s">
        <v>5217</v>
      </c>
      <c r="E851" s="130" t="s">
        <v>5222</v>
      </c>
      <c r="F851" s="130" t="s">
        <v>5008</v>
      </c>
      <c r="G851" s="130">
        <v>50000</v>
      </c>
      <c r="H851" s="130">
        <v>1000000</v>
      </c>
      <c r="I851" s="130" t="s">
        <v>5004</v>
      </c>
    </row>
    <row r="852" spans="2:9">
      <c r="B852" s="129"/>
      <c r="C852" s="130"/>
      <c r="D852" s="130"/>
      <c r="E852" s="130"/>
      <c r="F852" s="130"/>
      <c r="G852" s="130"/>
      <c r="H852" s="130"/>
      <c r="I852" s="130"/>
    </row>
    <row r="853" spans="2:9">
      <c r="B853" s="129"/>
      <c r="C853" s="130"/>
      <c r="D853" s="130"/>
      <c r="E853" s="130"/>
      <c r="F853" s="130"/>
      <c r="G853" s="130"/>
      <c r="H853" s="130"/>
      <c r="I853" s="130"/>
    </row>
    <row r="854" spans="2:9">
      <c r="B854" s="129">
        <v>278</v>
      </c>
      <c r="C854" s="130" t="s">
        <v>5076</v>
      </c>
      <c r="D854" s="130" t="s">
        <v>5217</v>
      </c>
      <c r="E854" s="130" t="s">
        <v>5130</v>
      </c>
      <c r="F854" s="130" t="s">
        <v>5033</v>
      </c>
      <c r="G854" s="130">
        <v>50000</v>
      </c>
      <c r="H854" s="130">
        <v>99999</v>
      </c>
      <c r="I854" s="130" t="s">
        <v>5004</v>
      </c>
    </row>
    <row r="855" spans="2:9">
      <c r="B855" s="129"/>
      <c r="C855" s="130"/>
      <c r="D855" s="130"/>
      <c r="E855" s="130"/>
      <c r="F855" s="130"/>
      <c r="G855" s="130"/>
      <c r="H855" s="130"/>
      <c r="I855" s="130"/>
    </row>
    <row r="856" spans="2:9">
      <c r="B856" s="129"/>
      <c r="C856" s="130"/>
      <c r="D856" s="130"/>
      <c r="E856" s="130"/>
      <c r="F856" s="130"/>
      <c r="G856" s="130"/>
      <c r="H856" s="130"/>
      <c r="I856" s="130"/>
    </row>
    <row r="857" spans="2:9">
      <c r="B857" s="129">
        <v>279</v>
      </c>
      <c r="C857" s="130" t="s">
        <v>5076</v>
      </c>
      <c r="D857" s="130" t="s">
        <v>5217</v>
      </c>
      <c r="E857" s="130" t="s">
        <v>5130</v>
      </c>
      <c r="F857" s="130" t="s">
        <v>5026</v>
      </c>
      <c r="G857" s="130">
        <v>50000</v>
      </c>
      <c r="H857" s="130">
        <v>99999</v>
      </c>
      <c r="I857" s="130" t="s">
        <v>5004</v>
      </c>
    </row>
    <row r="858" spans="2:9">
      <c r="B858" s="129"/>
      <c r="C858" s="130"/>
      <c r="D858" s="130"/>
      <c r="E858" s="130"/>
      <c r="F858" s="130"/>
      <c r="G858" s="130"/>
      <c r="H858" s="130"/>
      <c r="I858" s="130"/>
    </row>
    <row r="859" spans="2:9">
      <c r="B859" s="129"/>
      <c r="C859" s="130"/>
      <c r="D859" s="130"/>
      <c r="E859" s="130"/>
      <c r="F859" s="130"/>
      <c r="G859" s="130"/>
      <c r="H859" s="130"/>
      <c r="I859" s="130"/>
    </row>
    <row r="860" spans="2:9">
      <c r="B860" s="129">
        <v>280</v>
      </c>
      <c r="C860" s="130" t="s">
        <v>5076</v>
      </c>
      <c r="D860" s="130" t="s">
        <v>5217</v>
      </c>
      <c r="E860" s="130" t="s">
        <v>5130</v>
      </c>
      <c r="F860" s="130" t="s">
        <v>5033</v>
      </c>
      <c r="G860" s="130">
        <v>100000</v>
      </c>
      <c r="H860" s="130" t="s">
        <v>5037</v>
      </c>
      <c r="I860" s="130" t="s">
        <v>5004</v>
      </c>
    </row>
    <row r="861" spans="2:9">
      <c r="B861" s="129"/>
      <c r="C861" s="130"/>
      <c r="D861" s="130"/>
      <c r="E861" s="130"/>
      <c r="F861" s="130"/>
      <c r="G861" s="130"/>
      <c r="H861" s="130"/>
      <c r="I861" s="130"/>
    </row>
    <row r="862" spans="2:9">
      <c r="B862" s="129"/>
      <c r="C862" s="130"/>
      <c r="D862" s="130"/>
      <c r="E862" s="130"/>
      <c r="F862" s="130"/>
      <c r="G862" s="130"/>
      <c r="H862" s="130"/>
      <c r="I862" s="130"/>
    </row>
    <row r="863" spans="2:9">
      <c r="B863" s="129">
        <v>281</v>
      </c>
      <c r="C863" s="130" t="s">
        <v>5076</v>
      </c>
      <c r="D863" s="130" t="s">
        <v>5217</v>
      </c>
      <c r="E863" s="130" t="s">
        <v>5130</v>
      </c>
      <c r="F863" s="130" t="s">
        <v>5026</v>
      </c>
      <c r="G863" s="130">
        <v>100000</v>
      </c>
      <c r="H863" s="130" t="s">
        <v>5037</v>
      </c>
      <c r="I863" s="130" t="s">
        <v>5004</v>
      </c>
    </row>
    <row r="864" spans="2:9">
      <c r="B864" s="129"/>
      <c r="C864" s="130"/>
      <c r="D864" s="130"/>
      <c r="E864" s="130"/>
      <c r="F864" s="130"/>
      <c r="G864" s="130"/>
      <c r="H864" s="130"/>
      <c r="I864" s="130"/>
    </row>
    <row r="865" spans="2:9">
      <c r="B865" s="129"/>
      <c r="C865" s="130"/>
      <c r="D865" s="130"/>
      <c r="E865" s="130"/>
      <c r="F865" s="130"/>
      <c r="G865" s="130"/>
      <c r="H865" s="130"/>
      <c r="I865" s="130"/>
    </row>
    <row r="866" spans="2:9">
      <c r="B866" s="129">
        <v>282</v>
      </c>
      <c r="C866" s="130" t="s">
        <v>5044</v>
      </c>
      <c r="D866" s="130" t="s">
        <v>5217</v>
      </c>
      <c r="E866" s="130" t="s">
        <v>5132</v>
      </c>
      <c r="F866" s="130" t="s">
        <v>5026</v>
      </c>
      <c r="G866" s="130">
        <v>500</v>
      </c>
      <c r="H866" s="130" t="s">
        <v>5037</v>
      </c>
      <c r="I866" s="130" t="s">
        <v>5004</v>
      </c>
    </row>
    <row r="867" spans="2:9">
      <c r="B867" s="129"/>
      <c r="C867" s="130"/>
      <c r="D867" s="130"/>
      <c r="E867" s="130"/>
      <c r="F867" s="130"/>
      <c r="G867" s="130"/>
      <c r="H867" s="130"/>
      <c r="I867" s="130"/>
    </row>
    <row r="868" spans="2:9">
      <c r="B868" s="129"/>
      <c r="C868" s="130"/>
      <c r="D868" s="130"/>
      <c r="E868" s="130"/>
      <c r="F868" s="130"/>
      <c r="G868" s="130"/>
      <c r="H868" s="130"/>
      <c r="I868" s="130"/>
    </row>
    <row r="869" spans="2:9">
      <c r="B869" s="129">
        <v>283</v>
      </c>
      <c r="C869" s="130" t="s">
        <v>5208</v>
      </c>
      <c r="D869" s="130" t="s">
        <v>5217</v>
      </c>
      <c r="E869" s="130" t="s">
        <v>5209</v>
      </c>
      <c r="F869" s="130" t="s">
        <v>5020</v>
      </c>
      <c r="G869" s="130">
        <v>1000</v>
      </c>
      <c r="H869" s="130">
        <v>18100</v>
      </c>
      <c r="I869" s="130" t="s">
        <v>5013</v>
      </c>
    </row>
    <row r="870" spans="2:9">
      <c r="B870" s="129"/>
      <c r="C870" s="130"/>
      <c r="D870" s="130"/>
      <c r="E870" s="130"/>
      <c r="F870" s="130"/>
      <c r="G870" s="130"/>
      <c r="H870" s="130"/>
      <c r="I870" s="130"/>
    </row>
    <row r="871" spans="2:9">
      <c r="B871" s="129"/>
      <c r="C871" s="130"/>
      <c r="D871" s="130"/>
      <c r="E871" s="130"/>
      <c r="F871" s="130"/>
      <c r="G871" s="130"/>
      <c r="H871" s="130"/>
      <c r="I871" s="130"/>
    </row>
    <row r="872" spans="2:9">
      <c r="B872" s="129">
        <v>284</v>
      </c>
      <c r="C872" s="130" t="s">
        <v>5208</v>
      </c>
      <c r="D872" s="130" t="s">
        <v>5217</v>
      </c>
      <c r="E872" s="130" t="s">
        <v>5223</v>
      </c>
      <c r="F872" s="130" t="s">
        <v>5117</v>
      </c>
      <c r="G872" s="130">
        <v>1000</v>
      </c>
      <c r="H872" s="130" t="s">
        <v>5037</v>
      </c>
      <c r="I872" s="130" t="s">
        <v>5004</v>
      </c>
    </row>
    <row r="873" spans="2:9">
      <c r="B873" s="129"/>
      <c r="C873" s="130"/>
      <c r="D873" s="130"/>
      <c r="E873" s="130"/>
      <c r="F873" s="130"/>
      <c r="G873" s="130"/>
      <c r="H873" s="130"/>
      <c r="I873" s="130"/>
    </row>
    <row r="874" spans="2:9">
      <c r="B874" s="129"/>
      <c r="C874" s="130"/>
      <c r="D874" s="130"/>
      <c r="E874" s="130"/>
      <c r="F874" s="130"/>
      <c r="G874" s="130"/>
      <c r="H874" s="130"/>
      <c r="I874" s="130"/>
    </row>
    <row r="875" spans="2:9">
      <c r="B875" s="129">
        <v>285</v>
      </c>
      <c r="C875" s="130" t="s">
        <v>5017</v>
      </c>
      <c r="D875" s="130" t="s">
        <v>5217</v>
      </c>
      <c r="E875" s="130" t="s">
        <v>5133</v>
      </c>
      <c r="F875" s="130" t="s">
        <v>5008</v>
      </c>
      <c r="G875" s="130">
        <v>100000</v>
      </c>
      <c r="H875" s="130" t="s">
        <v>5037</v>
      </c>
      <c r="I875" s="130" t="s">
        <v>5004</v>
      </c>
    </row>
    <row r="876" spans="2:9">
      <c r="B876" s="129"/>
      <c r="C876" s="130"/>
      <c r="D876" s="130"/>
      <c r="E876" s="130"/>
      <c r="F876" s="130"/>
      <c r="G876" s="130"/>
      <c r="H876" s="130"/>
      <c r="I876" s="130"/>
    </row>
    <row r="877" spans="2:9">
      <c r="B877" s="129"/>
      <c r="C877" s="130"/>
      <c r="D877" s="130"/>
      <c r="E877" s="130"/>
      <c r="F877" s="130"/>
      <c r="G877" s="130"/>
      <c r="H877" s="130"/>
      <c r="I877" s="130"/>
    </row>
    <row r="878" spans="2:9">
      <c r="B878" s="129">
        <v>286</v>
      </c>
      <c r="C878" s="130" t="s">
        <v>5034</v>
      </c>
      <c r="D878" s="130" t="s">
        <v>5217</v>
      </c>
      <c r="E878" s="130" t="s">
        <v>5036</v>
      </c>
      <c r="F878" s="130" t="s">
        <v>5050</v>
      </c>
      <c r="G878" s="130">
        <v>10000</v>
      </c>
      <c r="H878" s="130" t="s">
        <v>5037</v>
      </c>
      <c r="I878" s="130" t="s">
        <v>5004</v>
      </c>
    </row>
    <row r="879" spans="2:9">
      <c r="B879" s="129"/>
      <c r="C879" s="130"/>
      <c r="D879" s="130"/>
      <c r="E879" s="130"/>
      <c r="F879" s="130"/>
      <c r="G879" s="130"/>
      <c r="H879" s="130"/>
      <c r="I879" s="130"/>
    </row>
    <row r="880" spans="2:9">
      <c r="B880" s="129"/>
      <c r="C880" s="130"/>
      <c r="D880" s="130"/>
      <c r="E880" s="130"/>
      <c r="F880" s="130"/>
      <c r="G880" s="130"/>
      <c r="H880" s="130"/>
      <c r="I880" s="130"/>
    </row>
    <row r="881" spans="2:9">
      <c r="B881" s="129">
        <v>287</v>
      </c>
      <c r="C881" s="130" t="s">
        <v>5224</v>
      </c>
      <c r="D881" s="130" t="s">
        <v>5217</v>
      </c>
      <c r="E881" s="130" t="s">
        <v>5132</v>
      </c>
      <c r="F881" s="130" t="s">
        <v>5085</v>
      </c>
      <c r="G881" s="130">
        <v>50</v>
      </c>
      <c r="H881" s="130" t="s">
        <v>5037</v>
      </c>
      <c r="I881" s="130" t="s">
        <v>5004</v>
      </c>
    </row>
    <row r="882" spans="2:9">
      <c r="B882" s="129"/>
      <c r="C882" s="130"/>
      <c r="D882" s="130"/>
      <c r="E882" s="130"/>
      <c r="F882" s="130"/>
      <c r="G882" s="130"/>
      <c r="H882" s="130"/>
      <c r="I882" s="130"/>
    </row>
    <row r="883" spans="2:9">
      <c r="B883" s="129"/>
      <c r="C883" s="130"/>
      <c r="D883" s="130"/>
      <c r="E883" s="130"/>
      <c r="F883" s="130"/>
      <c r="G883" s="130"/>
      <c r="H883" s="130"/>
      <c r="I883" s="130"/>
    </row>
    <row r="884" spans="2:9">
      <c r="B884" s="129">
        <v>288</v>
      </c>
      <c r="C884" s="130" t="s">
        <v>5188</v>
      </c>
      <c r="D884" s="130" t="s">
        <v>5217</v>
      </c>
      <c r="E884" s="130" t="s">
        <v>5225</v>
      </c>
      <c r="F884" s="130" t="s">
        <v>5226</v>
      </c>
      <c r="G884" s="130">
        <v>2500</v>
      </c>
      <c r="H884" s="130" t="s">
        <v>5037</v>
      </c>
      <c r="I884" s="130" t="s">
        <v>5004</v>
      </c>
    </row>
    <row r="885" spans="2:9">
      <c r="B885" s="129"/>
      <c r="C885" s="130"/>
      <c r="D885" s="130"/>
      <c r="E885" s="130"/>
      <c r="F885" s="130"/>
      <c r="G885" s="130"/>
      <c r="H885" s="130"/>
      <c r="I885" s="130"/>
    </row>
    <row r="886" spans="2:9">
      <c r="B886" s="129"/>
      <c r="C886" s="130"/>
      <c r="D886" s="130"/>
      <c r="E886" s="130"/>
      <c r="F886" s="130"/>
      <c r="G886" s="130"/>
      <c r="H886" s="130"/>
      <c r="I886" s="130"/>
    </row>
    <row r="887" spans="2:9">
      <c r="B887" s="129">
        <v>289</v>
      </c>
      <c r="C887" s="130" t="s">
        <v>5009</v>
      </c>
      <c r="D887" s="130" t="s">
        <v>5227</v>
      </c>
      <c r="E887" s="130" t="s">
        <v>5228</v>
      </c>
      <c r="F887" s="130" t="s">
        <v>5043</v>
      </c>
      <c r="G887" s="130">
        <v>5000</v>
      </c>
      <c r="H887" s="130" t="s">
        <v>5037</v>
      </c>
      <c r="I887" s="130" t="s">
        <v>5013</v>
      </c>
    </row>
    <row r="888" spans="2:9">
      <c r="B888" s="129"/>
      <c r="C888" s="130"/>
      <c r="D888" s="130"/>
      <c r="E888" s="130"/>
      <c r="F888" s="130"/>
      <c r="G888" s="130"/>
      <c r="H888" s="130"/>
      <c r="I888" s="130"/>
    </row>
    <row r="889" spans="2:9">
      <c r="B889" s="129"/>
      <c r="C889" s="130"/>
      <c r="D889" s="130"/>
      <c r="E889" s="130"/>
      <c r="F889" s="130"/>
      <c r="G889" s="130"/>
      <c r="H889" s="130"/>
      <c r="I889" s="130"/>
    </row>
    <row r="890" spans="2:9">
      <c r="B890" s="129">
        <v>290</v>
      </c>
      <c r="C890" s="130" t="s">
        <v>5125</v>
      </c>
      <c r="D890" s="130" t="s">
        <v>5229</v>
      </c>
      <c r="E890" s="130" t="s">
        <v>5179</v>
      </c>
      <c r="F890" s="130" t="s">
        <v>5026</v>
      </c>
      <c r="G890" s="130">
        <v>1000</v>
      </c>
      <c r="H890" s="130" t="s">
        <v>5037</v>
      </c>
      <c r="I890" s="130" t="s">
        <v>5013</v>
      </c>
    </row>
    <row r="891" spans="2:9">
      <c r="B891" s="129"/>
      <c r="C891" s="130"/>
      <c r="D891" s="130"/>
      <c r="E891" s="130"/>
      <c r="F891" s="130"/>
      <c r="G891" s="130"/>
      <c r="H891" s="130"/>
      <c r="I891" s="130"/>
    </row>
    <row r="892" spans="2:9">
      <c r="B892" s="129"/>
      <c r="C892" s="130"/>
      <c r="D892" s="130"/>
      <c r="E892" s="130"/>
      <c r="F892" s="130"/>
      <c r="G892" s="130"/>
      <c r="H892" s="130"/>
      <c r="I892" s="130"/>
    </row>
    <row r="893" spans="2:9">
      <c r="B893" s="129">
        <v>291</v>
      </c>
      <c r="C893" s="130" t="s">
        <v>5112</v>
      </c>
      <c r="D893" s="130" t="s">
        <v>5229</v>
      </c>
      <c r="E893" s="130" t="s">
        <v>5114</v>
      </c>
      <c r="F893" s="130" t="s">
        <v>5033</v>
      </c>
      <c r="G893" s="130">
        <v>1000</v>
      </c>
      <c r="H893" s="130">
        <v>20000</v>
      </c>
      <c r="I893" s="130" t="s">
        <v>5013</v>
      </c>
    </row>
    <row r="894" spans="2:9">
      <c r="B894" s="129"/>
      <c r="C894" s="130"/>
      <c r="D894" s="130"/>
      <c r="E894" s="130"/>
      <c r="F894" s="130"/>
      <c r="G894" s="130"/>
      <c r="H894" s="130"/>
      <c r="I894" s="130"/>
    </row>
    <row r="895" spans="2:9">
      <c r="B895" s="129"/>
      <c r="C895" s="130"/>
      <c r="D895" s="130"/>
      <c r="E895" s="130"/>
      <c r="F895" s="130"/>
      <c r="G895" s="130"/>
      <c r="H895" s="130"/>
      <c r="I895" s="130"/>
    </row>
    <row r="896" spans="2:9">
      <c r="B896" s="129">
        <v>292</v>
      </c>
      <c r="C896" s="130" t="s">
        <v>5112</v>
      </c>
      <c r="D896" s="130" t="s">
        <v>5229</v>
      </c>
      <c r="E896" s="130" t="s">
        <v>5121</v>
      </c>
      <c r="F896" s="130" t="s">
        <v>5008</v>
      </c>
      <c r="G896" s="130">
        <v>1000</v>
      </c>
      <c r="H896" s="130">
        <v>20200</v>
      </c>
      <c r="I896" s="130" t="s">
        <v>5013</v>
      </c>
    </row>
    <row r="897" spans="2:9">
      <c r="B897" s="129"/>
      <c r="C897" s="130"/>
      <c r="D897" s="130"/>
      <c r="E897" s="130"/>
      <c r="F897" s="130"/>
      <c r="G897" s="130"/>
      <c r="H897" s="130"/>
      <c r="I897" s="130"/>
    </row>
    <row r="898" spans="2:9">
      <c r="B898" s="129"/>
      <c r="C898" s="130"/>
      <c r="D898" s="130"/>
      <c r="E898" s="130"/>
      <c r="F898" s="130"/>
      <c r="G898" s="130"/>
      <c r="H898" s="130"/>
      <c r="I898" s="130"/>
    </row>
    <row r="899" spans="2:9">
      <c r="B899" s="129">
        <v>293</v>
      </c>
      <c r="C899" s="130" t="s">
        <v>5005</v>
      </c>
      <c r="D899" s="130" t="s">
        <v>5229</v>
      </c>
      <c r="E899" s="130" t="s">
        <v>5138</v>
      </c>
      <c r="F899" s="130" t="s">
        <v>5008</v>
      </c>
      <c r="G899" s="130">
        <v>1000</v>
      </c>
      <c r="H899" s="130" t="s">
        <v>5037</v>
      </c>
      <c r="I899" s="130" t="s">
        <v>5004</v>
      </c>
    </row>
    <row r="900" spans="2:9">
      <c r="B900" s="129"/>
      <c r="C900" s="130"/>
      <c r="D900" s="130"/>
      <c r="E900" s="130"/>
      <c r="F900" s="130"/>
      <c r="G900" s="130"/>
      <c r="H900" s="130"/>
      <c r="I900" s="130"/>
    </row>
    <row r="901" spans="2:9">
      <c r="B901" s="129"/>
      <c r="C901" s="130"/>
      <c r="D901" s="130"/>
      <c r="E901" s="130"/>
      <c r="F901" s="130"/>
      <c r="G901" s="130"/>
      <c r="H901" s="130"/>
      <c r="I901" s="130"/>
    </row>
    <row r="902" spans="2:9">
      <c r="B902" s="129">
        <v>294</v>
      </c>
      <c r="C902" s="130" t="s">
        <v>5044</v>
      </c>
      <c r="D902" s="130" t="s">
        <v>5229</v>
      </c>
      <c r="E902" s="130" t="s">
        <v>5230</v>
      </c>
      <c r="F902" s="130" t="s">
        <v>5043</v>
      </c>
      <c r="G902" s="130">
        <v>500</v>
      </c>
      <c r="H902" s="130">
        <v>13000</v>
      </c>
      <c r="I902" s="130" t="s">
        <v>5013</v>
      </c>
    </row>
    <row r="903" spans="2:9">
      <c r="B903" s="129"/>
      <c r="C903" s="130"/>
      <c r="D903" s="130"/>
      <c r="E903" s="130"/>
      <c r="F903" s="130"/>
      <c r="G903" s="130"/>
      <c r="H903" s="130"/>
      <c r="I903" s="130"/>
    </row>
    <row r="904" spans="2:9">
      <c r="B904" s="129"/>
      <c r="C904" s="130"/>
      <c r="D904" s="130"/>
      <c r="E904" s="130"/>
      <c r="F904" s="130"/>
      <c r="G904" s="130"/>
      <c r="H904" s="130"/>
      <c r="I904" s="130"/>
    </row>
    <row r="905" spans="2:9">
      <c r="B905" s="129">
        <v>295</v>
      </c>
      <c r="C905" s="130" t="s">
        <v>5034</v>
      </c>
      <c r="D905" s="130" t="s">
        <v>5229</v>
      </c>
      <c r="E905" s="130" t="s">
        <v>5036</v>
      </c>
      <c r="F905" s="130" t="s">
        <v>5008</v>
      </c>
      <c r="G905" s="130">
        <v>10000</v>
      </c>
      <c r="H905" s="130" t="s">
        <v>5037</v>
      </c>
      <c r="I905" s="130" t="s">
        <v>5004</v>
      </c>
    </row>
    <row r="906" spans="2:9">
      <c r="B906" s="129"/>
      <c r="C906" s="130"/>
      <c r="D906" s="130"/>
      <c r="E906" s="130"/>
      <c r="F906" s="130"/>
      <c r="G906" s="130"/>
      <c r="H906" s="130"/>
      <c r="I906" s="130"/>
    </row>
    <row r="907" spans="2:9">
      <c r="B907" s="129"/>
      <c r="C907" s="130"/>
      <c r="D907" s="130"/>
      <c r="E907" s="130"/>
      <c r="F907" s="130"/>
      <c r="G907" s="130"/>
      <c r="H907" s="130"/>
      <c r="I907" s="130"/>
    </row>
    <row r="908" spans="2:9">
      <c r="B908" s="129">
        <v>296</v>
      </c>
      <c r="C908" s="130" t="s">
        <v>5034</v>
      </c>
      <c r="D908" s="130" t="s">
        <v>5229</v>
      </c>
      <c r="E908" s="130" t="s">
        <v>5036</v>
      </c>
      <c r="F908" s="130" t="s">
        <v>5050</v>
      </c>
      <c r="G908" s="130">
        <v>1000</v>
      </c>
      <c r="H908" s="130">
        <v>9999</v>
      </c>
      <c r="I908" s="130" t="s">
        <v>5004</v>
      </c>
    </row>
    <row r="909" spans="2:9">
      <c r="B909" s="129"/>
      <c r="C909" s="130"/>
      <c r="D909" s="130"/>
      <c r="E909" s="130"/>
      <c r="F909" s="130"/>
      <c r="G909" s="130"/>
      <c r="H909" s="130"/>
      <c r="I909" s="130"/>
    </row>
    <row r="910" spans="2:9">
      <c r="B910" s="129"/>
      <c r="C910" s="130"/>
      <c r="D910" s="130"/>
      <c r="E910" s="130"/>
      <c r="F910" s="130"/>
      <c r="G910" s="130"/>
      <c r="H910" s="130"/>
      <c r="I910" s="130"/>
    </row>
    <row r="911" spans="2:9">
      <c r="B911" s="129">
        <v>297</v>
      </c>
      <c r="C911" s="130" t="s">
        <v>5218</v>
      </c>
      <c r="D911" s="130" t="s">
        <v>5231</v>
      </c>
      <c r="E911" s="130" t="s">
        <v>5232</v>
      </c>
      <c r="F911" s="130" t="s">
        <v>5008</v>
      </c>
      <c r="G911" s="130">
        <v>1000</v>
      </c>
      <c r="H911" s="130" t="s">
        <v>5037</v>
      </c>
      <c r="I911" s="130" t="s">
        <v>5013</v>
      </c>
    </row>
    <row r="912" spans="2:9">
      <c r="B912" s="129"/>
      <c r="C912" s="130"/>
      <c r="D912" s="130"/>
      <c r="E912" s="130"/>
      <c r="F912" s="130"/>
      <c r="G912" s="130"/>
      <c r="H912" s="130"/>
      <c r="I912" s="130"/>
    </row>
    <row r="913" spans="2:9">
      <c r="B913" s="129"/>
      <c r="C913" s="130"/>
      <c r="D913" s="130"/>
      <c r="E913" s="130"/>
      <c r="F913" s="130"/>
      <c r="G913" s="130"/>
      <c r="H913" s="130"/>
      <c r="I913" s="130"/>
    </row>
    <row r="914" spans="2:9">
      <c r="B914" s="129">
        <v>298</v>
      </c>
      <c r="C914" s="130" t="s">
        <v>5081</v>
      </c>
      <c r="D914" s="130" t="s">
        <v>5233</v>
      </c>
      <c r="E914" s="130" t="s">
        <v>5132</v>
      </c>
      <c r="F914" s="130" t="s">
        <v>5033</v>
      </c>
      <c r="G914" s="130">
        <v>500</v>
      </c>
      <c r="H914" s="130" t="s">
        <v>5037</v>
      </c>
      <c r="I914" s="130" t="s">
        <v>5004</v>
      </c>
    </row>
    <row r="915" spans="2:9">
      <c r="B915" s="129"/>
      <c r="C915" s="130"/>
      <c r="D915" s="130"/>
      <c r="E915" s="130"/>
      <c r="F915" s="130"/>
      <c r="G915" s="130"/>
      <c r="H915" s="130"/>
      <c r="I915" s="130"/>
    </row>
    <row r="916" spans="2:9">
      <c r="B916" s="129"/>
      <c r="C916" s="130"/>
      <c r="D916" s="130"/>
      <c r="E916" s="130"/>
      <c r="F916" s="130"/>
      <c r="G916" s="130"/>
      <c r="H916" s="130"/>
      <c r="I916" s="130"/>
    </row>
    <row r="917" spans="2:9">
      <c r="B917" s="129">
        <v>299</v>
      </c>
      <c r="C917" s="130" t="s">
        <v>5081</v>
      </c>
      <c r="D917" s="130" t="s">
        <v>5233</v>
      </c>
      <c r="E917" s="130" t="s">
        <v>5177</v>
      </c>
      <c r="F917" s="130" t="s">
        <v>5033</v>
      </c>
      <c r="G917" s="130">
        <v>500</v>
      </c>
      <c r="H917" s="130" t="s">
        <v>5037</v>
      </c>
      <c r="I917" s="130" t="s">
        <v>5004</v>
      </c>
    </row>
    <row r="918" spans="2:9">
      <c r="B918" s="129"/>
      <c r="C918" s="130"/>
      <c r="D918" s="130"/>
      <c r="E918" s="130"/>
      <c r="F918" s="130"/>
      <c r="G918" s="130"/>
      <c r="H918" s="130"/>
      <c r="I918" s="130"/>
    </row>
    <row r="919" spans="2:9">
      <c r="B919" s="129"/>
      <c r="C919" s="130"/>
      <c r="D919" s="130"/>
      <c r="E919" s="130"/>
      <c r="F919" s="130"/>
      <c r="G919" s="130"/>
      <c r="H919" s="130"/>
      <c r="I919" s="130"/>
    </row>
    <row r="920" spans="2:9">
      <c r="B920" s="129">
        <v>300</v>
      </c>
      <c r="C920" s="130" t="s">
        <v>5027</v>
      </c>
      <c r="D920" s="130" t="s">
        <v>5233</v>
      </c>
      <c r="E920" s="130" t="s">
        <v>5177</v>
      </c>
      <c r="F920" s="130" t="s">
        <v>5008</v>
      </c>
      <c r="G920" s="130">
        <v>10000</v>
      </c>
      <c r="H920" s="130">
        <v>100000</v>
      </c>
      <c r="I920" s="130" t="s">
        <v>5004</v>
      </c>
    </row>
    <row r="921" spans="2:9">
      <c r="B921" s="129"/>
      <c r="C921" s="130"/>
      <c r="D921" s="130"/>
      <c r="E921" s="130"/>
      <c r="F921" s="130"/>
      <c r="G921" s="130"/>
      <c r="H921" s="130"/>
      <c r="I921" s="130"/>
    </row>
    <row r="922" spans="2:9">
      <c r="B922" s="129"/>
      <c r="C922" s="130"/>
      <c r="D922" s="130"/>
      <c r="E922" s="130"/>
      <c r="F922" s="130"/>
      <c r="G922" s="130"/>
      <c r="H922" s="130"/>
      <c r="I922" s="130"/>
    </row>
    <row r="923" spans="2:9">
      <c r="B923" s="129">
        <v>301</v>
      </c>
      <c r="C923" s="130" t="s">
        <v>5027</v>
      </c>
      <c r="D923" s="130" t="s">
        <v>5233</v>
      </c>
      <c r="E923" s="130" t="s">
        <v>5177</v>
      </c>
      <c r="F923" s="130" t="s">
        <v>5008</v>
      </c>
      <c r="G923" s="130">
        <v>100000</v>
      </c>
      <c r="H923" s="130" t="s">
        <v>5037</v>
      </c>
      <c r="I923" s="130" t="s">
        <v>5004</v>
      </c>
    </row>
    <row r="924" spans="2:9">
      <c r="B924" s="129"/>
      <c r="C924" s="130"/>
      <c r="D924" s="130"/>
      <c r="E924" s="130"/>
      <c r="F924" s="130"/>
      <c r="G924" s="130"/>
      <c r="H924" s="130"/>
      <c r="I924" s="130"/>
    </row>
    <row r="925" spans="2:9">
      <c r="B925" s="129"/>
      <c r="C925" s="130"/>
      <c r="D925" s="130"/>
      <c r="E925" s="130"/>
      <c r="F925" s="130"/>
      <c r="G925" s="130"/>
      <c r="H925" s="130"/>
      <c r="I925" s="130"/>
    </row>
    <row r="926" spans="2:9">
      <c r="B926" s="129">
        <v>302</v>
      </c>
      <c r="C926" s="130" t="s">
        <v>5125</v>
      </c>
      <c r="D926" s="130" t="s">
        <v>5233</v>
      </c>
      <c r="E926" s="130" t="s">
        <v>5198</v>
      </c>
      <c r="F926" s="130" t="s">
        <v>5031</v>
      </c>
      <c r="G926" s="130">
        <v>500000</v>
      </c>
      <c r="H926" s="130" t="s">
        <v>5037</v>
      </c>
      <c r="I926" s="130" t="s">
        <v>5004</v>
      </c>
    </row>
    <row r="927" spans="2:9">
      <c r="B927" s="129"/>
      <c r="C927" s="130"/>
      <c r="D927" s="130"/>
      <c r="E927" s="130"/>
      <c r="F927" s="130"/>
      <c r="G927" s="130"/>
      <c r="H927" s="130"/>
      <c r="I927" s="130"/>
    </row>
    <row r="928" spans="2:9">
      <c r="B928" s="129"/>
      <c r="C928" s="130"/>
      <c r="D928" s="130"/>
      <c r="E928" s="130"/>
      <c r="F928" s="130"/>
      <c r="G928" s="130"/>
      <c r="H928" s="130"/>
      <c r="I928" s="130"/>
    </row>
    <row r="929" spans="2:9">
      <c r="B929" s="129">
        <v>303</v>
      </c>
      <c r="C929" s="130" t="s">
        <v>5102</v>
      </c>
      <c r="D929" s="130" t="s">
        <v>5233</v>
      </c>
      <c r="E929" s="130" t="s">
        <v>5132</v>
      </c>
      <c r="F929" s="130" t="s">
        <v>5026</v>
      </c>
      <c r="G929" s="130">
        <v>10000</v>
      </c>
      <c r="H929" s="130" t="s">
        <v>5037</v>
      </c>
      <c r="I929" s="130" t="s">
        <v>5004</v>
      </c>
    </row>
    <row r="930" spans="2:9">
      <c r="B930" s="129"/>
      <c r="C930" s="130"/>
      <c r="D930" s="130"/>
      <c r="E930" s="130"/>
      <c r="F930" s="130"/>
      <c r="G930" s="130"/>
      <c r="H930" s="130"/>
      <c r="I930" s="130"/>
    </row>
    <row r="931" spans="2:9">
      <c r="B931" s="129"/>
      <c r="C931" s="130"/>
      <c r="D931" s="130"/>
      <c r="E931" s="130"/>
      <c r="F931" s="130"/>
      <c r="G931" s="130"/>
      <c r="H931" s="130"/>
      <c r="I931" s="130"/>
    </row>
    <row r="932" spans="2:9">
      <c r="B932" s="129">
        <v>304</v>
      </c>
      <c r="C932" s="130" t="s">
        <v>5102</v>
      </c>
      <c r="D932" s="130" t="s">
        <v>5233</v>
      </c>
      <c r="E932" s="130" t="s">
        <v>5132</v>
      </c>
      <c r="F932" s="130" t="s">
        <v>5026</v>
      </c>
      <c r="G932" s="130">
        <v>1000</v>
      </c>
      <c r="H932" s="130" t="s">
        <v>5037</v>
      </c>
      <c r="I932" s="130" t="s">
        <v>5004</v>
      </c>
    </row>
    <row r="933" spans="2:9">
      <c r="B933" s="129"/>
      <c r="C933" s="130"/>
      <c r="D933" s="130"/>
      <c r="E933" s="130"/>
      <c r="F933" s="130"/>
      <c r="G933" s="130"/>
      <c r="H933" s="130"/>
      <c r="I933" s="130"/>
    </row>
    <row r="934" spans="2:9">
      <c r="B934" s="129"/>
      <c r="C934" s="130"/>
      <c r="D934" s="130"/>
      <c r="E934" s="130"/>
      <c r="F934" s="130"/>
      <c r="G934" s="130"/>
      <c r="H934" s="130"/>
      <c r="I934" s="130"/>
    </row>
    <row r="935" spans="2:9">
      <c r="B935" s="129">
        <v>305</v>
      </c>
      <c r="C935" s="130" t="s">
        <v>5102</v>
      </c>
      <c r="D935" s="130" t="s">
        <v>5233</v>
      </c>
      <c r="E935" s="130" t="s">
        <v>5132</v>
      </c>
      <c r="F935" s="130" t="s">
        <v>5085</v>
      </c>
      <c r="G935" s="130">
        <v>10000</v>
      </c>
      <c r="H935" s="130" t="s">
        <v>5037</v>
      </c>
      <c r="I935" s="130" t="s">
        <v>5004</v>
      </c>
    </row>
    <row r="936" spans="2:9">
      <c r="B936" s="129"/>
      <c r="C936" s="130"/>
      <c r="D936" s="130"/>
      <c r="E936" s="130"/>
      <c r="F936" s="130"/>
      <c r="G936" s="130"/>
      <c r="H936" s="130"/>
      <c r="I936" s="130"/>
    </row>
    <row r="937" spans="2:9">
      <c r="B937" s="129"/>
      <c r="C937" s="130"/>
      <c r="D937" s="130"/>
      <c r="E937" s="130"/>
      <c r="F937" s="130"/>
      <c r="G937" s="130"/>
      <c r="H937" s="130"/>
      <c r="I937" s="130"/>
    </row>
    <row r="938" spans="2:9">
      <c r="B938" s="129">
        <v>306</v>
      </c>
      <c r="C938" s="130" t="s">
        <v>5128</v>
      </c>
      <c r="D938" s="130" t="s">
        <v>5233</v>
      </c>
      <c r="E938" s="130" t="s">
        <v>5159</v>
      </c>
      <c r="F938" s="130" t="s">
        <v>5008</v>
      </c>
      <c r="G938" s="130">
        <v>5000</v>
      </c>
      <c r="H938" s="130">
        <v>16000</v>
      </c>
      <c r="I938" s="130" t="s">
        <v>5013</v>
      </c>
    </row>
    <row r="939" spans="2:9">
      <c r="B939" s="129"/>
      <c r="C939" s="130"/>
      <c r="D939" s="130"/>
      <c r="E939" s="130"/>
      <c r="F939" s="130"/>
      <c r="G939" s="130"/>
      <c r="H939" s="130"/>
      <c r="I939" s="130"/>
    </row>
    <row r="940" spans="2:9">
      <c r="B940" s="129"/>
      <c r="C940" s="130"/>
      <c r="D940" s="130"/>
      <c r="E940" s="130"/>
      <c r="F940" s="130"/>
      <c r="G940" s="130"/>
      <c r="H940" s="130"/>
      <c r="I940" s="130"/>
    </row>
    <row r="941" spans="2:9">
      <c r="B941" s="129">
        <v>307</v>
      </c>
      <c r="C941" s="130" t="s">
        <v>5128</v>
      </c>
      <c r="D941" s="130" t="s">
        <v>5233</v>
      </c>
      <c r="E941" s="130" t="s">
        <v>5127</v>
      </c>
      <c r="F941" s="130" t="s">
        <v>5038</v>
      </c>
      <c r="G941" s="130">
        <v>1000</v>
      </c>
      <c r="H941" s="130">
        <v>9999</v>
      </c>
      <c r="I941" s="130" t="s">
        <v>5013</v>
      </c>
    </row>
    <row r="942" spans="2:9">
      <c r="B942" s="129"/>
      <c r="C942" s="130"/>
      <c r="D942" s="130"/>
      <c r="E942" s="130"/>
      <c r="F942" s="130"/>
      <c r="G942" s="130"/>
      <c r="H942" s="130"/>
      <c r="I942" s="130"/>
    </row>
    <row r="943" spans="2:9">
      <c r="B943" s="129"/>
      <c r="C943" s="130"/>
      <c r="D943" s="130"/>
      <c r="E943" s="130"/>
      <c r="F943" s="130"/>
      <c r="G943" s="130"/>
      <c r="H943" s="130"/>
      <c r="I943" s="130"/>
    </row>
    <row r="944" spans="2:9">
      <c r="B944" s="129">
        <v>308</v>
      </c>
      <c r="C944" s="130" t="s">
        <v>5128</v>
      </c>
      <c r="D944" s="130" t="s">
        <v>5233</v>
      </c>
      <c r="E944" s="130" t="s">
        <v>5127</v>
      </c>
      <c r="F944" s="130" t="s">
        <v>5026</v>
      </c>
      <c r="G944" s="130">
        <v>50000</v>
      </c>
      <c r="H944" s="130" t="s">
        <v>5037</v>
      </c>
      <c r="I944" s="130" t="s">
        <v>5013</v>
      </c>
    </row>
    <row r="945" spans="2:9">
      <c r="B945" s="129"/>
      <c r="C945" s="130"/>
      <c r="D945" s="130"/>
      <c r="E945" s="130"/>
      <c r="F945" s="130"/>
      <c r="G945" s="130"/>
      <c r="H945" s="130"/>
      <c r="I945" s="130"/>
    </row>
    <row r="946" spans="2:9">
      <c r="B946" s="129"/>
      <c r="C946" s="130"/>
      <c r="D946" s="130"/>
      <c r="E946" s="130"/>
      <c r="F946" s="130"/>
      <c r="G946" s="130"/>
      <c r="H946" s="130"/>
      <c r="I946" s="130"/>
    </row>
    <row r="947" spans="2:9">
      <c r="B947" s="129">
        <v>309</v>
      </c>
      <c r="C947" s="130" t="s">
        <v>5128</v>
      </c>
      <c r="D947" s="130" t="s">
        <v>5233</v>
      </c>
      <c r="E947" s="130" t="s">
        <v>5149</v>
      </c>
      <c r="F947" s="130" t="s">
        <v>5038</v>
      </c>
      <c r="G947" s="130">
        <v>1000</v>
      </c>
      <c r="H947" s="130" t="s">
        <v>5037</v>
      </c>
      <c r="I947" s="130" t="s">
        <v>5004</v>
      </c>
    </row>
    <row r="948" spans="2:9">
      <c r="B948" s="129"/>
      <c r="C948" s="130"/>
      <c r="D948" s="130"/>
      <c r="E948" s="130"/>
      <c r="F948" s="130"/>
      <c r="G948" s="130"/>
      <c r="H948" s="130"/>
      <c r="I948" s="130"/>
    </row>
    <row r="949" spans="2:9">
      <c r="B949" s="129"/>
      <c r="C949" s="130"/>
      <c r="D949" s="130"/>
      <c r="E949" s="130"/>
      <c r="F949" s="130"/>
      <c r="G949" s="130"/>
      <c r="H949" s="130"/>
      <c r="I949" s="130"/>
    </row>
    <row r="950" spans="2:9">
      <c r="B950" s="129">
        <v>310</v>
      </c>
      <c r="C950" s="130" t="s">
        <v>5095</v>
      </c>
      <c r="D950" s="130" t="s">
        <v>5233</v>
      </c>
      <c r="E950" s="130" t="s">
        <v>5204</v>
      </c>
      <c r="F950" s="130" t="s">
        <v>5026</v>
      </c>
      <c r="G950" s="130">
        <v>500</v>
      </c>
      <c r="H950" s="130" t="s">
        <v>5037</v>
      </c>
      <c r="I950" s="130" t="s">
        <v>5004</v>
      </c>
    </row>
    <row r="951" spans="2:9">
      <c r="B951" s="129"/>
      <c r="C951" s="130"/>
      <c r="D951" s="130"/>
      <c r="E951" s="130"/>
      <c r="F951" s="130"/>
      <c r="G951" s="130"/>
      <c r="H951" s="130"/>
      <c r="I951" s="130"/>
    </row>
    <row r="952" spans="2:9">
      <c r="B952" s="129"/>
      <c r="C952" s="130"/>
      <c r="D952" s="130"/>
      <c r="E952" s="130"/>
      <c r="F952" s="130"/>
      <c r="G952" s="130"/>
      <c r="H952" s="130"/>
      <c r="I952" s="130"/>
    </row>
    <row r="953" spans="2:9">
      <c r="B953" s="129">
        <v>311</v>
      </c>
      <c r="C953" s="130" t="s">
        <v>5107</v>
      </c>
      <c r="D953" s="130" t="s">
        <v>5233</v>
      </c>
      <c r="E953" s="130" t="s">
        <v>5132</v>
      </c>
      <c r="F953" s="130" t="s">
        <v>5033</v>
      </c>
      <c r="G953" s="130">
        <v>50000</v>
      </c>
      <c r="H953" s="130">
        <v>99999</v>
      </c>
      <c r="I953" s="130" t="s">
        <v>5004</v>
      </c>
    </row>
    <row r="954" spans="2:9">
      <c r="B954" s="129"/>
      <c r="C954" s="130"/>
      <c r="D954" s="130"/>
      <c r="E954" s="130"/>
      <c r="F954" s="130"/>
      <c r="G954" s="130"/>
      <c r="H954" s="130"/>
      <c r="I954" s="130"/>
    </row>
    <row r="955" spans="2:9">
      <c r="B955" s="129"/>
      <c r="C955" s="130"/>
      <c r="D955" s="130"/>
      <c r="E955" s="130"/>
      <c r="F955" s="130"/>
      <c r="G955" s="130"/>
      <c r="H955" s="130"/>
      <c r="I955" s="130"/>
    </row>
    <row r="956" spans="2:9">
      <c r="B956" s="129">
        <v>312</v>
      </c>
      <c r="C956" s="130" t="s">
        <v>5034</v>
      </c>
      <c r="D956" s="130" t="s">
        <v>5233</v>
      </c>
      <c r="E956" s="130" t="s">
        <v>5036</v>
      </c>
      <c r="F956" s="130" t="s">
        <v>5008</v>
      </c>
      <c r="G956" s="130">
        <v>1000</v>
      </c>
      <c r="H956" s="130">
        <v>9999</v>
      </c>
      <c r="I956" s="130" t="s">
        <v>5004</v>
      </c>
    </row>
    <row r="957" spans="2:9">
      <c r="B957" s="129"/>
      <c r="C957" s="130"/>
      <c r="D957" s="130"/>
      <c r="E957" s="130"/>
      <c r="F957" s="130"/>
      <c r="G957" s="130"/>
      <c r="H957" s="130"/>
      <c r="I957" s="130"/>
    </row>
    <row r="958" spans="2:9">
      <c r="B958" s="129"/>
      <c r="C958" s="130"/>
      <c r="D958" s="130"/>
      <c r="E958" s="130"/>
      <c r="F958" s="130"/>
      <c r="G958" s="130"/>
      <c r="H958" s="130"/>
      <c r="I958" s="130"/>
    </row>
    <row r="959" spans="2:9">
      <c r="B959" s="129">
        <v>313</v>
      </c>
      <c r="C959" s="130" t="s">
        <v>5125</v>
      </c>
      <c r="D959" s="130" t="s">
        <v>5234</v>
      </c>
      <c r="E959" s="130" t="s">
        <v>5198</v>
      </c>
      <c r="F959" s="130" t="s">
        <v>5031</v>
      </c>
      <c r="G959" s="130">
        <v>100000</v>
      </c>
      <c r="H959" s="130">
        <v>500000</v>
      </c>
      <c r="I959" s="130" t="s">
        <v>5004</v>
      </c>
    </row>
    <row r="960" spans="2:9">
      <c r="B960" s="129"/>
      <c r="C960" s="130"/>
      <c r="D960" s="130"/>
      <c r="E960" s="130"/>
      <c r="F960" s="130"/>
      <c r="G960" s="130"/>
      <c r="H960" s="130"/>
      <c r="I960" s="130"/>
    </row>
    <row r="961" spans="2:9">
      <c r="B961" s="129"/>
      <c r="C961" s="130"/>
      <c r="D961" s="130"/>
      <c r="E961" s="130"/>
      <c r="F961" s="130"/>
      <c r="G961" s="130"/>
      <c r="H961" s="130"/>
      <c r="I961" s="130"/>
    </row>
    <row r="962" spans="2:9">
      <c r="B962" s="129">
        <v>314</v>
      </c>
      <c r="C962" s="130" t="s">
        <v>5175</v>
      </c>
      <c r="D962" s="130" t="s">
        <v>5234</v>
      </c>
      <c r="E962" s="130" t="s">
        <v>5075</v>
      </c>
      <c r="F962" s="130" t="s">
        <v>5012</v>
      </c>
      <c r="G962" s="130">
        <v>0</v>
      </c>
      <c r="H962" s="130" t="s">
        <v>5037</v>
      </c>
      <c r="I962" s="130" t="s">
        <v>5013</v>
      </c>
    </row>
    <row r="963" spans="2:9">
      <c r="B963" s="129"/>
      <c r="C963" s="130"/>
      <c r="D963" s="130"/>
      <c r="E963" s="130"/>
      <c r="F963" s="130"/>
      <c r="G963" s="130"/>
      <c r="H963" s="130"/>
      <c r="I963" s="130"/>
    </row>
    <row r="964" spans="2:9">
      <c r="B964" s="129"/>
      <c r="C964" s="130"/>
      <c r="D964" s="130"/>
      <c r="E964" s="130"/>
      <c r="F964" s="130"/>
      <c r="G964" s="130"/>
      <c r="H964" s="130"/>
      <c r="I964" s="130"/>
    </row>
    <row r="965" spans="2:9">
      <c r="B965" s="129">
        <v>315</v>
      </c>
      <c r="C965" s="130" t="s">
        <v>5044</v>
      </c>
      <c r="D965" s="130" t="s">
        <v>5234</v>
      </c>
      <c r="E965" s="130" t="s">
        <v>5230</v>
      </c>
      <c r="F965" s="130" t="s">
        <v>5026</v>
      </c>
      <c r="G965" s="130">
        <v>500</v>
      </c>
      <c r="H965" s="130">
        <v>13000</v>
      </c>
      <c r="I965" s="130" t="s">
        <v>5013</v>
      </c>
    </row>
    <row r="966" spans="2:9">
      <c r="B966" s="129"/>
      <c r="C966" s="130"/>
      <c r="D966" s="130"/>
      <c r="E966" s="130"/>
      <c r="F966" s="130"/>
      <c r="G966" s="130"/>
      <c r="H966" s="130"/>
      <c r="I966" s="130"/>
    </row>
    <row r="967" spans="2:9">
      <c r="B967" s="129"/>
      <c r="C967" s="130"/>
      <c r="D967" s="130"/>
      <c r="E967" s="130"/>
      <c r="F967" s="130"/>
      <c r="G967" s="130"/>
      <c r="H967" s="130"/>
      <c r="I967" s="130"/>
    </row>
    <row r="968" spans="2:9">
      <c r="B968" s="129">
        <v>316</v>
      </c>
      <c r="C968" s="130" t="s">
        <v>5235</v>
      </c>
      <c r="D968" s="130" t="s">
        <v>5236</v>
      </c>
      <c r="E968" s="130" t="s">
        <v>5237</v>
      </c>
      <c r="F968" s="130" t="s">
        <v>5026</v>
      </c>
      <c r="G968" s="130">
        <v>1000</v>
      </c>
      <c r="H968" s="130" t="s">
        <v>5037</v>
      </c>
      <c r="I968" s="130" t="s">
        <v>5004</v>
      </c>
    </row>
    <row r="969" spans="2:9">
      <c r="B969" s="129"/>
      <c r="C969" s="130"/>
      <c r="D969" s="130"/>
      <c r="E969" s="130"/>
      <c r="F969" s="130"/>
      <c r="G969" s="130"/>
      <c r="H969" s="130"/>
      <c r="I969" s="130"/>
    </row>
    <row r="970" spans="2:9">
      <c r="B970" s="129"/>
      <c r="C970" s="130"/>
      <c r="D970" s="130"/>
      <c r="E970" s="130"/>
      <c r="F970" s="130"/>
      <c r="G970" s="130"/>
      <c r="H970" s="130"/>
      <c r="I970" s="130"/>
    </row>
    <row r="971" spans="2:9">
      <c r="B971" s="129">
        <v>317</v>
      </c>
      <c r="C971" s="130" t="s">
        <v>5238</v>
      </c>
      <c r="D971" s="130" t="s">
        <v>5239</v>
      </c>
      <c r="E971" s="130" t="s">
        <v>5240</v>
      </c>
      <c r="F971" s="130" t="s">
        <v>5085</v>
      </c>
      <c r="G971" s="130">
        <v>20000</v>
      </c>
      <c r="H971" s="130" t="s">
        <v>5037</v>
      </c>
      <c r="I971" s="130" t="s">
        <v>5004</v>
      </c>
    </row>
    <row r="972" spans="2:9">
      <c r="B972" s="129"/>
      <c r="C972" s="130"/>
      <c r="D972" s="130"/>
      <c r="E972" s="130"/>
      <c r="F972" s="130"/>
      <c r="G972" s="130"/>
      <c r="H972" s="130"/>
      <c r="I972" s="130"/>
    </row>
    <row r="973" spans="2:9">
      <c r="B973" s="129"/>
      <c r="C973" s="130"/>
      <c r="D973" s="130"/>
      <c r="E973" s="130"/>
      <c r="F973" s="130"/>
      <c r="G973" s="130"/>
      <c r="H973" s="130"/>
      <c r="I973" s="130"/>
    </row>
    <row r="974" spans="2:9">
      <c r="B974" s="129">
        <v>318</v>
      </c>
      <c r="C974" s="130" t="s">
        <v>5188</v>
      </c>
      <c r="D974" s="130" t="s">
        <v>5239</v>
      </c>
      <c r="E974" s="130" t="s">
        <v>5213</v>
      </c>
      <c r="F974" s="130" t="s">
        <v>5033</v>
      </c>
      <c r="G974" s="130">
        <v>100000</v>
      </c>
      <c r="H974" s="130" t="s">
        <v>5037</v>
      </c>
      <c r="I974" s="130" t="s">
        <v>5004</v>
      </c>
    </row>
    <row r="975" spans="2:9">
      <c r="B975" s="129"/>
      <c r="C975" s="130"/>
      <c r="D975" s="130"/>
      <c r="E975" s="130"/>
      <c r="F975" s="130"/>
      <c r="G975" s="130"/>
      <c r="H975" s="130"/>
      <c r="I975" s="130"/>
    </row>
    <row r="976" spans="2:9">
      <c r="B976" s="129"/>
      <c r="C976" s="130"/>
      <c r="D976" s="130"/>
      <c r="E976" s="130"/>
      <c r="F976" s="130"/>
      <c r="G976" s="130"/>
      <c r="H976" s="130"/>
      <c r="I976" s="130"/>
    </row>
    <row r="977" spans="2:9">
      <c r="B977" s="129">
        <v>319</v>
      </c>
      <c r="C977" s="130" t="s">
        <v>5188</v>
      </c>
      <c r="D977" s="130" t="s">
        <v>5239</v>
      </c>
      <c r="E977" s="130" t="s">
        <v>5213</v>
      </c>
      <c r="F977" s="130" t="s">
        <v>5026</v>
      </c>
      <c r="G977" s="130">
        <v>100000</v>
      </c>
      <c r="H977" s="130" t="s">
        <v>5037</v>
      </c>
      <c r="I977" s="130" t="s">
        <v>5004</v>
      </c>
    </row>
    <row r="978" spans="2:9">
      <c r="B978" s="129"/>
      <c r="C978" s="130"/>
      <c r="D978" s="130"/>
      <c r="E978" s="130"/>
      <c r="F978" s="130"/>
      <c r="G978" s="130"/>
      <c r="H978" s="130"/>
      <c r="I978" s="130"/>
    </row>
    <row r="979" spans="2:9">
      <c r="B979" s="129"/>
      <c r="C979" s="130"/>
      <c r="D979" s="130"/>
      <c r="E979" s="130"/>
      <c r="F979" s="130"/>
      <c r="G979" s="130"/>
      <c r="H979" s="130"/>
      <c r="I979" s="130"/>
    </row>
    <row r="980" spans="2:9">
      <c r="B980" s="129">
        <v>320</v>
      </c>
      <c r="C980" s="130" t="s">
        <v>5027</v>
      </c>
      <c r="D980" s="130" t="s">
        <v>5239</v>
      </c>
      <c r="E980" s="130" t="s">
        <v>5157</v>
      </c>
      <c r="F980" s="130" t="s">
        <v>5008</v>
      </c>
      <c r="G980" s="130">
        <v>1000</v>
      </c>
      <c r="H980" s="130" t="s">
        <v>5037</v>
      </c>
      <c r="I980" s="130" t="s">
        <v>5004</v>
      </c>
    </row>
    <row r="981" spans="2:9">
      <c r="B981" s="129"/>
      <c r="C981" s="130"/>
      <c r="D981" s="130"/>
      <c r="E981" s="130"/>
      <c r="F981" s="130"/>
      <c r="G981" s="130"/>
      <c r="H981" s="130"/>
      <c r="I981" s="130"/>
    </row>
    <row r="982" spans="2:9">
      <c r="B982" s="129"/>
      <c r="C982" s="130"/>
      <c r="D982" s="130"/>
      <c r="E982" s="130"/>
      <c r="F982" s="130"/>
      <c r="G982" s="130"/>
      <c r="H982" s="130"/>
      <c r="I982" s="130"/>
    </row>
    <row r="983" spans="2:9">
      <c r="B983" s="129">
        <v>321</v>
      </c>
      <c r="C983" s="130" t="s">
        <v>5125</v>
      </c>
      <c r="D983" s="130" t="s">
        <v>5239</v>
      </c>
      <c r="E983" s="130" t="s">
        <v>5179</v>
      </c>
      <c r="F983" s="130" t="s">
        <v>5033</v>
      </c>
      <c r="G983" s="130">
        <v>1000</v>
      </c>
      <c r="H983" s="130" t="s">
        <v>5037</v>
      </c>
      <c r="I983" s="130" t="s">
        <v>5013</v>
      </c>
    </row>
    <row r="984" spans="2:9">
      <c r="B984" s="129"/>
      <c r="C984" s="130"/>
      <c r="D984" s="130"/>
      <c r="E984" s="130"/>
      <c r="F984" s="130"/>
      <c r="G984" s="130"/>
      <c r="H984" s="130"/>
      <c r="I984" s="130"/>
    </row>
    <row r="985" spans="2:9">
      <c r="B985" s="129"/>
      <c r="C985" s="130"/>
      <c r="D985" s="130"/>
      <c r="E985" s="130"/>
      <c r="F985" s="130"/>
      <c r="G985" s="130"/>
      <c r="H985" s="130"/>
      <c r="I985" s="130"/>
    </row>
    <row r="986" spans="2:9">
      <c r="B986" s="129">
        <v>322</v>
      </c>
      <c r="C986" s="130" t="s">
        <v>5125</v>
      </c>
      <c r="D986" s="130" t="s">
        <v>5239</v>
      </c>
      <c r="E986" s="130" t="s">
        <v>5198</v>
      </c>
      <c r="F986" s="130" t="s">
        <v>5031</v>
      </c>
      <c r="G986" s="130">
        <v>1000</v>
      </c>
      <c r="H986" s="130">
        <v>100000</v>
      </c>
      <c r="I986" s="130" t="s">
        <v>5004</v>
      </c>
    </row>
    <row r="987" spans="2:9">
      <c r="B987" s="129"/>
      <c r="C987" s="130"/>
      <c r="D987" s="130"/>
      <c r="E987" s="130"/>
      <c r="F987" s="130"/>
      <c r="G987" s="130"/>
      <c r="H987" s="130"/>
      <c r="I987" s="130"/>
    </row>
    <row r="988" spans="2:9">
      <c r="B988" s="129"/>
      <c r="C988" s="130"/>
      <c r="D988" s="130"/>
      <c r="E988" s="130"/>
      <c r="F988" s="130"/>
      <c r="G988" s="130"/>
      <c r="H988" s="130"/>
      <c r="I988" s="130"/>
    </row>
    <row r="989" spans="2:9">
      <c r="B989" s="129">
        <v>323</v>
      </c>
      <c r="C989" s="130" t="s">
        <v>5102</v>
      </c>
      <c r="D989" s="130" t="s">
        <v>5239</v>
      </c>
      <c r="E989" s="130" t="s">
        <v>5132</v>
      </c>
      <c r="F989" s="130" t="s">
        <v>5031</v>
      </c>
      <c r="G989" s="130">
        <v>10000</v>
      </c>
      <c r="H989" s="130" t="s">
        <v>5037</v>
      </c>
      <c r="I989" s="130" t="s">
        <v>5004</v>
      </c>
    </row>
    <row r="990" spans="2:9">
      <c r="B990" s="129"/>
      <c r="C990" s="130"/>
      <c r="D990" s="130"/>
      <c r="E990" s="130"/>
      <c r="F990" s="130"/>
      <c r="G990" s="130"/>
      <c r="H990" s="130"/>
      <c r="I990" s="130"/>
    </row>
    <row r="991" spans="2:9">
      <c r="B991" s="129"/>
      <c r="C991" s="130"/>
      <c r="D991" s="130"/>
      <c r="E991" s="130"/>
      <c r="F991" s="130"/>
      <c r="G991" s="130"/>
      <c r="H991" s="130"/>
      <c r="I991" s="130"/>
    </row>
    <row r="992" spans="2:9">
      <c r="B992" s="129">
        <v>324</v>
      </c>
      <c r="C992" s="130" t="s">
        <v>5102</v>
      </c>
      <c r="D992" s="130" t="s">
        <v>5239</v>
      </c>
      <c r="E992" s="130" t="s">
        <v>5132</v>
      </c>
      <c r="F992" s="130" t="s">
        <v>5031</v>
      </c>
      <c r="G992" s="130">
        <v>1000</v>
      </c>
      <c r="H992" s="130" t="s">
        <v>5037</v>
      </c>
      <c r="I992" s="130" t="s">
        <v>5004</v>
      </c>
    </row>
    <row r="993" spans="2:9">
      <c r="B993" s="129"/>
      <c r="C993" s="130"/>
      <c r="D993" s="130"/>
      <c r="E993" s="130"/>
      <c r="F993" s="130"/>
      <c r="G993" s="130"/>
      <c r="H993" s="130"/>
      <c r="I993" s="130"/>
    </row>
    <row r="994" spans="2:9">
      <c r="B994" s="129"/>
      <c r="C994" s="130"/>
      <c r="D994" s="130"/>
      <c r="E994" s="130"/>
      <c r="F994" s="130"/>
      <c r="G994" s="130"/>
      <c r="H994" s="130"/>
      <c r="I994" s="130"/>
    </row>
    <row r="995" spans="2:9">
      <c r="B995" s="129">
        <v>325</v>
      </c>
      <c r="C995" s="130" t="s">
        <v>5098</v>
      </c>
      <c r="D995" s="130" t="s">
        <v>5239</v>
      </c>
      <c r="E995" s="130" t="s">
        <v>5132</v>
      </c>
      <c r="F995" s="130" t="s">
        <v>5003</v>
      </c>
      <c r="G995" s="130">
        <v>10000</v>
      </c>
      <c r="H995" s="130" t="s">
        <v>5037</v>
      </c>
      <c r="I995" s="130" t="s">
        <v>5004</v>
      </c>
    </row>
    <row r="996" spans="2:9">
      <c r="B996" s="129"/>
      <c r="C996" s="130"/>
      <c r="D996" s="130"/>
      <c r="E996" s="130"/>
      <c r="F996" s="130"/>
      <c r="G996" s="130"/>
      <c r="H996" s="130"/>
      <c r="I996" s="130"/>
    </row>
    <row r="997" spans="2:9">
      <c r="B997" s="129"/>
      <c r="C997" s="130"/>
      <c r="D997" s="130"/>
      <c r="E997" s="130"/>
      <c r="F997" s="130"/>
      <c r="G997" s="130"/>
      <c r="H997" s="130"/>
      <c r="I997" s="130"/>
    </row>
    <row r="998" spans="2:9">
      <c r="B998" s="129">
        <v>326</v>
      </c>
      <c r="C998" s="130" t="s">
        <v>5128</v>
      </c>
      <c r="D998" s="130" t="s">
        <v>5239</v>
      </c>
      <c r="E998" s="130" t="s">
        <v>5129</v>
      </c>
      <c r="F998" s="130" t="s">
        <v>5008</v>
      </c>
      <c r="G998" s="130">
        <v>1000</v>
      </c>
      <c r="H998" s="130" t="s">
        <v>5037</v>
      </c>
      <c r="I998" s="130" t="s">
        <v>5004</v>
      </c>
    </row>
    <row r="999" spans="2:9">
      <c r="B999" s="129"/>
      <c r="C999" s="130"/>
      <c r="D999" s="130"/>
      <c r="E999" s="130"/>
      <c r="F999" s="130"/>
      <c r="G999" s="130"/>
      <c r="H999" s="130"/>
      <c r="I999" s="130"/>
    </row>
    <row r="1000" spans="2:9">
      <c r="B1000" s="129"/>
      <c r="C1000" s="130"/>
      <c r="D1000" s="130"/>
      <c r="E1000" s="130"/>
      <c r="F1000" s="130"/>
      <c r="G1000" s="130"/>
      <c r="H1000" s="130"/>
      <c r="I1000" s="130"/>
    </row>
    <row r="1001" spans="2:9">
      <c r="B1001" s="129">
        <v>327</v>
      </c>
      <c r="C1001" s="130" t="s">
        <v>5128</v>
      </c>
      <c r="D1001" s="130" t="s">
        <v>5239</v>
      </c>
      <c r="E1001" s="130" t="s">
        <v>5127</v>
      </c>
      <c r="F1001" s="130" t="s">
        <v>5008</v>
      </c>
      <c r="G1001" s="130">
        <v>50000</v>
      </c>
      <c r="H1001" s="130">
        <v>99999</v>
      </c>
      <c r="I1001" s="130" t="s">
        <v>5013</v>
      </c>
    </row>
    <row r="1002" spans="2:9">
      <c r="B1002" s="129"/>
      <c r="C1002" s="130"/>
      <c r="D1002" s="130"/>
      <c r="E1002" s="130"/>
      <c r="F1002" s="130"/>
      <c r="G1002" s="130"/>
      <c r="H1002" s="130"/>
      <c r="I1002" s="130"/>
    </row>
    <row r="1003" spans="2:9">
      <c r="B1003" s="129"/>
      <c r="C1003" s="130"/>
      <c r="D1003" s="130"/>
      <c r="E1003" s="130"/>
      <c r="F1003" s="130"/>
      <c r="G1003" s="130"/>
      <c r="H1003" s="130"/>
      <c r="I1003" s="130"/>
    </row>
    <row r="1004" spans="2:9">
      <c r="B1004" s="129">
        <v>328</v>
      </c>
      <c r="C1004" s="130" t="s">
        <v>5208</v>
      </c>
      <c r="D1004" s="130" t="s">
        <v>5239</v>
      </c>
      <c r="E1004" s="130" t="s">
        <v>5241</v>
      </c>
      <c r="F1004" s="130" t="s">
        <v>5134</v>
      </c>
      <c r="G1004" s="130">
        <v>1000</v>
      </c>
      <c r="H1004" s="130">
        <v>19900</v>
      </c>
      <c r="I1004" s="130" t="s">
        <v>5013</v>
      </c>
    </row>
    <row r="1005" spans="2:9">
      <c r="B1005" s="129"/>
      <c r="C1005" s="130"/>
      <c r="D1005" s="130"/>
      <c r="E1005" s="130"/>
      <c r="F1005" s="130"/>
      <c r="G1005" s="130"/>
      <c r="H1005" s="130"/>
      <c r="I1005" s="130"/>
    </row>
    <row r="1006" spans="2:9">
      <c r="B1006" s="129"/>
      <c r="C1006" s="130"/>
      <c r="D1006" s="130"/>
      <c r="E1006" s="130"/>
      <c r="F1006" s="130"/>
      <c r="G1006" s="130"/>
      <c r="H1006" s="130"/>
      <c r="I1006" s="130"/>
    </row>
    <row r="1007" spans="2:9">
      <c r="B1007" s="129">
        <v>329</v>
      </c>
      <c r="C1007" s="130" t="s">
        <v>5208</v>
      </c>
      <c r="D1007" s="130" t="s">
        <v>5239</v>
      </c>
      <c r="E1007" s="130" t="s">
        <v>5242</v>
      </c>
      <c r="F1007" s="130" t="s">
        <v>5026</v>
      </c>
      <c r="G1007" s="130">
        <v>1000</v>
      </c>
      <c r="H1007" s="130" t="s">
        <v>5037</v>
      </c>
      <c r="I1007" s="130" t="s">
        <v>5004</v>
      </c>
    </row>
    <row r="1008" spans="2:9">
      <c r="B1008" s="129"/>
      <c r="C1008" s="130"/>
      <c r="D1008" s="130"/>
      <c r="E1008" s="130"/>
      <c r="F1008" s="130"/>
      <c r="G1008" s="130"/>
      <c r="H1008" s="130"/>
      <c r="I1008" s="130"/>
    </row>
    <row r="1009" spans="2:9">
      <c r="B1009" s="129"/>
      <c r="C1009" s="130"/>
      <c r="D1009" s="130"/>
      <c r="E1009" s="130"/>
      <c r="F1009" s="130"/>
      <c r="G1009" s="130"/>
      <c r="H1009" s="130"/>
      <c r="I1009" s="130"/>
    </row>
    <row r="1010" spans="2:9">
      <c r="B1010" s="129">
        <v>330</v>
      </c>
      <c r="C1010" s="130" t="s">
        <v>5005</v>
      </c>
      <c r="D1010" s="130" t="s">
        <v>5239</v>
      </c>
      <c r="E1010" s="130" t="s">
        <v>5243</v>
      </c>
      <c r="F1010" s="130" t="s">
        <v>5012</v>
      </c>
      <c r="G1010" s="130">
        <v>1000</v>
      </c>
      <c r="H1010" s="130" t="s">
        <v>5037</v>
      </c>
      <c r="I1010" s="130" t="s">
        <v>5013</v>
      </c>
    </row>
    <row r="1011" spans="2:9">
      <c r="B1011" s="129"/>
      <c r="C1011" s="130"/>
      <c r="D1011" s="130"/>
      <c r="E1011" s="130"/>
      <c r="F1011" s="130"/>
      <c r="G1011" s="130"/>
      <c r="H1011" s="130"/>
      <c r="I1011" s="130"/>
    </row>
    <row r="1012" spans="2:9">
      <c r="B1012" s="129"/>
      <c r="C1012" s="130"/>
      <c r="D1012" s="130"/>
      <c r="E1012" s="130"/>
      <c r="F1012" s="130"/>
      <c r="G1012" s="130"/>
      <c r="H1012" s="130"/>
      <c r="I1012" s="130"/>
    </row>
    <row r="1013" spans="2:9">
      <c r="B1013" s="129">
        <v>331</v>
      </c>
      <c r="C1013" s="130" t="s">
        <v>5034</v>
      </c>
      <c r="D1013" s="130" t="s">
        <v>5244</v>
      </c>
      <c r="E1013" s="130" t="s">
        <v>5064</v>
      </c>
      <c r="F1013" s="130" t="s">
        <v>5008</v>
      </c>
      <c r="G1013" s="130">
        <v>1000</v>
      </c>
      <c r="H1013" s="130">
        <v>19000</v>
      </c>
      <c r="I1013" s="130" t="s">
        <v>5013</v>
      </c>
    </row>
    <row r="1014" spans="2:9">
      <c r="B1014" s="129"/>
      <c r="C1014" s="130"/>
      <c r="D1014" s="130"/>
      <c r="E1014" s="130"/>
      <c r="F1014" s="130"/>
      <c r="G1014" s="130"/>
      <c r="H1014" s="130"/>
      <c r="I1014" s="130"/>
    </row>
    <row r="1015" spans="2:9">
      <c r="B1015" s="129"/>
      <c r="C1015" s="130"/>
      <c r="D1015" s="130"/>
      <c r="E1015" s="130"/>
      <c r="F1015" s="130"/>
      <c r="G1015" s="130"/>
      <c r="H1015" s="130"/>
      <c r="I1015" s="130"/>
    </row>
    <row r="1016" spans="2:9">
      <c r="B1016" s="129">
        <v>332</v>
      </c>
      <c r="C1016" s="130" t="s">
        <v>5034</v>
      </c>
      <c r="D1016" s="130" t="s">
        <v>5244</v>
      </c>
      <c r="E1016" s="130" t="s">
        <v>5065</v>
      </c>
      <c r="F1016" s="130" t="s">
        <v>5008</v>
      </c>
      <c r="G1016" s="130">
        <v>5000</v>
      </c>
      <c r="H1016" s="130">
        <v>19000</v>
      </c>
      <c r="I1016" s="130" t="s">
        <v>5013</v>
      </c>
    </row>
    <row r="1017" spans="2:9">
      <c r="B1017" s="129"/>
      <c r="C1017" s="130"/>
      <c r="D1017" s="130"/>
      <c r="E1017" s="130"/>
      <c r="F1017" s="130"/>
      <c r="G1017" s="130"/>
      <c r="H1017" s="130"/>
      <c r="I1017" s="130"/>
    </row>
    <row r="1018" spans="2:9">
      <c r="B1018" s="129"/>
      <c r="C1018" s="130"/>
      <c r="D1018" s="130"/>
      <c r="E1018" s="130"/>
      <c r="F1018" s="130"/>
      <c r="G1018" s="130"/>
      <c r="H1018" s="130"/>
      <c r="I1018" s="130"/>
    </row>
    <row r="1019" spans="2:9">
      <c r="B1019" s="129">
        <v>333</v>
      </c>
      <c r="C1019" s="130" t="s">
        <v>5175</v>
      </c>
      <c r="D1019" s="130" t="s">
        <v>5245</v>
      </c>
      <c r="E1019" s="130" t="s">
        <v>5133</v>
      </c>
      <c r="F1019" s="130" t="s">
        <v>5111</v>
      </c>
      <c r="G1019" s="130">
        <v>1000</v>
      </c>
      <c r="H1019" s="130" t="s">
        <v>5037</v>
      </c>
      <c r="I1019" s="130" t="s">
        <v>5004</v>
      </c>
    </row>
    <row r="1020" spans="2:9">
      <c r="B1020" s="129"/>
      <c r="C1020" s="130"/>
      <c r="D1020" s="130"/>
      <c r="E1020" s="130"/>
      <c r="F1020" s="130"/>
      <c r="G1020" s="130"/>
      <c r="H1020" s="130"/>
      <c r="I1020" s="130"/>
    </row>
    <row r="1021" spans="2:9">
      <c r="B1021" s="129"/>
      <c r="C1021" s="130"/>
      <c r="D1021" s="130"/>
      <c r="E1021" s="130"/>
      <c r="F1021" s="130"/>
      <c r="G1021" s="130"/>
      <c r="H1021" s="130"/>
      <c r="I1021" s="130"/>
    </row>
    <row r="1022" spans="2:9">
      <c r="B1022" s="129">
        <v>334</v>
      </c>
      <c r="C1022" s="130" t="s">
        <v>5218</v>
      </c>
      <c r="D1022" s="130" t="s">
        <v>5245</v>
      </c>
      <c r="E1022" s="130" t="s">
        <v>5246</v>
      </c>
      <c r="F1022" s="130" t="s">
        <v>5031</v>
      </c>
      <c r="G1022" s="130">
        <v>100000</v>
      </c>
      <c r="H1022" s="130" t="s">
        <v>5037</v>
      </c>
      <c r="I1022" s="130" t="s">
        <v>5004</v>
      </c>
    </row>
    <row r="1023" spans="2:9">
      <c r="B1023" s="129"/>
      <c r="C1023" s="130"/>
      <c r="D1023" s="130"/>
      <c r="E1023" s="130"/>
      <c r="F1023" s="130"/>
      <c r="G1023" s="130"/>
      <c r="H1023" s="130"/>
      <c r="I1023" s="130"/>
    </row>
    <row r="1024" spans="2:9">
      <c r="B1024" s="129"/>
      <c r="C1024" s="130"/>
      <c r="D1024" s="130"/>
      <c r="E1024" s="130"/>
      <c r="F1024" s="130"/>
      <c r="G1024" s="130"/>
      <c r="H1024" s="130"/>
      <c r="I1024" s="130"/>
    </row>
    <row r="1025" spans="2:9">
      <c r="B1025" s="129">
        <v>335</v>
      </c>
      <c r="C1025" s="130" t="s">
        <v>5218</v>
      </c>
      <c r="D1025" s="130" t="s">
        <v>5245</v>
      </c>
      <c r="E1025" s="130" t="s">
        <v>5219</v>
      </c>
      <c r="F1025" s="130" t="s">
        <v>5026</v>
      </c>
      <c r="G1025" s="130">
        <v>50000</v>
      </c>
      <c r="H1025" s="130" t="s">
        <v>5037</v>
      </c>
      <c r="I1025" s="130" t="s">
        <v>5004</v>
      </c>
    </row>
    <row r="1026" spans="2:9">
      <c r="B1026" s="129"/>
      <c r="C1026" s="130"/>
      <c r="D1026" s="130"/>
      <c r="E1026" s="130"/>
      <c r="F1026" s="130"/>
      <c r="G1026" s="130"/>
      <c r="H1026" s="130"/>
      <c r="I1026" s="130"/>
    </row>
    <row r="1027" spans="2:9">
      <c r="B1027" s="129"/>
      <c r="C1027" s="130"/>
      <c r="D1027" s="130"/>
      <c r="E1027" s="130"/>
      <c r="F1027" s="130"/>
      <c r="G1027" s="130"/>
      <c r="H1027" s="130"/>
      <c r="I1027" s="130"/>
    </row>
    <row r="1028" spans="2:9">
      <c r="B1028" s="129">
        <v>336</v>
      </c>
      <c r="C1028" s="130" t="s">
        <v>5218</v>
      </c>
      <c r="D1028" s="130" t="s">
        <v>5245</v>
      </c>
      <c r="E1028" s="130" t="s">
        <v>5219</v>
      </c>
      <c r="F1028" s="130" t="s">
        <v>5043</v>
      </c>
      <c r="G1028" s="130">
        <v>20000</v>
      </c>
      <c r="H1028" s="130">
        <v>50000</v>
      </c>
      <c r="I1028" s="130" t="s">
        <v>5004</v>
      </c>
    </row>
    <row r="1029" spans="2:9">
      <c r="B1029" s="129"/>
      <c r="C1029" s="130"/>
      <c r="D1029" s="130"/>
      <c r="E1029" s="130"/>
      <c r="F1029" s="130"/>
      <c r="G1029" s="130"/>
      <c r="H1029" s="130"/>
      <c r="I1029" s="130"/>
    </row>
    <row r="1030" spans="2:9">
      <c r="B1030" s="129"/>
      <c r="C1030" s="130"/>
      <c r="D1030" s="130"/>
      <c r="E1030" s="130"/>
      <c r="F1030" s="130"/>
      <c r="G1030" s="130"/>
      <c r="H1030" s="130"/>
      <c r="I1030" s="130"/>
    </row>
    <row r="1031" spans="2:9">
      <c r="B1031" s="129">
        <v>337</v>
      </c>
      <c r="C1031" s="130" t="s">
        <v>5188</v>
      </c>
      <c r="D1031" s="130" t="s">
        <v>5245</v>
      </c>
      <c r="E1031" s="130" t="s">
        <v>5213</v>
      </c>
      <c r="F1031" s="130" t="s">
        <v>5033</v>
      </c>
      <c r="G1031" s="130">
        <v>30000</v>
      </c>
      <c r="H1031" s="130">
        <v>100000</v>
      </c>
      <c r="I1031" s="130" t="s">
        <v>5004</v>
      </c>
    </row>
    <row r="1032" spans="2:9">
      <c r="B1032" s="129"/>
      <c r="C1032" s="130"/>
      <c r="D1032" s="130"/>
      <c r="E1032" s="130"/>
      <c r="F1032" s="130"/>
      <c r="G1032" s="130"/>
      <c r="H1032" s="130"/>
      <c r="I1032" s="130"/>
    </row>
    <row r="1033" spans="2:9">
      <c r="B1033" s="129"/>
      <c r="C1033" s="130"/>
      <c r="D1033" s="130"/>
      <c r="E1033" s="130"/>
      <c r="F1033" s="130"/>
      <c r="G1033" s="130"/>
      <c r="H1033" s="130"/>
      <c r="I1033" s="130"/>
    </row>
    <row r="1034" spans="2:9">
      <c r="B1034" s="129">
        <v>338</v>
      </c>
      <c r="C1034" s="130" t="s">
        <v>5071</v>
      </c>
      <c r="D1034" s="130" t="s">
        <v>5245</v>
      </c>
      <c r="E1034" s="130" t="s">
        <v>5247</v>
      </c>
      <c r="F1034" s="130" t="s">
        <v>5033</v>
      </c>
      <c r="G1034" s="130">
        <v>1000</v>
      </c>
      <c r="H1034" s="130" t="s">
        <v>5037</v>
      </c>
      <c r="I1034" s="130" t="s">
        <v>5004</v>
      </c>
    </row>
    <row r="1035" spans="2:9">
      <c r="B1035" s="129"/>
      <c r="C1035" s="130"/>
      <c r="D1035" s="130"/>
      <c r="E1035" s="130"/>
      <c r="F1035" s="130"/>
      <c r="G1035" s="130"/>
      <c r="H1035" s="130"/>
      <c r="I1035" s="130"/>
    </row>
    <row r="1036" spans="2:9">
      <c r="B1036" s="129"/>
      <c r="C1036" s="130"/>
      <c r="D1036" s="130"/>
      <c r="E1036" s="130"/>
      <c r="F1036" s="130"/>
      <c r="G1036" s="130"/>
      <c r="H1036" s="130"/>
      <c r="I1036" s="130"/>
    </row>
    <row r="1037" spans="2:9">
      <c r="B1037" s="129">
        <v>339</v>
      </c>
      <c r="C1037" s="130" t="s">
        <v>5098</v>
      </c>
      <c r="D1037" s="130" t="s">
        <v>5245</v>
      </c>
      <c r="E1037" s="130" t="s">
        <v>5132</v>
      </c>
      <c r="F1037" s="130" t="s">
        <v>5003</v>
      </c>
      <c r="G1037" s="130">
        <v>200</v>
      </c>
      <c r="H1037" s="130">
        <v>9999</v>
      </c>
      <c r="I1037" s="130" t="s">
        <v>5004</v>
      </c>
    </row>
    <row r="1038" spans="2:9">
      <c r="B1038" s="129"/>
      <c r="C1038" s="130"/>
      <c r="D1038" s="130"/>
      <c r="E1038" s="130"/>
      <c r="F1038" s="130"/>
      <c r="G1038" s="130"/>
      <c r="H1038" s="130"/>
      <c r="I1038" s="130"/>
    </row>
    <row r="1039" spans="2:9">
      <c r="B1039" s="129"/>
      <c r="C1039" s="130"/>
      <c r="D1039" s="130"/>
      <c r="E1039" s="130"/>
      <c r="F1039" s="130"/>
      <c r="G1039" s="130"/>
      <c r="H1039" s="130"/>
      <c r="I1039" s="130"/>
    </row>
    <row r="1040" spans="2:9">
      <c r="B1040" s="129">
        <v>340</v>
      </c>
      <c r="C1040" s="130" t="s">
        <v>5076</v>
      </c>
      <c r="D1040" s="130" t="s">
        <v>5245</v>
      </c>
      <c r="E1040" s="130" t="s">
        <v>5130</v>
      </c>
      <c r="F1040" s="130" t="s">
        <v>5026</v>
      </c>
      <c r="G1040" s="130">
        <v>20000</v>
      </c>
      <c r="H1040" s="130">
        <v>49999</v>
      </c>
      <c r="I1040" s="130" t="s">
        <v>5004</v>
      </c>
    </row>
    <row r="1041" spans="2:9">
      <c r="B1041" s="129"/>
      <c r="C1041" s="130"/>
      <c r="D1041" s="130"/>
      <c r="E1041" s="130"/>
      <c r="F1041" s="130"/>
      <c r="G1041" s="130"/>
      <c r="H1041" s="130"/>
      <c r="I1041" s="130"/>
    </row>
    <row r="1042" spans="2:9">
      <c r="B1042" s="129"/>
      <c r="C1042" s="130"/>
      <c r="D1042" s="130"/>
      <c r="E1042" s="130"/>
      <c r="F1042" s="130"/>
      <c r="G1042" s="130"/>
      <c r="H1042" s="130"/>
      <c r="I1042" s="130"/>
    </row>
    <row r="1043" spans="2:9">
      <c r="B1043" s="129">
        <v>341</v>
      </c>
      <c r="C1043" s="130" t="s">
        <v>5005</v>
      </c>
      <c r="D1043" s="130" t="s">
        <v>5245</v>
      </c>
      <c r="E1043" s="130" t="s">
        <v>5146</v>
      </c>
      <c r="F1043" s="130" t="s">
        <v>5008</v>
      </c>
      <c r="G1043" s="130">
        <v>3000</v>
      </c>
      <c r="H1043" s="130" t="s">
        <v>5037</v>
      </c>
      <c r="I1043" s="130" t="s">
        <v>5004</v>
      </c>
    </row>
    <row r="1044" spans="2:9">
      <c r="B1044" s="129"/>
      <c r="C1044" s="130"/>
      <c r="D1044" s="130"/>
      <c r="E1044" s="130"/>
      <c r="F1044" s="130"/>
      <c r="G1044" s="130"/>
      <c r="H1044" s="130"/>
      <c r="I1044" s="130"/>
    </row>
    <row r="1045" spans="2:9">
      <c r="B1045" s="129"/>
      <c r="C1045" s="130"/>
      <c r="D1045" s="130"/>
      <c r="E1045" s="130"/>
      <c r="F1045" s="130"/>
      <c r="G1045" s="130"/>
      <c r="H1045" s="130"/>
      <c r="I1045" s="130"/>
    </row>
    <row r="1046" spans="2:9">
      <c r="B1046" s="129">
        <v>342</v>
      </c>
      <c r="C1046" s="130" t="s">
        <v>5095</v>
      </c>
      <c r="D1046" s="130" t="s">
        <v>5245</v>
      </c>
      <c r="E1046" s="130" t="s">
        <v>5248</v>
      </c>
      <c r="F1046" s="130" t="s">
        <v>5026</v>
      </c>
      <c r="G1046" s="130">
        <v>50000</v>
      </c>
      <c r="H1046" s="130" t="s">
        <v>5037</v>
      </c>
      <c r="I1046" s="130" t="s">
        <v>5004</v>
      </c>
    </row>
    <row r="1047" spans="2:9">
      <c r="B1047" s="129"/>
      <c r="C1047" s="130"/>
      <c r="D1047" s="130"/>
      <c r="E1047" s="130"/>
      <c r="F1047" s="130"/>
      <c r="G1047" s="130"/>
      <c r="H1047" s="130"/>
      <c r="I1047" s="130"/>
    </row>
    <row r="1048" spans="2:9">
      <c r="B1048" s="129"/>
      <c r="C1048" s="130"/>
      <c r="D1048" s="130"/>
      <c r="E1048" s="130"/>
      <c r="F1048" s="130"/>
      <c r="G1048" s="130"/>
      <c r="H1048" s="130"/>
      <c r="I1048" s="130"/>
    </row>
    <row r="1049" spans="2:9">
      <c r="B1049" s="129">
        <v>343</v>
      </c>
      <c r="C1049" s="130" t="s">
        <v>5044</v>
      </c>
      <c r="D1049" s="130" t="s">
        <v>5245</v>
      </c>
      <c r="E1049" s="130" t="s">
        <v>5230</v>
      </c>
      <c r="F1049" s="130" t="s">
        <v>5033</v>
      </c>
      <c r="G1049" s="130">
        <v>500</v>
      </c>
      <c r="H1049" s="130">
        <v>13000</v>
      </c>
      <c r="I1049" s="130" t="s">
        <v>5013</v>
      </c>
    </row>
    <row r="1050" spans="2:9">
      <c r="B1050" s="129"/>
      <c r="C1050" s="130"/>
      <c r="D1050" s="130"/>
      <c r="E1050" s="130"/>
      <c r="F1050" s="130"/>
      <c r="G1050" s="130"/>
      <c r="H1050" s="130"/>
      <c r="I1050" s="130"/>
    </row>
    <row r="1051" spans="2:9">
      <c r="B1051" s="129"/>
      <c r="C1051" s="130"/>
      <c r="D1051" s="130"/>
      <c r="E1051" s="130"/>
      <c r="F1051" s="130"/>
      <c r="G1051" s="130"/>
      <c r="H1051" s="130"/>
      <c r="I1051" s="130"/>
    </row>
    <row r="1052" spans="2:9">
      <c r="B1052" s="129">
        <v>344</v>
      </c>
      <c r="C1052" s="130" t="s">
        <v>5017</v>
      </c>
      <c r="D1052" s="130" t="s">
        <v>5245</v>
      </c>
      <c r="E1052" s="130" t="s">
        <v>5133</v>
      </c>
      <c r="F1052" s="130" t="s">
        <v>5008</v>
      </c>
      <c r="G1052" s="130">
        <v>500</v>
      </c>
      <c r="H1052" s="130">
        <v>99999</v>
      </c>
      <c r="I1052" s="130" t="s">
        <v>5004</v>
      </c>
    </row>
    <row r="1053" spans="2:9">
      <c r="B1053" s="129"/>
      <c r="C1053" s="130"/>
      <c r="D1053" s="130"/>
      <c r="E1053" s="130"/>
      <c r="F1053" s="130"/>
      <c r="G1053" s="130"/>
      <c r="H1053" s="130"/>
      <c r="I1053" s="130"/>
    </row>
    <row r="1054" spans="2:9">
      <c r="B1054" s="129"/>
      <c r="C1054" s="130"/>
      <c r="D1054" s="130"/>
      <c r="E1054" s="130"/>
      <c r="F1054" s="130"/>
      <c r="G1054" s="130"/>
      <c r="H1054" s="130"/>
      <c r="I1054" s="130"/>
    </row>
    <row r="1055" spans="2:9">
      <c r="B1055" s="129">
        <v>345</v>
      </c>
      <c r="C1055" s="130" t="s">
        <v>5056</v>
      </c>
      <c r="D1055" s="130" t="s">
        <v>5245</v>
      </c>
      <c r="E1055" s="130" t="s">
        <v>5249</v>
      </c>
      <c r="F1055" s="130" t="s">
        <v>5196</v>
      </c>
      <c r="G1055" s="130">
        <v>5000</v>
      </c>
      <c r="H1055" s="130" t="s">
        <v>5037</v>
      </c>
      <c r="I1055" s="130" t="s">
        <v>5004</v>
      </c>
    </row>
    <row r="1056" spans="2:9">
      <c r="B1056" s="129"/>
      <c r="C1056" s="130"/>
      <c r="D1056" s="130"/>
      <c r="E1056" s="130"/>
      <c r="F1056" s="130"/>
      <c r="G1056" s="130"/>
      <c r="H1056" s="130"/>
      <c r="I1056" s="130"/>
    </row>
    <row r="1057" spans="2:9">
      <c r="B1057" s="129"/>
      <c r="C1057" s="130"/>
      <c r="D1057" s="130"/>
      <c r="E1057" s="130"/>
      <c r="F1057" s="130"/>
      <c r="G1057" s="130"/>
      <c r="H1057" s="130"/>
      <c r="I1057" s="130"/>
    </row>
    <row r="1058" spans="2:9">
      <c r="B1058" s="129">
        <v>346</v>
      </c>
      <c r="C1058" s="130" t="s">
        <v>5238</v>
      </c>
      <c r="D1058" s="130" t="s">
        <v>5250</v>
      </c>
      <c r="E1058" s="130" t="s">
        <v>5240</v>
      </c>
      <c r="F1058" s="130" t="s">
        <v>5043</v>
      </c>
      <c r="G1058" s="130">
        <v>20000</v>
      </c>
      <c r="H1058" s="130" t="s">
        <v>5037</v>
      </c>
      <c r="I1058" s="130" t="s">
        <v>5004</v>
      </c>
    </row>
    <row r="1059" spans="2:9">
      <c r="B1059" s="129"/>
      <c r="C1059" s="130"/>
      <c r="D1059" s="130"/>
      <c r="E1059" s="130"/>
      <c r="F1059" s="130"/>
      <c r="G1059" s="130"/>
      <c r="H1059" s="130"/>
      <c r="I1059" s="130"/>
    </row>
    <row r="1060" spans="2:9">
      <c r="B1060" s="129"/>
      <c r="C1060" s="130"/>
      <c r="D1060" s="130"/>
      <c r="E1060" s="130"/>
      <c r="F1060" s="130"/>
      <c r="G1060" s="130"/>
      <c r="H1060" s="130"/>
      <c r="I1060" s="130"/>
    </row>
    <row r="1061" spans="2:9">
      <c r="B1061" s="129">
        <v>347</v>
      </c>
      <c r="C1061" s="130" t="s">
        <v>5125</v>
      </c>
      <c r="D1061" s="130" t="s">
        <v>5250</v>
      </c>
      <c r="E1061" s="130" t="s">
        <v>5127</v>
      </c>
      <c r="F1061" s="130" t="s">
        <v>5026</v>
      </c>
      <c r="G1061" s="130">
        <v>1000</v>
      </c>
      <c r="H1061" s="130" t="s">
        <v>5037</v>
      </c>
      <c r="I1061" s="130" t="s">
        <v>5004</v>
      </c>
    </row>
    <row r="1062" spans="2:9">
      <c r="B1062" s="129"/>
      <c r="C1062" s="130"/>
      <c r="D1062" s="130"/>
      <c r="E1062" s="130"/>
      <c r="F1062" s="130"/>
      <c r="G1062" s="130"/>
      <c r="H1062" s="130"/>
      <c r="I1062" s="130"/>
    </row>
    <row r="1063" spans="2:9">
      <c r="B1063" s="129"/>
      <c r="C1063" s="130"/>
      <c r="D1063" s="130"/>
      <c r="E1063" s="130"/>
      <c r="F1063" s="130"/>
      <c r="G1063" s="130"/>
      <c r="H1063" s="130"/>
      <c r="I1063" s="130"/>
    </row>
    <row r="1064" spans="2:9">
      <c r="B1064" s="129">
        <v>348</v>
      </c>
      <c r="C1064" s="130" t="s">
        <v>5235</v>
      </c>
      <c r="D1064" s="130" t="s">
        <v>5250</v>
      </c>
      <c r="E1064" s="130" t="s">
        <v>5251</v>
      </c>
      <c r="F1064" s="130" t="s">
        <v>5026</v>
      </c>
      <c r="G1064" s="130">
        <v>20000</v>
      </c>
      <c r="H1064" s="130" t="s">
        <v>5037</v>
      </c>
      <c r="I1064" s="130" t="s">
        <v>5004</v>
      </c>
    </row>
    <row r="1065" spans="2:9">
      <c r="B1065" s="129"/>
      <c r="C1065" s="130"/>
      <c r="D1065" s="130"/>
      <c r="E1065" s="130"/>
      <c r="F1065" s="130"/>
      <c r="G1065" s="130"/>
      <c r="H1065" s="130"/>
      <c r="I1065" s="130"/>
    </row>
    <row r="1066" spans="2:9">
      <c r="B1066" s="129"/>
      <c r="C1066" s="130"/>
      <c r="D1066" s="130"/>
      <c r="E1066" s="130"/>
      <c r="F1066" s="130"/>
      <c r="G1066" s="130"/>
      <c r="H1066" s="130"/>
      <c r="I1066" s="130"/>
    </row>
    <row r="1067" spans="2:9">
      <c r="B1067" s="129">
        <v>349</v>
      </c>
      <c r="C1067" s="130" t="s">
        <v>5235</v>
      </c>
      <c r="D1067" s="130" t="s">
        <v>5250</v>
      </c>
      <c r="E1067" s="130" t="s">
        <v>5252</v>
      </c>
      <c r="F1067" s="130" t="s">
        <v>5026</v>
      </c>
      <c r="G1067" s="130">
        <v>1000</v>
      </c>
      <c r="H1067" s="130" t="s">
        <v>5037</v>
      </c>
      <c r="I1067" s="130" t="s">
        <v>5004</v>
      </c>
    </row>
    <row r="1068" spans="2:9">
      <c r="B1068" s="129"/>
      <c r="C1068" s="130"/>
      <c r="D1068" s="130"/>
      <c r="E1068" s="130"/>
      <c r="F1068" s="130"/>
      <c r="G1068" s="130"/>
      <c r="H1068" s="130"/>
      <c r="I1068" s="130"/>
    </row>
    <row r="1069" spans="2:9">
      <c r="B1069" s="129"/>
      <c r="C1069" s="130"/>
      <c r="D1069" s="130"/>
      <c r="E1069" s="130"/>
      <c r="F1069" s="130"/>
      <c r="G1069" s="130"/>
      <c r="H1069" s="130"/>
      <c r="I1069" s="130"/>
    </row>
    <row r="1070" spans="2:9">
      <c r="B1070" s="129">
        <v>350</v>
      </c>
      <c r="C1070" s="130" t="s">
        <v>5102</v>
      </c>
      <c r="D1070" s="130" t="s">
        <v>5250</v>
      </c>
      <c r="E1070" s="130" t="s">
        <v>5132</v>
      </c>
      <c r="F1070" s="130" t="s">
        <v>5033</v>
      </c>
      <c r="G1070" s="130">
        <v>10000</v>
      </c>
      <c r="H1070" s="130" t="s">
        <v>5037</v>
      </c>
      <c r="I1070" s="130" t="s">
        <v>5004</v>
      </c>
    </row>
    <row r="1071" spans="2:9">
      <c r="B1071" s="129"/>
      <c r="C1071" s="130"/>
      <c r="D1071" s="130"/>
      <c r="E1071" s="130"/>
      <c r="F1071" s="130"/>
      <c r="G1071" s="130"/>
      <c r="H1071" s="130"/>
      <c r="I1071" s="130"/>
    </row>
    <row r="1072" spans="2:9">
      <c r="B1072" s="129"/>
      <c r="C1072" s="130"/>
      <c r="D1072" s="130"/>
      <c r="E1072" s="130"/>
      <c r="F1072" s="130"/>
      <c r="G1072" s="130"/>
      <c r="H1072" s="130"/>
      <c r="I1072" s="130"/>
    </row>
    <row r="1073" spans="2:9">
      <c r="B1073" s="129">
        <v>351</v>
      </c>
      <c r="C1073" s="130" t="s">
        <v>5102</v>
      </c>
      <c r="D1073" s="130" t="s">
        <v>5250</v>
      </c>
      <c r="E1073" s="130" t="s">
        <v>5132</v>
      </c>
      <c r="F1073" s="130" t="s">
        <v>5033</v>
      </c>
      <c r="G1073" s="130">
        <v>1000</v>
      </c>
      <c r="H1073" s="130" t="s">
        <v>5037</v>
      </c>
      <c r="I1073" s="130" t="s">
        <v>5004</v>
      </c>
    </row>
    <row r="1074" spans="2:9">
      <c r="B1074" s="129"/>
      <c r="C1074" s="130"/>
      <c r="D1074" s="130"/>
      <c r="E1074" s="130"/>
      <c r="F1074" s="130"/>
      <c r="G1074" s="130"/>
      <c r="H1074" s="130"/>
      <c r="I1074" s="130"/>
    </row>
    <row r="1075" spans="2:9">
      <c r="B1075" s="129"/>
      <c r="C1075" s="130"/>
      <c r="D1075" s="130"/>
      <c r="E1075" s="130"/>
      <c r="F1075" s="130"/>
      <c r="G1075" s="130"/>
      <c r="H1075" s="130"/>
      <c r="I1075" s="130"/>
    </row>
    <row r="1076" spans="2:9">
      <c r="B1076" s="129">
        <v>352</v>
      </c>
      <c r="C1076" s="130" t="s">
        <v>5102</v>
      </c>
      <c r="D1076" s="130" t="s">
        <v>5250</v>
      </c>
      <c r="E1076" s="130" t="s">
        <v>5132</v>
      </c>
      <c r="F1076" s="130" t="s">
        <v>5026</v>
      </c>
      <c r="G1076" s="130">
        <v>1000</v>
      </c>
      <c r="H1076" s="130">
        <v>10000</v>
      </c>
      <c r="I1076" s="130" t="s">
        <v>5004</v>
      </c>
    </row>
    <row r="1077" spans="2:9">
      <c r="B1077" s="129"/>
      <c r="C1077" s="130"/>
      <c r="D1077" s="130"/>
      <c r="E1077" s="130"/>
      <c r="F1077" s="130"/>
      <c r="G1077" s="130"/>
      <c r="H1077" s="130"/>
      <c r="I1077" s="130"/>
    </row>
    <row r="1078" spans="2:9">
      <c r="B1078" s="129"/>
      <c r="C1078" s="130"/>
      <c r="D1078" s="130"/>
      <c r="E1078" s="130"/>
      <c r="F1078" s="130"/>
      <c r="G1078" s="130"/>
      <c r="H1078" s="130"/>
      <c r="I1078" s="130"/>
    </row>
    <row r="1079" spans="2:9">
      <c r="B1079" s="129">
        <v>353</v>
      </c>
      <c r="C1079" s="130" t="s">
        <v>5102</v>
      </c>
      <c r="D1079" s="130" t="s">
        <v>5250</v>
      </c>
      <c r="E1079" s="130" t="s">
        <v>5132</v>
      </c>
      <c r="F1079" s="130" t="s">
        <v>5043</v>
      </c>
      <c r="G1079" s="130">
        <v>1000</v>
      </c>
      <c r="H1079" s="130">
        <v>10000</v>
      </c>
      <c r="I1079" s="130" t="s">
        <v>5004</v>
      </c>
    </row>
    <row r="1080" spans="2:9">
      <c r="B1080" s="129"/>
      <c r="C1080" s="130"/>
      <c r="D1080" s="130"/>
      <c r="E1080" s="130"/>
      <c r="F1080" s="130"/>
      <c r="G1080" s="130"/>
      <c r="H1080" s="130"/>
      <c r="I1080" s="130"/>
    </row>
    <row r="1081" spans="2:9">
      <c r="B1081" s="129"/>
      <c r="C1081" s="130"/>
      <c r="D1081" s="130"/>
      <c r="E1081" s="130"/>
      <c r="F1081" s="130"/>
      <c r="G1081" s="130"/>
      <c r="H1081" s="130"/>
      <c r="I1081" s="130"/>
    </row>
    <row r="1082" spans="2:9">
      <c r="B1082" s="129">
        <v>354</v>
      </c>
      <c r="C1082" s="130" t="s">
        <v>5102</v>
      </c>
      <c r="D1082" s="130" t="s">
        <v>5250</v>
      </c>
      <c r="E1082" s="130" t="s">
        <v>5132</v>
      </c>
      <c r="F1082" s="130" t="s">
        <v>5085</v>
      </c>
      <c r="G1082" s="130">
        <v>1000</v>
      </c>
      <c r="H1082" s="130">
        <v>10000</v>
      </c>
      <c r="I1082" s="130" t="s">
        <v>5004</v>
      </c>
    </row>
    <row r="1083" spans="2:9">
      <c r="B1083" s="129"/>
      <c r="C1083" s="130"/>
      <c r="D1083" s="130"/>
      <c r="E1083" s="130"/>
      <c r="F1083" s="130"/>
      <c r="G1083" s="130"/>
      <c r="H1083" s="130"/>
      <c r="I1083" s="130"/>
    </row>
    <row r="1084" spans="2:9">
      <c r="B1084" s="129"/>
      <c r="C1084" s="130"/>
      <c r="D1084" s="130"/>
      <c r="E1084" s="130"/>
      <c r="F1084" s="130"/>
      <c r="G1084" s="130"/>
      <c r="H1084" s="130"/>
      <c r="I1084" s="130"/>
    </row>
    <row r="1085" spans="2:9">
      <c r="B1085" s="129">
        <v>355</v>
      </c>
      <c r="C1085" s="130" t="s">
        <v>5112</v>
      </c>
      <c r="D1085" s="130" t="s">
        <v>5250</v>
      </c>
      <c r="E1085" s="130" t="s">
        <v>5114</v>
      </c>
      <c r="F1085" s="130" t="s">
        <v>5008</v>
      </c>
      <c r="G1085" s="130">
        <v>1000</v>
      </c>
      <c r="H1085" s="130">
        <v>20000</v>
      </c>
      <c r="I1085" s="130" t="s">
        <v>5013</v>
      </c>
    </row>
    <row r="1086" spans="2:9">
      <c r="B1086" s="129"/>
      <c r="C1086" s="130"/>
      <c r="D1086" s="130"/>
      <c r="E1086" s="130"/>
      <c r="F1086" s="130"/>
      <c r="G1086" s="130"/>
      <c r="H1086" s="130"/>
      <c r="I1086" s="130"/>
    </row>
    <row r="1087" spans="2:9">
      <c r="B1087" s="129"/>
      <c r="C1087" s="130"/>
      <c r="D1087" s="130"/>
      <c r="E1087" s="130"/>
      <c r="F1087" s="130"/>
      <c r="G1087" s="130"/>
      <c r="H1087" s="130"/>
      <c r="I1087" s="130"/>
    </row>
    <row r="1088" spans="2:9">
      <c r="B1088" s="129">
        <v>356</v>
      </c>
      <c r="C1088" s="130" t="s">
        <v>5128</v>
      </c>
      <c r="D1088" s="130" t="s">
        <v>5250</v>
      </c>
      <c r="E1088" s="130" t="s">
        <v>5127</v>
      </c>
      <c r="F1088" s="130" t="s">
        <v>5026</v>
      </c>
      <c r="G1088" s="130">
        <v>10000</v>
      </c>
      <c r="H1088" s="130">
        <v>49999</v>
      </c>
      <c r="I1088" s="130" t="s">
        <v>5013</v>
      </c>
    </row>
    <row r="1089" spans="2:9">
      <c r="B1089" s="129"/>
      <c r="C1089" s="130"/>
      <c r="D1089" s="130"/>
      <c r="E1089" s="130"/>
      <c r="F1089" s="130"/>
      <c r="G1089" s="130"/>
      <c r="H1089" s="130"/>
      <c r="I1089" s="130"/>
    </row>
    <row r="1090" spans="2:9">
      <c r="B1090" s="129"/>
      <c r="C1090" s="130"/>
      <c r="D1090" s="130"/>
      <c r="E1090" s="130"/>
      <c r="F1090" s="130"/>
      <c r="G1090" s="130"/>
      <c r="H1090" s="130"/>
      <c r="I1090" s="130"/>
    </row>
    <row r="1091" spans="2:9">
      <c r="B1091" s="129">
        <v>357</v>
      </c>
      <c r="C1091" s="130" t="s">
        <v>5128</v>
      </c>
      <c r="D1091" s="130" t="s">
        <v>5250</v>
      </c>
      <c r="E1091" s="130" t="s">
        <v>5127</v>
      </c>
      <c r="F1091" s="130" t="s">
        <v>5033</v>
      </c>
      <c r="G1091" s="130">
        <v>50000</v>
      </c>
      <c r="H1091" s="130">
        <v>99999</v>
      </c>
      <c r="I1091" s="130" t="s">
        <v>5013</v>
      </c>
    </row>
    <row r="1092" spans="2:9">
      <c r="B1092" s="129"/>
      <c r="C1092" s="130"/>
      <c r="D1092" s="130"/>
      <c r="E1092" s="130"/>
      <c r="F1092" s="130"/>
      <c r="G1092" s="130"/>
      <c r="H1092" s="130"/>
      <c r="I1092" s="130"/>
    </row>
    <row r="1093" spans="2:9">
      <c r="B1093" s="129"/>
      <c r="C1093" s="130"/>
      <c r="D1093" s="130"/>
      <c r="E1093" s="130"/>
      <c r="F1093" s="130"/>
      <c r="G1093" s="130"/>
      <c r="H1093" s="130"/>
      <c r="I1093" s="130"/>
    </row>
    <row r="1094" spans="2:9">
      <c r="B1094" s="129">
        <v>358</v>
      </c>
      <c r="C1094" s="130" t="s">
        <v>5095</v>
      </c>
      <c r="D1094" s="130" t="s">
        <v>5250</v>
      </c>
      <c r="E1094" s="130" t="s">
        <v>5204</v>
      </c>
      <c r="F1094" s="130" t="s">
        <v>5031</v>
      </c>
      <c r="G1094" s="130">
        <v>500</v>
      </c>
      <c r="H1094" s="130" t="s">
        <v>5037</v>
      </c>
      <c r="I1094" s="130" t="s">
        <v>5004</v>
      </c>
    </row>
    <row r="1095" spans="2:9">
      <c r="B1095" s="129"/>
      <c r="C1095" s="130"/>
      <c r="D1095" s="130"/>
      <c r="E1095" s="130"/>
      <c r="F1095" s="130"/>
      <c r="G1095" s="130"/>
      <c r="H1095" s="130"/>
      <c r="I1095" s="130"/>
    </row>
    <row r="1096" spans="2:9">
      <c r="B1096" s="129"/>
      <c r="C1096" s="130"/>
      <c r="D1096" s="130"/>
      <c r="E1096" s="130"/>
      <c r="F1096" s="130"/>
      <c r="G1096" s="130"/>
      <c r="H1096" s="130"/>
      <c r="I1096" s="130"/>
    </row>
    <row r="1097" spans="2:9">
      <c r="B1097" s="129">
        <v>359</v>
      </c>
      <c r="C1097" s="130" t="s">
        <v>5253</v>
      </c>
      <c r="D1097" s="130" t="s">
        <v>5250</v>
      </c>
      <c r="E1097" s="130" t="s">
        <v>5254</v>
      </c>
      <c r="F1097" s="130" t="s">
        <v>5026</v>
      </c>
      <c r="G1097" s="130">
        <v>1000</v>
      </c>
      <c r="H1097" s="130">
        <v>20000</v>
      </c>
      <c r="I1097" s="130" t="s">
        <v>5013</v>
      </c>
    </row>
    <row r="1098" spans="2:9">
      <c r="B1098" s="129"/>
      <c r="C1098" s="130"/>
      <c r="D1098" s="130"/>
      <c r="E1098" s="130"/>
      <c r="F1098" s="130"/>
      <c r="G1098" s="130"/>
      <c r="H1098" s="130"/>
      <c r="I1098" s="130"/>
    </row>
    <row r="1099" spans="2:9">
      <c r="B1099" s="129"/>
      <c r="C1099" s="130"/>
      <c r="D1099" s="130"/>
      <c r="E1099" s="130"/>
      <c r="F1099" s="130"/>
      <c r="G1099" s="130"/>
      <c r="H1099" s="130"/>
      <c r="I1099" s="130"/>
    </row>
    <row r="1100" spans="2:9">
      <c r="B1100" s="129">
        <v>360</v>
      </c>
      <c r="C1100" s="130" t="s">
        <v>5000</v>
      </c>
      <c r="D1100" s="130" t="s">
        <v>5250</v>
      </c>
      <c r="E1100" s="130" t="s">
        <v>5255</v>
      </c>
      <c r="F1100" s="130" t="s">
        <v>5111</v>
      </c>
      <c r="G1100" s="130">
        <v>500</v>
      </c>
      <c r="H1100" s="130">
        <v>1000000</v>
      </c>
      <c r="I1100" s="130" t="s">
        <v>5004</v>
      </c>
    </row>
    <row r="1101" spans="2:9">
      <c r="B1101" s="129"/>
      <c r="C1101" s="130"/>
      <c r="D1101" s="130"/>
      <c r="E1101" s="130"/>
      <c r="F1101" s="130"/>
      <c r="G1101" s="130"/>
      <c r="H1101" s="130"/>
      <c r="I1101" s="130"/>
    </row>
    <row r="1102" spans="2:9">
      <c r="B1102" s="129"/>
      <c r="C1102" s="130"/>
      <c r="D1102" s="130"/>
      <c r="E1102" s="130"/>
      <c r="F1102" s="130"/>
      <c r="G1102" s="130"/>
      <c r="H1102" s="130"/>
      <c r="I1102" s="130"/>
    </row>
    <row r="1103" spans="2:9">
      <c r="B1103" s="129">
        <v>361</v>
      </c>
      <c r="C1103" s="130" t="s">
        <v>5256</v>
      </c>
      <c r="D1103" s="130" t="s">
        <v>5250</v>
      </c>
      <c r="E1103" s="130" t="s">
        <v>5257</v>
      </c>
      <c r="F1103" s="130" t="s">
        <v>5008</v>
      </c>
      <c r="G1103" s="130">
        <v>5000</v>
      </c>
      <c r="H1103" s="130" t="s">
        <v>5037</v>
      </c>
      <c r="I1103" s="130" t="s">
        <v>5004</v>
      </c>
    </row>
    <row r="1104" spans="2:9">
      <c r="B1104" s="129"/>
      <c r="C1104" s="130"/>
      <c r="D1104" s="130"/>
      <c r="E1104" s="130"/>
      <c r="F1104" s="130"/>
      <c r="G1104" s="130"/>
      <c r="H1104" s="130"/>
      <c r="I1104" s="130"/>
    </row>
    <row r="1105" spans="2:9">
      <c r="B1105" s="129"/>
      <c r="C1105" s="130"/>
      <c r="D1105" s="130"/>
      <c r="E1105" s="130"/>
      <c r="F1105" s="130"/>
      <c r="G1105" s="130"/>
      <c r="H1105" s="130"/>
      <c r="I1105" s="130"/>
    </row>
    <row r="1106" spans="2:9">
      <c r="B1106" s="129">
        <v>362</v>
      </c>
      <c r="C1106" s="130" t="s">
        <v>5256</v>
      </c>
      <c r="D1106" s="130" t="s">
        <v>5250</v>
      </c>
      <c r="E1106" s="130" t="s">
        <v>5258</v>
      </c>
      <c r="F1106" s="130" t="s">
        <v>5008</v>
      </c>
      <c r="G1106" s="130">
        <v>20000</v>
      </c>
      <c r="H1106" s="130" t="s">
        <v>5037</v>
      </c>
      <c r="I1106" s="130" t="s">
        <v>5004</v>
      </c>
    </row>
    <row r="1107" spans="2:9">
      <c r="B1107" s="129"/>
      <c r="C1107" s="130"/>
      <c r="D1107" s="130"/>
      <c r="E1107" s="130"/>
      <c r="F1107" s="130"/>
      <c r="G1107" s="130"/>
      <c r="H1107" s="130"/>
      <c r="I1107" s="130"/>
    </row>
    <row r="1108" spans="2:9">
      <c r="B1108" s="129"/>
      <c r="C1108" s="130"/>
      <c r="D1108" s="130"/>
      <c r="E1108" s="130"/>
      <c r="F1108" s="130"/>
      <c r="G1108" s="130"/>
      <c r="H1108" s="130"/>
      <c r="I1108" s="130"/>
    </row>
    <row r="1109" spans="2:9">
      <c r="B1109" s="129">
        <v>363</v>
      </c>
      <c r="C1109" s="130" t="s">
        <v>5208</v>
      </c>
      <c r="D1109" s="130" t="s">
        <v>5250</v>
      </c>
      <c r="E1109" s="130" t="s">
        <v>5241</v>
      </c>
      <c r="F1109" s="130" t="s">
        <v>5038</v>
      </c>
      <c r="G1109" s="130">
        <v>1000</v>
      </c>
      <c r="H1109" s="130">
        <v>19900</v>
      </c>
      <c r="I1109" s="130" t="s">
        <v>5013</v>
      </c>
    </row>
    <row r="1110" spans="2:9">
      <c r="B1110" s="129"/>
      <c r="C1110" s="130"/>
      <c r="D1110" s="130"/>
      <c r="E1110" s="130"/>
      <c r="F1110" s="130"/>
      <c r="G1110" s="130"/>
      <c r="H1110" s="130"/>
      <c r="I1110" s="130"/>
    </row>
    <row r="1111" spans="2:9">
      <c r="B1111" s="129"/>
      <c r="C1111" s="130"/>
      <c r="D1111" s="130"/>
      <c r="E1111" s="130"/>
      <c r="F1111" s="130"/>
      <c r="G1111" s="130"/>
      <c r="H1111" s="130"/>
      <c r="I1111" s="130"/>
    </row>
    <row r="1112" spans="2:9">
      <c r="B1112" s="129">
        <v>364</v>
      </c>
      <c r="C1112" s="130" t="s">
        <v>5208</v>
      </c>
      <c r="D1112" s="130" t="s">
        <v>5250</v>
      </c>
      <c r="E1112" s="130" t="s">
        <v>5223</v>
      </c>
      <c r="F1112" s="130" t="s">
        <v>5031</v>
      </c>
      <c r="G1112" s="130">
        <v>1000</v>
      </c>
      <c r="H1112" s="130" t="s">
        <v>5037</v>
      </c>
      <c r="I1112" s="130" t="s">
        <v>5004</v>
      </c>
    </row>
    <row r="1113" spans="2:9">
      <c r="B1113" s="129"/>
      <c r="C1113" s="130"/>
      <c r="D1113" s="130"/>
      <c r="E1113" s="130"/>
      <c r="F1113" s="130"/>
      <c r="G1113" s="130"/>
      <c r="H1113" s="130"/>
      <c r="I1113" s="130"/>
    </row>
    <row r="1114" spans="2:9">
      <c r="B1114" s="129"/>
      <c r="C1114" s="130"/>
      <c r="D1114" s="130"/>
      <c r="E1114" s="130"/>
      <c r="F1114" s="130"/>
      <c r="G1114" s="130"/>
      <c r="H1114" s="130"/>
      <c r="I1114" s="130"/>
    </row>
    <row r="1115" spans="2:9">
      <c r="B1115" s="129">
        <v>365</v>
      </c>
      <c r="C1115" s="130" t="s">
        <v>5107</v>
      </c>
      <c r="D1115" s="130" t="s">
        <v>5250</v>
      </c>
      <c r="E1115" s="130" t="s">
        <v>5132</v>
      </c>
      <c r="F1115" s="130" t="s">
        <v>5033</v>
      </c>
      <c r="G1115" s="130">
        <v>3000</v>
      </c>
      <c r="H1115" s="130">
        <v>49999</v>
      </c>
      <c r="I1115" s="130" t="s">
        <v>5004</v>
      </c>
    </row>
    <row r="1116" spans="2:9">
      <c r="B1116" s="129"/>
      <c r="C1116" s="130"/>
      <c r="D1116" s="130"/>
      <c r="E1116" s="130"/>
      <c r="F1116" s="130"/>
      <c r="G1116" s="130"/>
      <c r="H1116" s="130"/>
      <c r="I1116" s="130"/>
    </row>
    <row r="1117" spans="2:9">
      <c r="B1117" s="129"/>
      <c r="C1117" s="130"/>
      <c r="D1117" s="130"/>
      <c r="E1117" s="130"/>
      <c r="F1117" s="130"/>
      <c r="G1117" s="130"/>
      <c r="H1117" s="130"/>
      <c r="I1117" s="130"/>
    </row>
    <row r="1118" spans="2:9">
      <c r="B1118" s="129">
        <v>366</v>
      </c>
      <c r="C1118" s="130" t="s">
        <v>5000</v>
      </c>
      <c r="D1118" s="130" t="s">
        <v>5250</v>
      </c>
      <c r="E1118" s="130" t="s">
        <v>5259</v>
      </c>
      <c r="F1118" s="130" t="s">
        <v>5012</v>
      </c>
      <c r="G1118" s="130">
        <v>0</v>
      </c>
      <c r="H1118" s="130" t="s">
        <v>5037</v>
      </c>
      <c r="I1118" s="130" t="s">
        <v>5029</v>
      </c>
    </row>
    <row r="1119" spans="2:9">
      <c r="B1119" s="129"/>
      <c r="C1119" s="130"/>
      <c r="D1119" s="130"/>
      <c r="E1119" s="130"/>
      <c r="F1119" s="130"/>
      <c r="G1119" s="130"/>
      <c r="H1119" s="130"/>
      <c r="I1119" s="130"/>
    </row>
    <row r="1120" spans="2:9">
      <c r="B1120" s="129"/>
      <c r="C1120" s="130"/>
      <c r="D1120" s="130"/>
      <c r="E1120" s="130"/>
      <c r="F1120" s="130"/>
      <c r="G1120" s="130"/>
      <c r="H1120" s="130"/>
      <c r="I1120" s="130"/>
    </row>
    <row r="1121" spans="2:9">
      <c r="B1121" s="129">
        <v>367</v>
      </c>
      <c r="C1121" s="130" t="s">
        <v>5122</v>
      </c>
      <c r="D1121" s="130" t="s">
        <v>5250</v>
      </c>
      <c r="E1121" s="130" t="s">
        <v>5135</v>
      </c>
      <c r="F1121" s="130" t="s">
        <v>5111</v>
      </c>
      <c r="G1121" s="130">
        <v>150000</v>
      </c>
      <c r="H1121" s="130" t="s">
        <v>5037</v>
      </c>
      <c r="I1121" s="130" t="s">
        <v>5004</v>
      </c>
    </row>
    <row r="1122" spans="2:9">
      <c r="B1122" s="129"/>
      <c r="C1122" s="130"/>
      <c r="D1122" s="130"/>
      <c r="E1122" s="130"/>
      <c r="F1122" s="130"/>
      <c r="G1122" s="130"/>
      <c r="H1122" s="130"/>
      <c r="I1122" s="130"/>
    </row>
    <row r="1123" spans="2:9">
      <c r="B1123" s="129"/>
      <c r="C1123" s="130"/>
      <c r="D1123" s="130"/>
      <c r="E1123" s="130"/>
      <c r="F1123" s="130"/>
      <c r="G1123" s="130"/>
      <c r="H1123" s="130"/>
      <c r="I1123" s="130"/>
    </row>
    <row r="1124" spans="2:9">
      <c r="B1124" s="129">
        <v>368</v>
      </c>
      <c r="C1124" s="130" t="s">
        <v>5112</v>
      </c>
      <c r="D1124" s="130" t="s">
        <v>5250</v>
      </c>
      <c r="E1124" s="130" t="s">
        <v>5260</v>
      </c>
      <c r="F1124" s="130" t="s">
        <v>5012</v>
      </c>
      <c r="G1124" s="130">
        <v>200000</v>
      </c>
      <c r="H1124" s="130" t="s">
        <v>5037</v>
      </c>
      <c r="I1124" s="130" t="s">
        <v>5029</v>
      </c>
    </row>
    <row r="1125" spans="2:9">
      <c r="B1125" s="129"/>
      <c r="C1125" s="130"/>
      <c r="D1125" s="130"/>
      <c r="E1125" s="130"/>
      <c r="F1125" s="130"/>
      <c r="G1125" s="130"/>
      <c r="H1125" s="130"/>
      <c r="I1125" s="130"/>
    </row>
    <row r="1126" spans="2:9">
      <c r="B1126" s="129"/>
      <c r="C1126" s="130"/>
      <c r="D1126" s="130"/>
      <c r="E1126" s="130"/>
      <c r="F1126" s="130"/>
      <c r="G1126" s="130"/>
      <c r="H1126" s="130"/>
      <c r="I1126" s="130"/>
    </row>
    <row r="1127" spans="2:9">
      <c r="B1127" s="129">
        <v>369</v>
      </c>
      <c r="C1127" s="130" t="s">
        <v>5188</v>
      </c>
      <c r="D1127" s="130" t="s">
        <v>5261</v>
      </c>
      <c r="E1127" s="130" t="s">
        <v>5213</v>
      </c>
      <c r="F1127" s="130" t="s">
        <v>5043</v>
      </c>
      <c r="G1127" s="130">
        <v>30000</v>
      </c>
      <c r="H1127" s="130">
        <v>100000</v>
      </c>
      <c r="I1127" s="130" t="s">
        <v>5004</v>
      </c>
    </row>
    <row r="1128" spans="2:9">
      <c r="B1128" s="129"/>
      <c r="C1128" s="130"/>
      <c r="D1128" s="130"/>
      <c r="E1128" s="130"/>
      <c r="F1128" s="130"/>
      <c r="G1128" s="130"/>
      <c r="H1128" s="130"/>
      <c r="I1128" s="130"/>
    </row>
    <row r="1129" spans="2:9">
      <c r="B1129" s="129"/>
      <c r="C1129" s="130"/>
      <c r="D1129" s="130"/>
      <c r="E1129" s="130"/>
      <c r="F1129" s="130"/>
      <c r="G1129" s="130"/>
      <c r="H1129" s="130"/>
      <c r="I1129" s="130"/>
    </row>
    <row r="1130" spans="2:9">
      <c r="B1130" s="129">
        <v>370</v>
      </c>
      <c r="C1130" s="130" t="s">
        <v>5071</v>
      </c>
      <c r="D1130" s="130" t="s">
        <v>5261</v>
      </c>
      <c r="E1130" s="130" t="s">
        <v>5247</v>
      </c>
      <c r="F1130" s="130" t="s">
        <v>5117</v>
      </c>
      <c r="G1130" s="130">
        <v>1000</v>
      </c>
      <c r="H1130" s="130" t="s">
        <v>5037</v>
      </c>
      <c r="I1130" s="130" t="s">
        <v>5004</v>
      </c>
    </row>
    <row r="1131" spans="2:9">
      <c r="B1131" s="129"/>
      <c r="C1131" s="130"/>
      <c r="D1131" s="130"/>
      <c r="E1131" s="130"/>
      <c r="F1131" s="130"/>
      <c r="G1131" s="130"/>
      <c r="H1131" s="130"/>
      <c r="I1131" s="130"/>
    </row>
    <row r="1132" spans="2:9">
      <c r="B1132" s="129"/>
      <c r="C1132" s="130"/>
      <c r="D1132" s="130"/>
      <c r="E1132" s="130"/>
      <c r="F1132" s="130"/>
      <c r="G1132" s="130"/>
      <c r="H1132" s="130"/>
      <c r="I1132" s="130"/>
    </row>
    <row r="1133" spans="2:9">
      <c r="B1133" s="129">
        <v>371</v>
      </c>
      <c r="C1133" s="130" t="s">
        <v>5122</v>
      </c>
      <c r="D1133" s="130" t="s">
        <v>5261</v>
      </c>
      <c r="E1133" s="130" t="s">
        <v>5135</v>
      </c>
      <c r="F1133" s="130" t="s">
        <v>5111</v>
      </c>
      <c r="G1133" s="130">
        <v>100000</v>
      </c>
      <c r="H1133" s="130">
        <v>149999</v>
      </c>
      <c r="I1133" s="130" t="s">
        <v>5004</v>
      </c>
    </row>
    <row r="1134" spans="2:9">
      <c r="B1134" s="129"/>
      <c r="C1134" s="130"/>
      <c r="D1134" s="130"/>
      <c r="E1134" s="130"/>
      <c r="F1134" s="130"/>
      <c r="G1134" s="130"/>
      <c r="H1134" s="130"/>
      <c r="I1134" s="130"/>
    </row>
    <row r="1135" spans="2:9">
      <c r="B1135" s="129"/>
      <c r="C1135" s="130"/>
      <c r="D1135" s="130"/>
      <c r="E1135" s="130"/>
      <c r="F1135" s="130"/>
      <c r="G1135" s="130"/>
      <c r="H1135" s="130"/>
      <c r="I1135" s="130"/>
    </row>
    <row r="1136" spans="2:9">
      <c r="B1136" s="129">
        <v>372</v>
      </c>
      <c r="C1136" s="130" t="s">
        <v>5125</v>
      </c>
      <c r="D1136" s="130" t="s">
        <v>5262</v>
      </c>
      <c r="E1136" s="130" t="s">
        <v>5198</v>
      </c>
      <c r="F1136" s="130" t="s">
        <v>5050</v>
      </c>
      <c r="G1136" s="130">
        <v>500000</v>
      </c>
      <c r="H1136" s="130" t="s">
        <v>5037</v>
      </c>
      <c r="I1136" s="130" t="s">
        <v>5004</v>
      </c>
    </row>
    <row r="1137" spans="2:9">
      <c r="B1137" s="129"/>
      <c r="C1137" s="130"/>
      <c r="D1137" s="130"/>
      <c r="E1137" s="130"/>
      <c r="F1137" s="130"/>
      <c r="G1137" s="130"/>
      <c r="H1137" s="130"/>
      <c r="I1137" s="130"/>
    </row>
    <row r="1138" spans="2:9">
      <c r="B1138" s="129"/>
      <c r="C1138" s="130"/>
      <c r="D1138" s="130"/>
      <c r="E1138" s="130"/>
      <c r="F1138" s="130"/>
      <c r="G1138" s="130"/>
      <c r="H1138" s="130"/>
      <c r="I1138" s="130"/>
    </row>
    <row r="1139" spans="2:9">
      <c r="B1139" s="129">
        <v>373</v>
      </c>
      <c r="C1139" s="130" t="s">
        <v>5125</v>
      </c>
      <c r="D1139" s="130" t="s">
        <v>5262</v>
      </c>
      <c r="E1139" s="130" t="s">
        <v>5198</v>
      </c>
      <c r="F1139" s="130" t="s">
        <v>5020</v>
      </c>
      <c r="G1139" s="130">
        <v>500000</v>
      </c>
      <c r="H1139" s="130" t="s">
        <v>5037</v>
      </c>
      <c r="I1139" s="130" t="s">
        <v>5004</v>
      </c>
    </row>
    <row r="1140" spans="2:9">
      <c r="B1140" s="129"/>
      <c r="C1140" s="130"/>
      <c r="D1140" s="130"/>
      <c r="E1140" s="130"/>
      <c r="F1140" s="130"/>
      <c r="G1140" s="130"/>
      <c r="H1140" s="130"/>
      <c r="I1140" s="130"/>
    </row>
    <row r="1141" spans="2:9">
      <c r="B1141" s="129"/>
      <c r="C1141" s="130"/>
      <c r="D1141" s="130"/>
      <c r="E1141" s="130"/>
      <c r="F1141" s="130"/>
      <c r="G1141" s="130"/>
      <c r="H1141" s="130"/>
      <c r="I1141" s="130"/>
    </row>
    <row r="1142" spans="2:9">
      <c r="B1142" s="129">
        <v>374</v>
      </c>
      <c r="C1142" s="130" t="s">
        <v>5125</v>
      </c>
      <c r="D1142" s="130" t="s">
        <v>5262</v>
      </c>
      <c r="E1142" s="130" t="s">
        <v>5198</v>
      </c>
      <c r="F1142" s="130" t="s">
        <v>5033</v>
      </c>
      <c r="G1142" s="130">
        <v>500000</v>
      </c>
      <c r="H1142" s="130" t="s">
        <v>5037</v>
      </c>
      <c r="I1142" s="130" t="s">
        <v>5004</v>
      </c>
    </row>
    <row r="1143" spans="2:9">
      <c r="B1143" s="129"/>
      <c r="C1143" s="130"/>
      <c r="D1143" s="130"/>
      <c r="E1143" s="130"/>
      <c r="F1143" s="130"/>
      <c r="G1143" s="130"/>
      <c r="H1143" s="130"/>
      <c r="I1143" s="130"/>
    </row>
    <row r="1144" spans="2:9">
      <c r="B1144" s="129"/>
      <c r="C1144" s="130"/>
      <c r="D1144" s="130"/>
      <c r="E1144" s="130"/>
      <c r="F1144" s="130"/>
      <c r="G1144" s="130"/>
      <c r="H1144" s="130"/>
      <c r="I1144" s="130"/>
    </row>
    <row r="1145" spans="2:9">
      <c r="B1145" s="129">
        <v>375</v>
      </c>
      <c r="C1145" s="130" t="s">
        <v>5235</v>
      </c>
      <c r="D1145" s="130" t="s">
        <v>5262</v>
      </c>
      <c r="E1145" s="130" t="s">
        <v>5251</v>
      </c>
      <c r="F1145" s="130" t="s">
        <v>5031</v>
      </c>
      <c r="G1145" s="130">
        <v>20000</v>
      </c>
      <c r="H1145" s="130" t="s">
        <v>5037</v>
      </c>
      <c r="I1145" s="130" t="s">
        <v>5004</v>
      </c>
    </row>
    <row r="1146" spans="2:9">
      <c r="B1146" s="129"/>
      <c r="C1146" s="130"/>
      <c r="D1146" s="130"/>
      <c r="E1146" s="130"/>
      <c r="F1146" s="130"/>
      <c r="G1146" s="130"/>
      <c r="H1146" s="130"/>
      <c r="I1146" s="130"/>
    </row>
    <row r="1147" spans="2:9">
      <c r="B1147" s="129"/>
      <c r="C1147" s="130"/>
      <c r="D1147" s="130"/>
      <c r="E1147" s="130"/>
      <c r="F1147" s="130"/>
      <c r="G1147" s="130"/>
      <c r="H1147" s="130"/>
      <c r="I1147" s="130"/>
    </row>
    <row r="1148" spans="2:9">
      <c r="B1148" s="129">
        <v>376</v>
      </c>
      <c r="C1148" s="130" t="s">
        <v>5235</v>
      </c>
      <c r="D1148" s="130" t="s">
        <v>5262</v>
      </c>
      <c r="E1148" s="130" t="s">
        <v>5252</v>
      </c>
      <c r="F1148" s="130" t="s">
        <v>5031</v>
      </c>
      <c r="G1148" s="130">
        <v>1000</v>
      </c>
      <c r="H1148" s="130" t="s">
        <v>5037</v>
      </c>
      <c r="I1148" s="130" t="s">
        <v>5004</v>
      </c>
    </row>
    <row r="1149" spans="2:9">
      <c r="B1149" s="129"/>
      <c r="C1149" s="130"/>
      <c r="D1149" s="130"/>
      <c r="E1149" s="130"/>
      <c r="F1149" s="130"/>
      <c r="G1149" s="130"/>
      <c r="H1149" s="130"/>
      <c r="I1149" s="130"/>
    </row>
    <row r="1150" spans="2:9">
      <c r="B1150" s="129"/>
      <c r="C1150" s="130"/>
      <c r="D1150" s="130"/>
      <c r="E1150" s="130"/>
      <c r="F1150" s="130"/>
      <c r="G1150" s="130"/>
      <c r="H1150" s="130"/>
      <c r="I1150" s="130"/>
    </row>
    <row r="1151" spans="2:9">
      <c r="B1151" s="129">
        <v>377</v>
      </c>
      <c r="C1151" s="130" t="s">
        <v>5102</v>
      </c>
      <c r="D1151" s="130" t="s">
        <v>5262</v>
      </c>
      <c r="E1151" s="130" t="s">
        <v>5132</v>
      </c>
      <c r="F1151" s="130" t="s">
        <v>5008</v>
      </c>
      <c r="G1151" s="130">
        <v>10000</v>
      </c>
      <c r="H1151" s="130" t="s">
        <v>5037</v>
      </c>
      <c r="I1151" s="130" t="s">
        <v>5004</v>
      </c>
    </row>
    <row r="1152" spans="2:9">
      <c r="B1152" s="129"/>
      <c r="C1152" s="130"/>
      <c r="D1152" s="130"/>
      <c r="E1152" s="130"/>
      <c r="F1152" s="130"/>
      <c r="G1152" s="130"/>
      <c r="H1152" s="130"/>
      <c r="I1152" s="130"/>
    </row>
    <row r="1153" spans="2:9">
      <c r="B1153" s="129"/>
      <c r="C1153" s="130"/>
      <c r="D1153" s="130"/>
      <c r="E1153" s="130"/>
      <c r="F1153" s="130"/>
      <c r="G1153" s="130"/>
      <c r="H1153" s="130"/>
      <c r="I1153" s="130"/>
    </row>
    <row r="1154" spans="2:9">
      <c r="B1154" s="129">
        <v>378</v>
      </c>
      <c r="C1154" s="130" t="s">
        <v>5102</v>
      </c>
      <c r="D1154" s="130" t="s">
        <v>5262</v>
      </c>
      <c r="E1154" s="130" t="s">
        <v>5132</v>
      </c>
      <c r="F1154" s="130" t="s">
        <v>5031</v>
      </c>
      <c r="G1154" s="130">
        <v>1000</v>
      </c>
      <c r="H1154" s="130">
        <v>10000</v>
      </c>
      <c r="I1154" s="130" t="s">
        <v>5004</v>
      </c>
    </row>
    <row r="1155" spans="2:9">
      <c r="B1155" s="129"/>
      <c r="C1155" s="130"/>
      <c r="D1155" s="130"/>
      <c r="E1155" s="130"/>
      <c r="F1155" s="130"/>
      <c r="G1155" s="130"/>
      <c r="H1155" s="130"/>
      <c r="I1155" s="130"/>
    </row>
    <row r="1156" spans="2:9">
      <c r="B1156" s="129"/>
      <c r="C1156" s="130"/>
      <c r="D1156" s="130"/>
      <c r="E1156" s="130"/>
      <c r="F1156" s="130"/>
      <c r="G1156" s="130"/>
      <c r="H1156" s="130"/>
      <c r="I1156" s="130"/>
    </row>
    <row r="1157" spans="2:9">
      <c r="B1157" s="129">
        <v>379</v>
      </c>
      <c r="C1157" s="130" t="s">
        <v>5098</v>
      </c>
      <c r="D1157" s="130" t="s">
        <v>5262</v>
      </c>
      <c r="E1157" s="130" t="s">
        <v>5132</v>
      </c>
      <c r="F1157" s="130" t="s">
        <v>5111</v>
      </c>
      <c r="G1157" s="130">
        <v>10000</v>
      </c>
      <c r="H1157" s="130" t="s">
        <v>5037</v>
      </c>
      <c r="I1157" s="130" t="s">
        <v>5004</v>
      </c>
    </row>
    <row r="1158" spans="2:9">
      <c r="B1158" s="129"/>
      <c r="C1158" s="130"/>
      <c r="D1158" s="130"/>
      <c r="E1158" s="130"/>
      <c r="F1158" s="130"/>
      <c r="G1158" s="130"/>
      <c r="H1158" s="130"/>
      <c r="I1158" s="130"/>
    </row>
    <row r="1159" spans="2:9">
      <c r="B1159" s="129"/>
      <c r="C1159" s="130"/>
      <c r="D1159" s="130"/>
      <c r="E1159" s="130"/>
      <c r="F1159" s="130"/>
      <c r="G1159" s="130"/>
      <c r="H1159" s="130"/>
      <c r="I1159" s="130"/>
    </row>
    <row r="1160" spans="2:9">
      <c r="B1160" s="129">
        <v>380</v>
      </c>
      <c r="C1160" s="130" t="s">
        <v>5098</v>
      </c>
      <c r="D1160" s="130" t="s">
        <v>5262</v>
      </c>
      <c r="E1160" s="130" t="s">
        <v>5132</v>
      </c>
      <c r="F1160" s="130" t="s">
        <v>5111</v>
      </c>
      <c r="G1160" s="130">
        <v>10000</v>
      </c>
      <c r="H1160" s="130" t="s">
        <v>5037</v>
      </c>
      <c r="I1160" s="130" t="s">
        <v>5004</v>
      </c>
    </row>
    <row r="1161" spans="2:9">
      <c r="B1161" s="129"/>
      <c r="C1161" s="130"/>
      <c r="D1161" s="130"/>
      <c r="E1161" s="130"/>
      <c r="F1161" s="130"/>
      <c r="G1161" s="130"/>
      <c r="H1161" s="130"/>
      <c r="I1161" s="130"/>
    </row>
    <row r="1162" spans="2:9">
      <c r="B1162" s="129"/>
      <c r="C1162" s="130"/>
      <c r="D1162" s="130"/>
      <c r="E1162" s="130"/>
      <c r="F1162" s="130"/>
      <c r="G1162" s="130"/>
      <c r="H1162" s="130"/>
      <c r="I1162" s="130"/>
    </row>
    <row r="1163" spans="2:9">
      <c r="B1163" s="129">
        <v>381</v>
      </c>
      <c r="C1163" s="130" t="s">
        <v>5095</v>
      </c>
      <c r="D1163" s="130" t="s">
        <v>5262</v>
      </c>
      <c r="E1163" s="130" t="s">
        <v>5204</v>
      </c>
      <c r="F1163" s="130" t="s">
        <v>5050</v>
      </c>
      <c r="G1163" s="130">
        <v>500</v>
      </c>
      <c r="H1163" s="130" t="s">
        <v>5037</v>
      </c>
      <c r="I1163" s="130" t="s">
        <v>5004</v>
      </c>
    </row>
    <row r="1164" spans="2:9">
      <c r="B1164" s="129"/>
      <c r="C1164" s="130"/>
      <c r="D1164" s="130"/>
      <c r="E1164" s="130"/>
      <c r="F1164" s="130"/>
      <c r="G1164" s="130"/>
      <c r="H1164" s="130"/>
      <c r="I1164" s="130"/>
    </row>
    <row r="1165" spans="2:9">
      <c r="B1165" s="129"/>
      <c r="C1165" s="130"/>
      <c r="D1165" s="130"/>
      <c r="E1165" s="130"/>
      <c r="F1165" s="130"/>
      <c r="G1165" s="130"/>
      <c r="H1165" s="130"/>
      <c r="I1165" s="130"/>
    </row>
    <row r="1166" spans="2:9">
      <c r="B1166" s="129">
        <v>382</v>
      </c>
      <c r="C1166" s="130" t="s">
        <v>5095</v>
      </c>
      <c r="D1166" s="130" t="s">
        <v>5262</v>
      </c>
      <c r="E1166" s="130" t="s">
        <v>5204</v>
      </c>
      <c r="F1166" s="130" t="s">
        <v>5020</v>
      </c>
      <c r="G1166" s="130">
        <v>500</v>
      </c>
      <c r="H1166" s="130" t="s">
        <v>5037</v>
      </c>
      <c r="I1166" s="130" t="s">
        <v>5004</v>
      </c>
    </row>
    <row r="1167" spans="2:9">
      <c r="B1167" s="129"/>
      <c r="C1167" s="130"/>
      <c r="D1167" s="130"/>
      <c r="E1167" s="130"/>
      <c r="F1167" s="130"/>
      <c r="G1167" s="130"/>
      <c r="H1167" s="130"/>
      <c r="I1167" s="130"/>
    </row>
    <row r="1168" spans="2:9">
      <c r="B1168" s="129"/>
      <c r="C1168" s="130"/>
      <c r="D1168" s="130"/>
      <c r="E1168" s="130"/>
      <c r="F1168" s="130"/>
      <c r="G1168" s="130"/>
      <c r="H1168" s="130"/>
      <c r="I1168" s="130"/>
    </row>
    <row r="1169" spans="2:9">
      <c r="B1169" s="129">
        <v>383</v>
      </c>
      <c r="C1169" s="130" t="s">
        <v>5095</v>
      </c>
      <c r="D1169" s="130" t="s">
        <v>5262</v>
      </c>
      <c r="E1169" s="130" t="s">
        <v>5204</v>
      </c>
      <c r="F1169" s="130" t="s">
        <v>5033</v>
      </c>
      <c r="G1169" s="130">
        <v>500</v>
      </c>
      <c r="H1169" s="130" t="s">
        <v>5037</v>
      </c>
      <c r="I1169" s="130" t="s">
        <v>5004</v>
      </c>
    </row>
    <row r="1170" spans="2:9">
      <c r="B1170" s="129"/>
      <c r="C1170" s="130"/>
      <c r="D1170" s="130"/>
      <c r="E1170" s="130"/>
      <c r="F1170" s="130"/>
      <c r="G1170" s="130"/>
      <c r="H1170" s="130"/>
      <c r="I1170" s="130"/>
    </row>
    <row r="1171" spans="2:9">
      <c r="B1171" s="129"/>
      <c r="C1171" s="130"/>
      <c r="D1171" s="130"/>
      <c r="E1171" s="130"/>
      <c r="F1171" s="130"/>
      <c r="G1171" s="130"/>
      <c r="H1171" s="130"/>
      <c r="I1171" s="130"/>
    </row>
    <row r="1172" spans="2:9">
      <c r="B1172" s="129">
        <v>384</v>
      </c>
      <c r="C1172" s="130" t="s">
        <v>5208</v>
      </c>
      <c r="D1172" s="130" t="s">
        <v>5262</v>
      </c>
      <c r="E1172" s="130" t="s">
        <v>5241</v>
      </c>
      <c r="F1172" s="130" t="s">
        <v>5020</v>
      </c>
      <c r="G1172" s="130">
        <v>1000</v>
      </c>
      <c r="H1172" s="130">
        <v>19900</v>
      </c>
      <c r="I1172" s="130" t="s">
        <v>5013</v>
      </c>
    </row>
    <row r="1173" spans="2:9">
      <c r="B1173" s="129"/>
      <c r="C1173" s="130"/>
      <c r="D1173" s="130"/>
      <c r="E1173" s="130"/>
      <c r="F1173" s="130"/>
      <c r="G1173" s="130"/>
      <c r="H1173" s="130"/>
      <c r="I1173" s="130"/>
    </row>
    <row r="1174" spans="2:9">
      <c r="B1174" s="129"/>
      <c r="C1174" s="130"/>
      <c r="D1174" s="130"/>
      <c r="E1174" s="130"/>
      <c r="F1174" s="130"/>
      <c r="G1174" s="130"/>
      <c r="H1174" s="130"/>
      <c r="I1174" s="130"/>
    </row>
    <row r="1175" spans="2:9">
      <c r="B1175" s="129">
        <v>385</v>
      </c>
      <c r="C1175" s="130" t="s">
        <v>5208</v>
      </c>
      <c r="D1175" s="130" t="s">
        <v>5262</v>
      </c>
      <c r="E1175" s="130" t="s">
        <v>5242</v>
      </c>
      <c r="F1175" s="130" t="s">
        <v>5033</v>
      </c>
      <c r="G1175" s="130">
        <v>1000</v>
      </c>
      <c r="H1175" s="130" t="s">
        <v>5037</v>
      </c>
      <c r="I1175" s="130" t="s">
        <v>5004</v>
      </c>
    </row>
    <row r="1176" spans="2:9">
      <c r="B1176" s="129"/>
      <c r="C1176" s="130"/>
      <c r="D1176" s="130"/>
      <c r="E1176" s="130"/>
      <c r="F1176" s="130"/>
      <c r="G1176" s="130"/>
      <c r="H1176" s="130"/>
      <c r="I1176" s="130"/>
    </row>
    <row r="1177" spans="2:9">
      <c r="B1177" s="129"/>
      <c r="C1177" s="130"/>
      <c r="D1177" s="130"/>
      <c r="E1177" s="130"/>
      <c r="F1177" s="130"/>
      <c r="G1177" s="130"/>
      <c r="H1177" s="130"/>
      <c r="I1177" s="130"/>
    </row>
    <row r="1178" spans="2:9">
      <c r="B1178" s="129">
        <v>386</v>
      </c>
      <c r="C1178" s="130" t="s">
        <v>5122</v>
      </c>
      <c r="D1178" s="130" t="s">
        <v>5262</v>
      </c>
      <c r="E1178" s="130" t="s">
        <v>5135</v>
      </c>
      <c r="F1178" s="130" t="s">
        <v>5111</v>
      </c>
      <c r="G1178" s="130">
        <v>50000</v>
      </c>
      <c r="H1178" s="130">
        <v>99999</v>
      </c>
      <c r="I1178" s="130" t="s">
        <v>5004</v>
      </c>
    </row>
    <row r="1179" spans="2:9">
      <c r="B1179" s="129"/>
      <c r="C1179" s="130"/>
      <c r="D1179" s="130"/>
      <c r="E1179" s="130"/>
      <c r="F1179" s="130"/>
      <c r="G1179" s="130"/>
      <c r="H1179" s="130"/>
      <c r="I1179" s="130"/>
    </row>
    <row r="1180" spans="2:9">
      <c r="B1180" s="129"/>
      <c r="C1180" s="130"/>
      <c r="D1180" s="130"/>
      <c r="E1180" s="130"/>
      <c r="F1180" s="130"/>
      <c r="G1180" s="130"/>
      <c r="H1180" s="130"/>
      <c r="I1180" s="130"/>
    </row>
    <row r="1181" spans="2:9">
      <c r="B1181" s="129">
        <v>387</v>
      </c>
      <c r="C1181" s="130" t="s">
        <v>5122</v>
      </c>
      <c r="D1181" s="130" t="s">
        <v>5262</v>
      </c>
      <c r="E1181" s="130" t="s">
        <v>5135</v>
      </c>
      <c r="F1181" s="130" t="s">
        <v>5033</v>
      </c>
      <c r="G1181" s="130">
        <v>150000</v>
      </c>
      <c r="H1181" s="130" t="s">
        <v>5037</v>
      </c>
      <c r="I1181" s="130" t="s">
        <v>5004</v>
      </c>
    </row>
    <row r="1182" spans="2:9">
      <c r="B1182" s="129"/>
      <c r="C1182" s="130"/>
      <c r="D1182" s="130"/>
      <c r="E1182" s="130"/>
      <c r="F1182" s="130"/>
      <c r="G1182" s="130"/>
      <c r="H1182" s="130"/>
      <c r="I1182" s="130"/>
    </row>
    <row r="1183" spans="2:9">
      <c r="B1183" s="129"/>
      <c r="C1183" s="130"/>
      <c r="D1183" s="130"/>
      <c r="E1183" s="130"/>
      <c r="F1183" s="130"/>
      <c r="G1183" s="130"/>
      <c r="H1183" s="130"/>
      <c r="I1183" s="130"/>
    </row>
    <row r="1184" spans="2:9">
      <c r="B1184" s="129">
        <v>388</v>
      </c>
      <c r="C1184" s="130" t="s">
        <v>5188</v>
      </c>
      <c r="D1184" s="130" t="s">
        <v>5262</v>
      </c>
      <c r="E1184" s="130" t="s">
        <v>5263</v>
      </c>
      <c r="F1184" s="130" t="s">
        <v>5012</v>
      </c>
      <c r="G1184" s="130">
        <v>100000</v>
      </c>
      <c r="H1184" s="130" t="s">
        <v>5037</v>
      </c>
      <c r="I1184" s="130" t="s">
        <v>5264</v>
      </c>
    </row>
    <row r="1185" spans="2:9">
      <c r="B1185" s="129"/>
      <c r="C1185" s="130"/>
      <c r="D1185" s="130"/>
      <c r="E1185" s="130"/>
      <c r="F1185" s="130"/>
      <c r="G1185" s="130"/>
      <c r="H1185" s="130"/>
      <c r="I1185" s="130"/>
    </row>
    <row r="1186" spans="2:9">
      <c r="B1186" s="129"/>
      <c r="C1186" s="130"/>
      <c r="D1186" s="130"/>
      <c r="E1186" s="130"/>
      <c r="F1186" s="130"/>
      <c r="G1186" s="130"/>
      <c r="H1186" s="130"/>
      <c r="I1186" s="130"/>
    </row>
    <row r="1187" spans="2:9">
      <c r="B1187" s="129">
        <v>389</v>
      </c>
      <c r="C1187" s="130" t="s">
        <v>5009</v>
      </c>
      <c r="D1187" s="130" t="s">
        <v>5265</v>
      </c>
      <c r="E1187" s="130" t="s">
        <v>5266</v>
      </c>
      <c r="F1187" s="130" t="s">
        <v>5012</v>
      </c>
      <c r="G1187" s="130">
        <v>0</v>
      </c>
      <c r="H1187" s="130" t="s">
        <v>5037</v>
      </c>
      <c r="I1187" s="130" t="s">
        <v>5013</v>
      </c>
    </row>
    <row r="1188" spans="2:9">
      <c r="B1188" s="129"/>
      <c r="C1188" s="130"/>
      <c r="D1188" s="130"/>
      <c r="E1188" s="130"/>
      <c r="F1188" s="130"/>
      <c r="G1188" s="130"/>
      <c r="H1188" s="130"/>
      <c r="I1188" s="130"/>
    </row>
    <row r="1189" spans="2:9">
      <c r="B1189" s="129"/>
      <c r="C1189" s="130"/>
      <c r="D1189" s="130"/>
      <c r="E1189" s="130"/>
      <c r="F1189" s="130"/>
      <c r="G1189" s="130"/>
      <c r="H1189" s="130"/>
      <c r="I1189" s="130"/>
    </row>
    <row r="1190" spans="2:9">
      <c r="B1190" s="129">
        <v>390</v>
      </c>
      <c r="C1190" s="130" t="s">
        <v>5188</v>
      </c>
      <c r="D1190" s="130" t="s">
        <v>5267</v>
      </c>
      <c r="E1190" s="130" t="s">
        <v>5213</v>
      </c>
      <c r="F1190" s="130" t="s">
        <v>5043</v>
      </c>
      <c r="G1190" s="130">
        <v>10000</v>
      </c>
      <c r="H1190" s="130">
        <v>30000</v>
      </c>
      <c r="I1190" s="130" t="s">
        <v>5004</v>
      </c>
    </row>
    <row r="1191" spans="2:9">
      <c r="B1191" s="129"/>
      <c r="C1191" s="130"/>
      <c r="D1191" s="130"/>
      <c r="E1191" s="130"/>
      <c r="F1191" s="130"/>
      <c r="G1191" s="130"/>
      <c r="H1191" s="130"/>
      <c r="I1191" s="130"/>
    </row>
    <row r="1192" spans="2:9">
      <c r="B1192" s="129"/>
      <c r="C1192" s="130"/>
      <c r="D1192" s="130"/>
      <c r="E1192" s="130"/>
      <c r="F1192" s="130"/>
      <c r="G1192" s="130"/>
      <c r="H1192" s="130"/>
      <c r="I1192" s="130"/>
    </row>
    <row r="1193" spans="2:9">
      <c r="B1193" s="129">
        <v>391</v>
      </c>
      <c r="C1193" s="130" t="s">
        <v>5071</v>
      </c>
      <c r="D1193" s="130" t="s">
        <v>5267</v>
      </c>
      <c r="E1193" s="130" t="s">
        <v>5247</v>
      </c>
      <c r="F1193" s="130" t="s">
        <v>5026</v>
      </c>
      <c r="G1193" s="130">
        <v>1000</v>
      </c>
      <c r="H1193" s="130" t="s">
        <v>5037</v>
      </c>
      <c r="I1193" s="130" t="s">
        <v>5004</v>
      </c>
    </row>
    <row r="1194" spans="2:9">
      <c r="B1194" s="129"/>
      <c r="C1194" s="130"/>
      <c r="D1194" s="130"/>
      <c r="E1194" s="130"/>
      <c r="F1194" s="130"/>
      <c r="G1194" s="130"/>
      <c r="H1194" s="130"/>
      <c r="I1194" s="130"/>
    </row>
    <row r="1195" spans="2:9">
      <c r="B1195" s="129"/>
      <c r="C1195" s="130"/>
      <c r="D1195" s="130"/>
      <c r="E1195" s="130"/>
      <c r="F1195" s="130"/>
      <c r="G1195" s="130"/>
      <c r="H1195" s="130"/>
      <c r="I1195" s="130"/>
    </row>
    <row r="1196" spans="2:9">
      <c r="B1196" s="129">
        <v>392</v>
      </c>
      <c r="C1196" s="130" t="s">
        <v>5125</v>
      </c>
      <c r="D1196" s="130" t="s">
        <v>5267</v>
      </c>
      <c r="E1196" s="130" t="s">
        <v>5179</v>
      </c>
      <c r="F1196" s="130" t="s">
        <v>5008</v>
      </c>
      <c r="G1196" s="130">
        <v>1000</v>
      </c>
      <c r="H1196" s="130" t="s">
        <v>5037</v>
      </c>
      <c r="I1196" s="130" t="s">
        <v>5013</v>
      </c>
    </row>
    <row r="1197" spans="2:9">
      <c r="B1197" s="129"/>
      <c r="C1197" s="130"/>
      <c r="D1197" s="130"/>
      <c r="E1197" s="130"/>
      <c r="F1197" s="130"/>
      <c r="G1197" s="130"/>
      <c r="H1197" s="130"/>
      <c r="I1197" s="130"/>
    </row>
    <row r="1198" spans="2:9">
      <c r="B1198" s="129"/>
      <c r="C1198" s="130"/>
      <c r="D1198" s="130"/>
      <c r="E1198" s="130"/>
      <c r="F1198" s="130"/>
      <c r="G1198" s="130"/>
      <c r="H1198" s="130"/>
      <c r="I1198" s="130"/>
    </row>
    <row r="1199" spans="2:9">
      <c r="B1199" s="129">
        <v>393</v>
      </c>
      <c r="C1199" s="130" t="s">
        <v>5125</v>
      </c>
      <c r="D1199" s="130" t="s">
        <v>5267</v>
      </c>
      <c r="E1199" s="130" t="s">
        <v>5127</v>
      </c>
      <c r="F1199" s="130" t="s">
        <v>5033</v>
      </c>
      <c r="G1199" s="130">
        <v>1000</v>
      </c>
      <c r="H1199" s="130" t="s">
        <v>5037</v>
      </c>
      <c r="I1199" s="130" t="s">
        <v>5004</v>
      </c>
    </row>
    <row r="1200" spans="2:9">
      <c r="B1200" s="129"/>
      <c r="C1200" s="130"/>
      <c r="D1200" s="130"/>
      <c r="E1200" s="130"/>
      <c r="F1200" s="130"/>
      <c r="G1200" s="130"/>
      <c r="H1200" s="130"/>
      <c r="I1200" s="130"/>
    </row>
    <row r="1201" spans="2:9">
      <c r="B1201" s="129"/>
      <c r="C1201" s="130"/>
      <c r="D1201" s="130"/>
      <c r="E1201" s="130"/>
      <c r="F1201" s="130"/>
      <c r="G1201" s="130"/>
      <c r="H1201" s="130"/>
      <c r="I1201" s="130"/>
    </row>
    <row r="1202" spans="2:9">
      <c r="B1202" s="129">
        <v>394</v>
      </c>
      <c r="C1202" s="130" t="s">
        <v>5125</v>
      </c>
      <c r="D1202" s="130" t="s">
        <v>5267</v>
      </c>
      <c r="E1202" s="130" t="s">
        <v>5198</v>
      </c>
      <c r="F1202" s="130" t="s">
        <v>5050</v>
      </c>
      <c r="G1202" s="130">
        <v>100000</v>
      </c>
      <c r="H1202" s="130">
        <v>500000</v>
      </c>
      <c r="I1202" s="130" t="s">
        <v>5004</v>
      </c>
    </row>
    <row r="1203" spans="2:9">
      <c r="B1203" s="129"/>
      <c r="C1203" s="130"/>
      <c r="D1203" s="130"/>
      <c r="E1203" s="130"/>
      <c r="F1203" s="130"/>
      <c r="G1203" s="130"/>
      <c r="H1203" s="130"/>
      <c r="I1203" s="130"/>
    </row>
    <row r="1204" spans="2:9">
      <c r="B1204" s="129"/>
      <c r="C1204" s="130"/>
      <c r="D1204" s="130"/>
      <c r="E1204" s="130"/>
      <c r="F1204" s="130"/>
      <c r="G1204" s="130"/>
      <c r="H1204" s="130"/>
      <c r="I1204" s="130"/>
    </row>
    <row r="1205" spans="2:9">
      <c r="B1205" s="129">
        <v>395</v>
      </c>
      <c r="C1205" s="130" t="s">
        <v>5125</v>
      </c>
      <c r="D1205" s="130" t="s">
        <v>5267</v>
      </c>
      <c r="E1205" s="130" t="s">
        <v>5198</v>
      </c>
      <c r="F1205" s="130" t="s">
        <v>5020</v>
      </c>
      <c r="G1205" s="130">
        <v>100000</v>
      </c>
      <c r="H1205" s="130">
        <v>500000</v>
      </c>
      <c r="I1205" s="130" t="s">
        <v>5004</v>
      </c>
    </row>
    <row r="1206" spans="2:9">
      <c r="B1206" s="129"/>
      <c r="C1206" s="130"/>
      <c r="D1206" s="130"/>
      <c r="E1206" s="130"/>
      <c r="F1206" s="130"/>
      <c r="G1206" s="130"/>
      <c r="H1206" s="130"/>
      <c r="I1206" s="130"/>
    </row>
    <row r="1207" spans="2:9">
      <c r="B1207" s="129"/>
      <c r="C1207" s="130"/>
      <c r="D1207" s="130"/>
      <c r="E1207" s="130"/>
      <c r="F1207" s="130"/>
      <c r="G1207" s="130"/>
      <c r="H1207" s="130"/>
      <c r="I1207" s="130"/>
    </row>
    <row r="1208" spans="2:9">
      <c r="B1208" s="129">
        <v>396</v>
      </c>
      <c r="C1208" s="130" t="s">
        <v>5125</v>
      </c>
      <c r="D1208" s="130" t="s">
        <v>5267</v>
      </c>
      <c r="E1208" s="130" t="s">
        <v>5198</v>
      </c>
      <c r="F1208" s="130" t="s">
        <v>5033</v>
      </c>
      <c r="G1208" s="130">
        <v>100000</v>
      </c>
      <c r="H1208" s="130">
        <v>500000</v>
      </c>
      <c r="I1208" s="130" t="s">
        <v>5004</v>
      </c>
    </row>
    <row r="1209" spans="2:9">
      <c r="B1209" s="129"/>
      <c r="C1209" s="130"/>
      <c r="D1209" s="130"/>
      <c r="E1209" s="130"/>
      <c r="F1209" s="130"/>
      <c r="G1209" s="130"/>
      <c r="H1209" s="130"/>
      <c r="I1209" s="130"/>
    </row>
    <row r="1210" spans="2:9">
      <c r="B1210" s="129"/>
      <c r="C1210" s="130"/>
      <c r="D1210" s="130"/>
      <c r="E1210" s="130"/>
      <c r="F1210" s="130"/>
      <c r="G1210" s="130"/>
      <c r="H1210" s="130"/>
      <c r="I1210" s="130"/>
    </row>
    <row r="1211" spans="2:9">
      <c r="B1211" s="129">
        <v>397</v>
      </c>
      <c r="C1211" s="130" t="s">
        <v>5009</v>
      </c>
      <c r="D1211" s="130" t="s">
        <v>5267</v>
      </c>
      <c r="E1211" s="130" t="s">
        <v>5228</v>
      </c>
      <c r="F1211" s="130" t="s">
        <v>5026</v>
      </c>
      <c r="G1211" s="130">
        <v>5000</v>
      </c>
      <c r="H1211" s="130" t="s">
        <v>5037</v>
      </c>
      <c r="I1211" s="130" t="s">
        <v>5013</v>
      </c>
    </row>
    <row r="1212" spans="2:9">
      <c r="B1212" s="129"/>
      <c r="C1212" s="130"/>
      <c r="D1212" s="130"/>
      <c r="E1212" s="130"/>
      <c r="F1212" s="130"/>
      <c r="G1212" s="130"/>
      <c r="H1212" s="130"/>
      <c r="I1212" s="130"/>
    </row>
    <row r="1213" spans="2:9">
      <c r="B1213" s="129"/>
      <c r="C1213" s="130"/>
      <c r="D1213" s="130"/>
      <c r="E1213" s="130"/>
      <c r="F1213" s="130"/>
      <c r="G1213" s="130"/>
      <c r="H1213" s="130"/>
      <c r="I1213" s="130"/>
    </row>
    <row r="1214" spans="2:9">
      <c r="B1214" s="129">
        <v>398</v>
      </c>
      <c r="C1214" s="130" t="s">
        <v>5098</v>
      </c>
      <c r="D1214" s="130" t="s">
        <v>5267</v>
      </c>
      <c r="E1214" s="130" t="s">
        <v>5132</v>
      </c>
      <c r="F1214" s="130" t="s">
        <v>5111</v>
      </c>
      <c r="G1214" s="130">
        <v>200</v>
      </c>
      <c r="H1214" s="130">
        <v>9999</v>
      </c>
      <c r="I1214" s="130" t="s">
        <v>5004</v>
      </c>
    </row>
    <row r="1215" spans="2:9">
      <c r="B1215" s="129"/>
      <c r="C1215" s="130"/>
      <c r="D1215" s="130"/>
      <c r="E1215" s="130"/>
      <c r="F1215" s="130"/>
      <c r="G1215" s="130"/>
      <c r="H1215" s="130"/>
      <c r="I1215" s="130"/>
    </row>
    <row r="1216" spans="2:9">
      <c r="B1216" s="129"/>
      <c r="C1216" s="130"/>
      <c r="D1216" s="130"/>
      <c r="E1216" s="130"/>
      <c r="F1216" s="130"/>
      <c r="G1216" s="130"/>
      <c r="H1216" s="130"/>
      <c r="I1216" s="130"/>
    </row>
    <row r="1217" spans="2:9">
      <c r="B1217" s="129">
        <v>399</v>
      </c>
      <c r="C1217" s="130" t="s">
        <v>5098</v>
      </c>
      <c r="D1217" s="130" t="s">
        <v>5267</v>
      </c>
      <c r="E1217" s="130" t="s">
        <v>5132</v>
      </c>
      <c r="F1217" s="130" t="s">
        <v>5111</v>
      </c>
      <c r="G1217" s="130">
        <v>200</v>
      </c>
      <c r="H1217" s="130">
        <v>9999</v>
      </c>
      <c r="I1217" s="130" t="s">
        <v>5004</v>
      </c>
    </row>
    <row r="1218" spans="2:9">
      <c r="B1218" s="129"/>
      <c r="C1218" s="130"/>
      <c r="D1218" s="130"/>
      <c r="E1218" s="130"/>
      <c r="F1218" s="130"/>
      <c r="G1218" s="130"/>
      <c r="H1218" s="130"/>
      <c r="I1218" s="130"/>
    </row>
    <row r="1219" spans="2:9">
      <c r="B1219" s="129"/>
      <c r="C1219" s="130"/>
      <c r="D1219" s="130"/>
      <c r="E1219" s="130"/>
      <c r="F1219" s="130"/>
      <c r="G1219" s="130"/>
      <c r="H1219" s="130"/>
      <c r="I1219" s="130"/>
    </row>
    <row r="1220" spans="2:9">
      <c r="B1220" s="129">
        <v>400</v>
      </c>
      <c r="C1220" s="130" t="s">
        <v>5061</v>
      </c>
      <c r="D1220" s="130" t="s">
        <v>5267</v>
      </c>
      <c r="E1220" s="130" t="s">
        <v>5068</v>
      </c>
      <c r="F1220" s="130" t="s">
        <v>5020</v>
      </c>
      <c r="G1220" s="130">
        <v>1000</v>
      </c>
      <c r="H1220" s="130">
        <v>14000</v>
      </c>
      <c r="I1220" s="130" t="s">
        <v>5013</v>
      </c>
    </row>
    <row r="1221" spans="2:9">
      <c r="B1221" s="129"/>
      <c r="C1221" s="130"/>
      <c r="D1221" s="130"/>
      <c r="E1221" s="130"/>
      <c r="F1221" s="130"/>
      <c r="G1221" s="130"/>
      <c r="H1221" s="130"/>
      <c r="I1221" s="130"/>
    </row>
    <row r="1222" spans="2:9">
      <c r="B1222" s="129"/>
      <c r="C1222" s="130"/>
      <c r="D1222" s="130"/>
      <c r="E1222" s="130"/>
      <c r="F1222" s="130"/>
      <c r="G1222" s="130"/>
      <c r="H1222" s="130"/>
      <c r="I1222" s="130"/>
    </row>
    <row r="1223" spans="2:9">
      <c r="B1223" s="129">
        <v>401</v>
      </c>
      <c r="C1223" s="130" t="s">
        <v>5061</v>
      </c>
      <c r="D1223" s="130" t="s">
        <v>5267</v>
      </c>
      <c r="E1223" s="130" t="s">
        <v>5068</v>
      </c>
      <c r="F1223" s="130" t="s">
        <v>5026</v>
      </c>
      <c r="G1223" s="130">
        <v>1000</v>
      </c>
      <c r="H1223" s="130">
        <v>14000</v>
      </c>
      <c r="I1223" s="130" t="s">
        <v>5013</v>
      </c>
    </row>
    <row r="1224" spans="2:9">
      <c r="B1224" s="129"/>
      <c r="C1224" s="130"/>
      <c r="D1224" s="130"/>
      <c r="E1224" s="130"/>
      <c r="F1224" s="130"/>
      <c r="G1224" s="130"/>
      <c r="H1224" s="130"/>
      <c r="I1224" s="130"/>
    </row>
    <row r="1225" spans="2:9">
      <c r="B1225" s="129"/>
      <c r="C1225" s="130"/>
      <c r="D1225" s="130"/>
      <c r="E1225" s="130"/>
      <c r="F1225" s="130"/>
      <c r="G1225" s="130"/>
      <c r="H1225" s="130"/>
      <c r="I1225" s="130"/>
    </row>
    <row r="1226" spans="2:9">
      <c r="B1226" s="129">
        <v>402</v>
      </c>
      <c r="C1226" s="130" t="s">
        <v>5095</v>
      </c>
      <c r="D1226" s="130" t="s">
        <v>5267</v>
      </c>
      <c r="E1226" s="130" t="s">
        <v>5268</v>
      </c>
      <c r="F1226" s="130" t="s">
        <v>5008</v>
      </c>
      <c r="G1226" s="130">
        <v>1000</v>
      </c>
      <c r="H1226" s="130">
        <v>20000</v>
      </c>
      <c r="I1226" s="130" t="s">
        <v>5013</v>
      </c>
    </row>
    <row r="1227" spans="2:9">
      <c r="B1227" s="129"/>
      <c r="C1227" s="130"/>
      <c r="D1227" s="130"/>
      <c r="E1227" s="130"/>
      <c r="F1227" s="130"/>
      <c r="G1227" s="130"/>
      <c r="H1227" s="130"/>
      <c r="I1227" s="130"/>
    </row>
    <row r="1228" spans="2:9">
      <c r="B1228" s="129"/>
      <c r="C1228" s="130"/>
      <c r="D1228" s="130"/>
      <c r="E1228" s="130"/>
      <c r="F1228" s="130"/>
      <c r="G1228" s="130"/>
      <c r="H1228" s="130"/>
      <c r="I1228" s="130"/>
    </row>
    <row r="1229" spans="2:9">
      <c r="B1229" s="129">
        <v>403</v>
      </c>
      <c r="C1229" s="130" t="s">
        <v>5122</v>
      </c>
      <c r="D1229" s="130" t="s">
        <v>5267</v>
      </c>
      <c r="E1229" s="130" t="s">
        <v>5135</v>
      </c>
      <c r="F1229" s="130" t="s">
        <v>5111</v>
      </c>
      <c r="G1229" s="130">
        <v>25000</v>
      </c>
      <c r="H1229" s="130">
        <v>49999</v>
      </c>
      <c r="I1229" s="130" t="s">
        <v>5004</v>
      </c>
    </row>
    <row r="1230" spans="2:9">
      <c r="B1230" s="129"/>
      <c r="C1230" s="130"/>
      <c r="D1230" s="130"/>
      <c r="E1230" s="130"/>
      <c r="F1230" s="130"/>
      <c r="G1230" s="130"/>
      <c r="H1230" s="130"/>
      <c r="I1230" s="130"/>
    </row>
    <row r="1231" spans="2:9">
      <c r="B1231" s="129"/>
      <c r="C1231" s="130"/>
      <c r="D1231" s="130"/>
      <c r="E1231" s="130"/>
      <c r="F1231" s="130"/>
      <c r="G1231" s="130"/>
      <c r="H1231" s="130"/>
      <c r="I1231" s="130"/>
    </row>
    <row r="1232" spans="2:9">
      <c r="B1232" s="129">
        <v>404</v>
      </c>
      <c r="C1232" s="130" t="s">
        <v>5122</v>
      </c>
      <c r="D1232" s="130" t="s">
        <v>5267</v>
      </c>
      <c r="E1232" s="130" t="s">
        <v>5135</v>
      </c>
      <c r="F1232" s="130" t="s">
        <v>5033</v>
      </c>
      <c r="G1232" s="130">
        <v>100000</v>
      </c>
      <c r="H1232" s="130">
        <v>149999</v>
      </c>
      <c r="I1232" s="130" t="s">
        <v>5004</v>
      </c>
    </row>
    <row r="1233" spans="2:9">
      <c r="B1233" s="129"/>
      <c r="C1233" s="130"/>
      <c r="D1233" s="130"/>
      <c r="E1233" s="130"/>
      <c r="F1233" s="130"/>
      <c r="G1233" s="130"/>
      <c r="H1233" s="130"/>
      <c r="I1233" s="130"/>
    </row>
    <row r="1234" spans="2:9">
      <c r="B1234" s="129"/>
      <c r="C1234" s="130"/>
      <c r="D1234" s="130"/>
      <c r="E1234" s="130"/>
      <c r="F1234" s="130"/>
      <c r="G1234" s="130"/>
      <c r="H1234" s="130"/>
      <c r="I1234" s="130"/>
    </row>
    <row r="1235" spans="2:9">
      <c r="B1235" s="129">
        <v>405</v>
      </c>
      <c r="C1235" s="130" t="s">
        <v>5009</v>
      </c>
      <c r="D1235" s="130" t="s">
        <v>5267</v>
      </c>
      <c r="E1235" s="130" t="s">
        <v>5269</v>
      </c>
      <c r="F1235" s="130" t="s">
        <v>5012</v>
      </c>
      <c r="G1235" s="130">
        <v>0</v>
      </c>
      <c r="H1235" s="130" t="s">
        <v>5037</v>
      </c>
      <c r="I1235" s="130" t="s">
        <v>5029</v>
      </c>
    </row>
    <row r="1236" spans="2:9">
      <c r="B1236" s="129"/>
      <c r="C1236" s="130"/>
      <c r="D1236" s="130"/>
      <c r="E1236" s="130"/>
      <c r="F1236" s="130"/>
      <c r="G1236" s="130"/>
      <c r="H1236" s="130"/>
      <c r="I1236" s="130"/>
    </row>
    <row r="1237" spans="2:9">
      <c r="B1237" s="129"/>
      <c r="C1237" s="130"/>
      <c r="D1237" s="130"/>
      <c r="E1237" s="130"/>
      <c r="F1237" s="130"/>
      <c r="G1237" s="130"/>
      <c r="H1237" s="130"/>
      <c r="I1237" s="130"/>
    </row>
    <row r="1238" spans="2:9">
      <c r="B1238" s="129">
        <v>406</v>
      </c>
      <c r="C1238" s="130" t="s">
        <v>5184</v>
      </c>
      <c r="D1238" s="130" t="s">
        <v>5270</v>
      </c>
      <c r="E1238" s="130" t="s">
        <v>5271</v>
      </c>
      <c r="F1238" s="130" t="s">
        <v>5026</v>
      </c>
      <c r="G1238" s="130">
        <v>500</v>
      </c>
      <c r="H1238" s="130" t="s">
        <v>5037</v>
      </c>
      <c r="I1238" s="130" t="s">
        <v>5004</v>
      </c>
    </row>
    <row r="1239" spans="2:9">
      <c r="B1239" s="129"/>
      <c r="C1239" s="130"/>
      <c r="D1239" s="130"/>
      <c r="E1239" s="130"/>
      <c r="F1239" s="130"/>
      <c r="G1239" s="130"/>
      <c r="H1239" s="130"/>
      <c r="I1239" s="130"/>
    </row>
    <row r="1240" spans="2:9">
      <c r="B1240" s="129"/>
      <c r="C1240" s="130"/>
      <c r="D1240" s="130"/>
      <c r="E1240" s="130"/>
      <c r="F1240" s="130"/>
      <c r="G1240" s="130"/>
      <c r="H1240" s="130"/>
      <c r="I1240" s="130"/>
    </row>
    <row r="1241" spans="2:9">
      <c r="B1241" s="129">
        <v>407</v>
      </c>
      <c r="C1241" s="130" t="s">
        <v>5081</v>
      </c>
      <c r="D1241" s="130" t="s">
        <v>5270</v>
      </c>
      <c r="E1241" s="130" t="s">
        <v>5132</v>
      </c>
      <c r="F1241" s="130" t="s">
        <v>5008</v>
      </c>
      <c r="G1241" s="130">
        <v>500</v>
      </c>
      <c r="H1241" s="130" t="s">
        <v>5037</v>
      </c>
      <c r="I1241" s="130" t="s">
        <v>5004</v>
      </c>
    </row>
    <row r="1242" spans="2:9">
      <c r="B1242" s="129"/>
      <c r="C1242" s="130"/>
      <c r="D1242" s="130"/>
      <c r="E1242" s="130"/>
      <c r="F1242" s="130"/>
      <c r="G1242" s="130"/>
      <c r="H1242" s="130"/>
      <c r="I1242" s="130"/>
    </row>
    <row r="1243" spans="2:9">
      <c r="B1243" s="129"/>
      <c r="C1243" s="130"/>
      <c r="D1243" s="130"/>
      <c r="E1243" s="130"/>
      <c r="F1243" s="130"/>
      <c r="G1243" s="130"/>
      <c r="H1243" s="130"/>
      <c r="I1243" s="130"/>
    </row>
    <row r="1244" spans="2:9">
      <c r="B1244" s="129">
        <v>408</v>
      </c>
      <c r="C1244" s="130" t="s">
        <v>5081</v>
      </c>
      <c r="D1244" s="130" t="s">
        <v>5270</v>
      </c>
      <c r="E1244" s="130" t="s">
        <v>5177</v>
      </c>
      <c r="F1244" s="130" t="s">
        <v>5008</v>
      </c>
      <c r="G1244" s="130">
        <v>500</v>
      </c>
      <c r="H1244" s="130" t="s">
        <v>5037</v>
      </c>
      <c r="I1244" s="130" t="s">
        <v>5004</v>
      </c>
    </row>
    <row r="1245" spans="2:9">
      <c r="B1245" s="129"/>
      <c r="C1245" s="130"/>
      <c r="D1245" s="130"/>
      <c r="E1245" s="130"/>
      <c r="F1245" s="130"/>
      <c r="G1245" s="130"/>
      <c r="H1245" s="130"/>
      <c r="I1245" s="130"/>
    </row>
    <row r="1246" spans="2:9">
      <c r="B1246" s="129"/>
      <c r="C1246" s="130"/>
      <c r="D1246" s="130"/>
      <c r="E1246" s="130"/>
      <c r="F1246" s="130"/>
      <c r="G1246" s="130"/>
      <c r="H1246" s="130"/>
      <c r="I1246" s="130"/>
    </row>
    <row r="1247" spans="2:9">
      <c r="B1247" s="129">
        <v>409</v>
      </c>
      <c r="C1247" s="130" t="s">
        <v>5218</v>
      </c>
      <c r="D1247" s="130" t="s">
        <v>5270</v>
      </c>
      <c r="E1247" s="130" t="s">
        <v>5246</v>
      </c>
      <c r="F1247" s="130" t="s">
        <v>5033</v>
      </c>
      <c r="G1247" s="130">
        <v>100000</v>
      </c>
      <c r="H1247" s="130" t="s">
        <v>5037</v>
      </c>
      <c r="I1247" s="130" t="s">
        <v>5004</v>
      </c>
    </row>
    <row r="1248" spans="2:9">
      <c r="B1248" s="129"/>
      <c r="C1248" s="130"/>
      <c r="D1248" s="130"/>
      <c r="E1248" s="130"/>
      <c r="F1248" s="130"/>
      <c r="G1248" s="130"/>
      <c r="H1248" s="130"/>
      <c r="I1248" s="130"/>
    </row>
    <row r="1249" spans="2:9">
      <c r="B1249" s="129"/>
      <c r="C1249" s="130"/>
      <c r="D1249" s="130"/>
      <c r="E1249" s="130"/>
      <c r="F1249" s="130"/>
      <c r="G1249" s="130"/>
      <c r="H1249" s="130"/>
      <c r="I1249" s="130"/>
    </row>
    <row r="1250" spans="2:9">
      <c r="B1250" s="129">
        <v>410</v>
      </c>
      <c r="C1250" s="130" t="s">
        <v>5218</v>
      </c>
      <c r="D1250" s="130" t="s">
        <v>5270</v>
      </c>
      <c r="E1250" s="130" t="s">
        <v>5246</v>
      </c>
      <c r="F1250" s="130" t="s">
        <v>5031</v>
      </c>
      <c r="G1250" s="130">
        <v>50000</v>
      </c>
      <c r="H1250" s="130">
        <v>100000</v>
      </c>
      <c r="I1250" s="130" t="s">
        <v>5004</v>
      </c>
    </row>
    <row r="1251" spans="2:9">
      <c r="B1251" s="129"/>
      <c r="C1251" s="130"/>
      <c r="D1251" s="130"/>
      <c r="E1251" s="130"/>
      <c r="F1251" s="130"/>
      <c r="G1251" s="130"/>
      <c r="H1251" s="130"/>
      <c r="I1251" s="130"/>
    </row>
    <row r="1252" spans="2:9">
      <c r="B1252" s="129"/>
      <c r="C1252" s="130"/>
      <c r="D1252" s="130"/>
      <c r="E1252" s="130"/>
      <c r="F1252" s="130"/>
      <c r="G1252" s="130"/>
      <c r="H1252" s="130"/>
      <c r="I1252" s="130"/>
    </row>
    <row r="1253" spans="2:9">
      <c r="B1253" s="129">
        <v>411</v>
      </c>
      <c r="C1253" s="130" t="s">
        <v>5218</v>
      </c>
      <c r="D1253" s="130" t="s">
        <v>5270</v>
      </c>
      <c r="E1253" s="130" t="s">
        <v>5219</v>
      </c>
      <c r="F1253" s="130" t="s">
        <v>5026</v>
      </c>
      <c r="G1253" s="130">
        <v>20000</v>
      </c>
      <c r="H1253" s="130">
        <v>50000</v>
      </c>
      <c r="I1253" s="130" t="s">
        <v>5004</v>
      </c>
    </row>
    <row r="1254" spans="2:9">
      <c r="B1254" s="129"/>
      <c r="C1254" s="130"/>
      <c r="D1254" s="130"/>
      <c r="E1254" s="130"/>
      <c r="F1254" s="130"/>
      <c r="G1254" s="130"/>
      <c r="H1254" s="130"/>
      <c r="I1254" s="130"/>
    </row>
    <row r="1255" spans="2:9">
      <c r="B1255" s="129"/>
      <c r="C1255" s="130"/>
      <c r="D1255" s="130"/>
      <c r="E1255" s="130"/>
      <c r="F1255" s="130"/>
      <c r="G1255" s="130"/>
      <c r="H1255" s="130"/>
      <c r="I1255" s="130"/>
    </row>
    <row r="1256" spans="2:9">
      <c r="B1256" s="129">
        <v>412</v>
      </c>
      <c r="C1256" s="130" t="s">
        <v>5218</v>
      </c>
      <c r="D1256" s="130" t="s">
        <v>5270</v>
      </c>
      <c r="E1256" s="130" t="s">
        <v>5219</v>
      </c>
      <c r="F1256" s="130" t="s">
        <v>5043</v>
      </c>
      <c r="G1256" s="130">
        <v>5000</v>
      </c>
      <c r="H1256" s="130">
        <v>20000</v>
      </c>
      <c r="I1256" s="130" t="s">
        <v>5004</v>
      </c>
    </row>
    <row r="1257" spans="2:9">
      <c r="B1257" s="129"/>
      <c r="C1257" s="130"/>
      <c r="D1257" s="130"/>
      <c r="E1257" s="130"/>
      <c r="F1257" s="130"/>
      <c r="G1257" s="130"/>
      <c r="H1257" s="130"/>
      <c r="I1257" s="130"/>
    </row>
    <row r="1258" spans="2:9">
      <c r="B1258" s="129"/>
      <c r="C1258" s="130"/>
      <c r="D1258" s="130"/>
      <c r="E1258" s="130"/>
      <c r="F1258" s="130"/>
      <c r="G1258" s="130"/>
      <c r="H1258" s="130"/>
      <c r="I1258" s="130"/>
    </row>
    <row r="1259" spans="2:9">
      <c r="B1259" s="129">
        <v>413</v>
      </c>
      <c r="C1259" s="130" t="s">
        <v>5238</v>
      </c>
      <c r="D1259" s="130" t="s">
        <v>5270</v>
      </c>
      <c r="E1259" s="130" t="s">
        <v>5240</v>
      </c>
      <c r="F1259" s="130" t="s">
        <v>5026</v>
      </c>
      <c r="G1259" s="130">
        <v>20000</v>
      </c>
      <c r="H1259" s="130" t="s">
        <v>5037</v>
      </c>
      <c r="I1259" s="130" t="s">
        <v>5004</v>
      </c>
    </row>
    <row r="1260" spans="2:9">
      <c r="B1260" s="129"/>
      <c r="C1260" s="130"/>
      <c r="D1260" s="130"/>
      <c r="E1260" s="130"/>
      <c r="F1260" s="130"/>
      <c r="G1260" s="130"/>
      <c r="H1260" s="130"/>
      <c r="I1260" s="130"/>
    </row>
    <row r="1261" spans="2:9">
      <c r="B1261" s="129"/>
      <c r="C1261" s="130"/>
      <c r="D1261" s="130"/>
      <c r="E1261" s="130"/>
      <c r="F1261" s="130"/>
      <c r="G1261" s="130"/>
      <c r="H1261" s="130"/>
      <c r="I1261" s="130"/>
    </row>
    <row r="1262" spans="2:9">
      <c r="B1262" s="129">
        <v>414</v>
      </c>
      <c r="C1262" s="130" t="s">
        <v>5238</v>
      </c>
      <c r="D1262" s="130" t="s">
        <v>5270</v>
      </c>
      <c r="E1262" s="130" t="s">
        <v>5240</v>
      </c>
      <c r="F1262" s="130" t="s">
        <v>5085</v>
      </c>
      <c r="G1262" s="130">
        <v>1000</v>
      </c>
      <c r="H1262" s="130">
        <v>20000</v>
      </c>
      <c r="I1262" s="130" t="s">
        <v>5004</v>
      </c>
    </row>
    <row r="1263" spans="2:9">
      <c r="B1263" s="129"/>
      <c r="C1263" s="130"/>
      <c r="D1263" s="130"/>
      <c r="E1263" s="130"/>
      <c r="F1263" s="130"/>
      <c r="G1263" s="130"/>
      <c r="H1263" s="130"/>
      <c r="I1263" s="130"/>
    </row>
    <row r="1264" spans="2:9">
      <c r="B1264" s="129"/>
      <c r="C1264" s="130"/>
      <c r="D1264" s="130"/>
      <c r="E1264" s="130"/>
      <c r="F1264" s="130"/>
      <c r="G1264" s="130"/>
      <c r="H1264" s="130"/>
      <c r="I1264" s="130"/>
    </row>
    <row r="1265" spans="2:9">
      <c r="B1265" s="129">
        <v>415</v>
      </c>
      <c r="C1265" s="130" t="s">
        <v>5188</v>
      </c>
      <c r="D1265" s="130" t="s">
        <v>5270</v>
      </c>
      <c r="E1265" s="130" t="s">
        <v>5213</v>
      </c>
      <c r="F1265" s="130" t="s">
        <v>5026</v>
      </c>
      <c r="G1265" s="130">
        <v>30000</v>
      </c>
      <c r="H1265" s="130">
        <v>100000</v>
      </c>
      <c r="I1265" s="130" t="s">
        <v>5004</v>
      </c>
    </row>
    <row r="1266" spans="2:9">
      <c r="B1266" s="129"/>
      <c r="C1266" s="130"/>
      <c r="D1266" s="130"/>
      <c r="E1266" s="130"/>
      <c r="F1266" s="130"/>
      <c r="G1266" s="130"/>
      <c r="H1266" s="130"/>
      <c r="I1266" s="130"/>
    </row>
    <row r="1267" spans="2:9">
      <c r="B1267" s="129"/>
      <c r="C1267" s="130"/>
      <c r="D1267" s="130"/>
      <c r="E1267" s="130"/>
      <c r="F1267" s="130"/>
      <c r="G1267" s="130"/>
      <c r="H1267" s="130"/>
      <c r="I1267" s="130"/>
    </row>
    <row r="1268" spans="2:9">
      <c r="B1268" s="129">
        <v>416</v>
      </c>
      <c r="C1268" s="130" t="s">
        <v>5188</v>
      </c>
      <c r="D1268" s="130" t="s">
        <v>5270</v>
      </c>
      <c r="E1268" s="130" t="s">
        <v>5213</v>
      </c>
      <c r="F1268" s="130" t="s">
        <v>5043</v>
      </c>
      <c r="G1268" s="130">
        <v>500</v>
      </c>
      <c r="H1268" s="130">
        <v>10000</v>
      </c>
      <c r="I1268" s="130" t="s">
        <v>5004</v>
      </c>
    </row>
    <row r="1269" spans="2:9">
      <c r="B1269" s="129"/>
      <c r="C1269" s="130"/>
      <c r="D1269" s="130"/>
      <c r="E1269" s="130"/>
      <c r="F1269" s="130"/>
      <c r="G1269" s="130"/>
      <c r="H1269" s="130"/>
      <c r="I1269" s="130"/>
    </row>
    <row r="1270" spans="2:9">
      <c r="B1270" s="129"/>
      <c r="C1270" s="130"/>
      <c r="D1270" s="130"/>
      <c r="E1270" s="130"/>
      <c r="F1270" s="130"/>
      <c r="G1270" s="130"/>
      <c r="H1270" s="130"/>
      <c r="I1270" s="130"/>
    </row>
    <row r="1271" spans="2:9">
      <c r="B1271" s="129">
        <v>417</v>
      </c>
      <c r="C1271" s="130" t="s">
        <v>5027</v>
      </c>
      <c r="D1271" s="130" t="s">
        <v>5270</v>
      </c>
      <c r="E1271" s="130" t="s">
        <v>5272</v>
      </c>
      <c r="F1271" s="130" t="s">
        <v>5226</v>
      </c>
      <c r="G1271" s="130">
        <v>500</v>
      </c>
      <c r="H1271" s="130" t="s">
        <v>5037</v>
      </c>
      <c r="I1271" s="130" t="s">
        <v>5004</v>
      </c>
    </row>
    <row r="1272" spans="2:9">
      <c r="B1272" s="129"/>
      <c r="C1272" s="130"/>
      <c r="D1272" s="130"/>
      <c r="E1272" s="130"/>
      <c r="F1272" s="130"/>
      <c r="G1272" s="130"/>
      <c r="H1272" s="130"/>
      <c r="I1272" s="130"/>
    </row>
    <row r="1273" spans="2:9">
      <c r="B1273" s="129"/>
      <c r="C1273" s="130"/>
      <c r="D1273" s="130"/>
      <c r="E1273" s="130"/>
      <c r="F1273" s="130"/>
      <c r="G1273" s="130"/>
      <c r="H1273" s="130"/>
      <c r="I1273" s="130"/>
    </row>
    <row r="1274" spans="2:9">
      <c r="B1274" s="129">
        <v>418</v>
      </c>
      <c r="C1274" s="130" t="s">
        <v>5027</v>
      </c>
      <c r="D1274" s="130" t="s">
        <v>5270</v>
      </c>
      <c r="E1274" s="130" t="s">
        <v>5273</v>
      </c>
      <c r="F1274" s="130" t="s">
        <v>5196</v>
      </c>
      <c r="G1274" s="130">
        <v>5000</v>
      </c>
      <c r="H1274" s="130">
        <v>18500</v>
      </c>
      <c r="I1274" s="130" t="s">
        <v>5013</v>
      </c>
    </row>
    <row r="1275" spans="2:9">
      <c r="B1275" s="129"/>
      <c r="C1275" s="130"/>
      <c r="D1275" s="130"/>
      <c r="E1275" s="130"/>
      <c r="F1275" s="130"/>
      <c r="G1275" s="130"/>
      <c r="H1275" s="130"/>
      <c r="I1275" s="130"/>
    </row>
    <row r="1276" spans="2:9">
      <c r="B1276" s="129"/>
      <c r="C1276" s="130"/>
      <c r="D1276" s="130"/>
      <c r="E1276" s="130"/>
      <c r="F1276" s="130"/>
      <c r="G1276" s="130"/>
      <c r="H1276" s="130"/>
      <c r="I1276" s="130"/>
    </row>
    <row r="1277" spans="2:9">
      <c r="B1277" s="129">
        <v>419</v>
      </c>
      <c r="C1277" s="130" t="s">
        <v>5125</v>
      </c>
      <c r="D1277" s="130" t="s">
        <v>5270</v>
      </c>
      <c r="E1277" s="130" t="s">
        <v>5198</v>
      </c>
      <c r="F1277" s="130" t="s">
        <v>5050</v>
      </c>
      <c r="G1277" s="130">
        <v>1000</v>
      </c>
      <c r="H1277" s="130">
        <v>100000</v>
      </c>
      <c r="I1277" s="130" t="s">
        <v>5004</v>
      </c>
    </row>
    <row r="1278" spans="2:9">
      <c r="B1278" s="129"/>
      <c r="C1278" s="130"/>
      <c r="D1278" s="130"/>
      <c r="E1278" s="130"/>
      <c r="F1278" s="130"/>
      <c r="G1278" s="130"/>
      <c r="H1278" s="130"/>
      <c r="I1278" s="130"/>
    </row>
    <row r="1279" spans="2:9">
      <c r="B1279" s="129"/>
      <c r="C1279" s="130"/>
      <c r="D1279" s="130"/>
      <c r="E1279" s="130"/>
      <c r="F1279" s="130"/>
      <c r="G1279" s="130"/>
      <c r="H1279" s="130"/>
      <c r="I1279" s="130"/>
    </row>
    <row r="1280" spans="2:9">
      <c r="B1280" s="129">
        <v>420</v>
      </c>
      <c r="C1280" s="130" t="s">
        <v>5125</v>
      </c>
      <c r="D1280" s="130" t="s">
        <v>5270</v>
      </c>
      <c r="E1280" s="130" t="s">
        <v>5198</v>
      </c>
      <c r="F1280" s="130" t="s">
        <v>5020</v>
      </c>
      <c r="G1280" s="130">
        <v>1000</v>
      </c>
      <c r="H1280" s="130">
        <v>100000</v>
      </c>
      <c r="I1280" s="130" t="s">
        <v>5004</v>
      </c>
    </row>
    <row r="1281" spans="2:9">
      <c r="B1281" s="129"/>
      <c r="C1281" s="130"/>
      <c r="D1281" s="130"/>
      <c r="E1281" s="130"/>
      <c r="F1281" s="130"/>
      <c r="G1281" s="130"/>
      <c r="H1281" s="130"/>
      <c r="I1281" s="130"/>
    </row>
    <row r="1282" spans="2:9">
      <c r="B1282" s="129"/>
      <c r="C1282" s="130"/>
      <c r="D1282" s="130"/>
      <c r="E1282" s="130"/>
      <c r="F1282" s="130"/>
      <c r="G1282" s="130"/>
      <c r="H1282" s="130"/>
      <c r="I1282" s="130"/>
    </row>
    <row r="1283" spans="2:9">
      <c r="B1283" s="129">
        <v>421</v>
      </c>
      <c r="C1283" s="130" t="s">
        <v>5125</v>
      </c>
      <c r="D1283" s="130" t="s">
        <v>5270</v>
      </c>
      <c r="E1283" s="130" t="s">
        <v>5198</v>
      </c>
      <c r="F1283" s="130" t="s">
        <v>5033</v>
      </c>
      <c r="G1283" s="130">
        <v>1000</v>
      </c>
      <c r="H1283" s="130">
        <v>100000</v>
      </c>
      <c r="I1283" s="130" t="s">
        <v>5004</v>
      </c>
    </row>
    <row r="1284" spans="2:9">
      <c r="B1284" s="129"/>
      <c r="C1284" s="130"/>
      <c r="D1284" s="130"/>
      <c r="E1284" s="130"/>
      <c r="F1284" s="130"/>
      <c r="G1284" s="130"/>
      <c r="H1284" s="130"/>
      <c r="I1284" s="130"/>
    </row>
    <row r="1285" spans="2:9">
      <c r="B1285" s="129"/>
      <c r="C1285" s="130"/>
      <c r="D1285" s="130"/>
      <c r="E1285" s="130"/>
      <c r="F1285" s="130"/>
      <c r="G1285" s="130"/>
      <c r="H1285" s="130"/>
      <c r="I1285" s="130"/>
    </row>
    <row r="1286" spans="2:9">
      <c r="B1286" s="129">
        <v>422</v>
      </c>
      <c r="C1286" s="130" t="s">
        <v>5235</v>
      </c>
      <c r="D1286" s="130" t="s">
        <v>5270</v>
      </c>
      <c r="E1286" s="130" t="s">
        <v>5274</v>
      </c>
      <c r="F1286" s="130" t="s">
        <v>5196</v>
      </c>
      <c r="G1286" s="130">
        <v>500</v>
      </c>
      <c r="H1286" s="130">
        <v>20000</v>
      </c>
      <c r="I1286" s="130" t="s">
        <v>5013</v>
      </c>
    </row>
    <row r="1287" spans="2:9">
      <c r="B1287" s="129"/>
      <c r="C1287" s="130"/>
      <c r="D1287" s="130"/>
      <c r="E1287" s="130"/>
      <c r="F1287" s="130"/>
      <c r="G1287" s="130"/>
      <c r="H1287" s="130"/>
      <c r="I1287" s="130"/>
    </row>
    <row r="1288" spans="2:9">
      <c r="B1288" s="129"/>
      <c r="C1288" s="130"/>
      <c r="D1288" s="130"/>
      <c r="E1288" s="130"/>
      <c r="F1288" s="130"/>
      <c r="G1288" s="130"/>
      <c r="H1288" s="130"/>
      <c r="I1288" s="130"/>
    </row>
    <row r="1289" spans="2:9">
      <c r="B1289" s="129">
        <v>423</v>
      </c>
      <c r="C1289" s="130" t="s">
        <v>5235</v>
      </c>
      <c r="D1289" s="130" t="s">
        <v>5270</v>
      </c>
      <c r="E1289" s="130" t="s">
        <v>5251</v>
      </c>
      <c r="F1289" s="130" t="s">
        <v>5050</v>
      </c>
      <c r="G1289" s="130">
        <v>20000</v>
      </c>
      <c r="H1289" s="130" t="s">
        <v>5037</v>
      </c>
      <c r="I1289" s="130" t="s">
        <v>5004</v>
      </c>
    </row>
    <row r="1290" spans="2:9">
      <c r="B1290" s="129"/>
      <c r="C1290" s="130"/>
      <c r="D1290" s="130"/>
      <c r="E1290" s="130"/>
      <c r="F1290" s="130"/>
      <c r="G1290" s="130"/>
      <c r="H1290" s="130"/>
      <c r="I1290" s="130"/>
    </row>
    <row r="1291" spans="2:9">
      <c r="B1291" s="129"/>
      <c r="C1291" s="130"/>
      <c r="D1291" s="130"/>
      <c r="E1291" s="130"/>
      <c r="F1291" s="130"/>
      <c r="G1291" s="130"/>
      <c r="H1291" s="130"/>
      <c r="I1291" s="130"/>
    </row>
    <row r="1292" spans="2:9">
      <c r="B1292" s="129">
        <v>424</v>
      </c>
      <c r="C1292" s="130" t="s">
        <v>5235</v>
      </c>
      <c r="D1292" s="130" t="s">
        <v>5270</v>
      </c>
      <c r="E1292" s="130" t="s">
        <v>5251</v>
      </c>
      <c r="F1292" s="130" t="s">
        <v>5020</v>
      </c>
      <c r="G1292" s="130">
        <v>20000</v>
      </c>
      <c r="H1292" s="130" t="s">
        <v>5037</v>
      </c>
      <c r="I1292" s="130" t="s">
        <v>5004</v>
      </c>
    </row>
    <row r="1293" spans="2:9">
      <c r="B1293" s="129"/>
      <c r="C1293" s="130"/>
      <c r="D1293" s="130"/>
      <c r="E1293" s="130"/>
      <c r="F1293" s="130"/>
      <c r="G1293" s="130"/>
      <c r="H1293" s="130"/>
      <c r="I1293" s="130"/>
    </row>
    <row r="1294" spans="2:9">
      <c r="B1294" s="129"/>
      <c r="C1294" s="130"/>
      <c r="D1294" s="130"/>
      <c r="E1294" s="130"/>
      <c r="F1294" s="130"/>
      <c r="G1294" s="130"/>
      <c r="H1294" s="130"/>
      <c r="I1294" s="130"/>
    </row>
    <row r="1295" spans="2:9">
      <c r="B1295" s="129">
        <v>425</v>
      </c>
      <c r="C1295" s="130" t="s">
        <v>5235</v>
      </c>
      <c r="D1295" s="130" t="s">
        <v>5270</v>
      </c>
      <c r="E1295" s="130" t="s">
        <v>5251</v>
      </c>
      <c r="F1295" s="130" t="s">
        <v>5033</v>
      </c>
      <c r="G1295" s="130">
        <v>20000</v>
      </c>
      <c r="H1295" s="130" t="s">
        <v>5037</v>
      </c>
      <c r="I1295" s="130" t="s">
        <v>5004</v>
      </c>
    </row>
    <row r="1296" spans="2:9">
      <c r="B1296" s="129"/>
      <c r="C1296" s="130"/>
      <c r="D1296" s="130"/>
      <c r="E1296" s="130"/>
      <c r="F1296" s="130"/>
      <c r="G1296" s="130"/>
      <c r="H1296" s="130"/>
      <c r="I1296" s="130"/>
    </row>
    <row r="1297" spans="2:9">
      <c r="B1297" s="129"/>
      <c r="C1297" s="130"/>
      <c r="D1297" s="130"/>
      <c r="E1297" s="130"/>
      <c r="F1297" s="130"/>
      <c r="G1297" s="130"/>
      <c r="H1297" s="130"/>
      <c r="I1297" s="130"/>
    </row>
    <row r="1298" spans="2:9">
      <c r="B1298" s="129">
        <v>426</v>
      </c>
      <c r="C1298" s="130" t="s">
        <v>5235</v>
      </c>
      <c r="D1298" s="130" t="s">
        <v>5270</v>
      </c>
      <c r="E1298" s="130" t="s">
        <v>5251</v>
      </c>
      <c r="F1298" s="130" t="s">
        <v>5026</v>
      </c>
      <c r="G1298" s="130">
        <v>1000</v>
      </c>
      <c r="H1298" s="130">
        <v>20000</v>
      </c>
      <c r="I1298" s="130" t="s">
        <v>5004</v>
      </c>
    </row>
    <row r="1299" spans="2:9">
      <c r="B1299" s="129"/>
      <c r="C1299" s="130"/>
      <c r="D1299" s="130"/>
      <c r="E1299" s="130"/>
      <c r="F1299" s="130"/>
      <c r="G1299" s="130"/>
      <c r="H1299" s="130"/>
      <c r="I1299" s="130"/>
    </row>
    <row r="1300" spans="2:9">
      <c r="B1300" s="129"/>
      <c r="C1300" s="130"/>
      <c r="D1300" s="130"/>
      <c r="E1300" s="130"/>
      <c r="F1300" s="130"/>
      <c r="G1300" s="130"/>
      <c r="H1300" s="130"/>
      <c r="I1300" s="130"/>
    </row>
    <row r="1301" spans="2:9">
      <c r="B1301" s="129">
        <v>427</v>
      </c>
      <c r="C1301" s="130" t="s">
        <v>5235</v>
      </c>
      <c r="D1301" s="130" t="s">
        <v>5270</v>
      </c>
      <c r="E1301" s="130" t="s">
        <v>5252</v>
      </c>
      <c r="F1301" s="130" t="s">
        <v>5050</v>
      </c>
      <c r="G1301" s="130">
        <v>1000</v>
      </c>
      <c r="H1301" s="130" t="s">
        <v>5037</v>
      </c>
      <c r="I1301" s="130" t="s">
        <v>5004</v>
      </c>
    </row>
    <row r="1302" spans="2:9">
      <c r="B1302" s="129"/>
      <c r="C1302" s="130"/>
      <c r="D1302" s="130"/>
      <c r="E1302" s="130"/>
      <c r="F1302" s="130"/>
      <c r="G1302" s="130"/>
      <c r="H1302" s="130"/>
      <c r="I1302" s="130"/>
    </row>
    <row r="1303" spans="2:9">
      <c r="B1303" s="129"/>
      <c r="C1303" s="130"/>
      <c r="D1303" s="130"/>
      <c r="E1303" s="130"/>
      <c r="F1303" s="130"/>
      <c r="G1303" s="130"/>
      <c r="H1303" s="130"/>
      <c r="I1303" s="130"/>
    </row>
    <row r="1304" spans="2:9">
      <c r="B1304" s="129">
        <v>428</v>
      </c>
      <c r="C1304" s="130" t="s">
        <v>5235</v>
      </c>
      <c r="D1304" s="130" t="s">
        <v>5270</v>
      </c>
      <c r="E1304" s="130" t="s">
        <v>5252</v>
      </c>
      <c r="F1304" s="130" t="s">
        <v>5020</v>
      </c>
      <c r="G1304" s="130">
        <v>1000</v>
      </c>
      <c r="H1304" s="130" t="s">
        <v>5037</v>
      </c>
      <c r="I1304" s="130" t="s">
        <v>5004</v>
      </c>
    </row>
    <row r="1305" spans="2:9">
      <c r="B1305" s="129"/>
      <c r="C1305" s="130"/>
      <c r="D1305" s="130"/>
      <c r="E1305" s="130"/>
      <c r="F1305" s="130"/>
      <c r="G1305" s="130"/>
      <c r="H1305" s="130"/>
      <c r="I1305" s="130"/>
    </row>
    <row r="1306" spans="2:9">
      <c r="B1306" s="129"/>
      <c r="C1306" s="130"/>
      <c r="D1306" s="130"/>
      <c r="E1306" s="130"/>
      <c r="F1306" s="130"/>
      <c r="G1306" s="130"/>
      <c r="H1306" s="130"/>
      <c r="I1306" s="130"/>
    </row>
    <row r="1307" spans="2:9">
      <c r="B1307" s="129">
        <v>429</v>
      </c>
      <c r="C1307" s="130" t="s">
        <v>5235</v>
      </c>
      <c r="D1307" s="130" t="s">
        <v>5270</v>
      </c>
      <c r="E1307" s="130" t="s">
        <v>5252</v>
      </c>
      <c r="F1307" s="130" t="s">
        <v>5033</v>
      </c>
      <c r="G1307" s="130">
        <v>1000</v>
      </c>
      <c r="H1307" s="130" t="s">
        <v>5037</v>
      </c>
      <c r="I1307" s="130" t="s">
        <v>5004</v>
      </c>
    </row>
    <row r="1308" spans="2:9">
      <c r="B1308" s="129"/>
      <c r="C1308" s="130"/>
      <c r="D1308" s="130"/>
      <c r="E1308" s="130"/>
      <c r="F1308" s="130"/>
      <c r="G1308" s="130"/>
      <c r="H1308" s="130"/>
      <c r="I1308" s="130"/>
    </row>
    <row r="1309" spans="2:9">
      <c r="B1309" s="129"/>
      <c r="C1309" s="130"/>
      <c r="D1309" s="130"/>
      <c r="E1309" s="130"/>
      <c r="F1309" s="130"/>
      <c r="G1309" s="130"/>
      <c r="H1309" s="130"/>
      <c r="I1309" s="130"/>
    </row>
    <row r="1310" spans="2:9">
      <c r="B1310" s="129">
        <v>430</v>
      </c>
      <c r="C1310" s="130" t="s">
        <v>5102</v>
      </c>
      <c r="D1310" s="130" t="s">
        <v>5270</v>
      </c>
      <c r="E1310" s="130" t="s">
        <v>5132</v>
      </c>
      <c r="F1310" s="130" t="s">
        <v>5033</v>
      </c>
      <c r="G1310" s="130">
        <v>1000</v>
      </c>
      <c r="H1310" s="130">
        <v>10000</v>
      </c>
      <c r="I1310" s="130" t="s">
        <v>5004</v>
      </c>
    </row>
    <row r="1311" spans="2:9">
      <c r="B1311" s="129"/>
      <c r="C1311" s="130"/>
      <c r="D1311" s="130"/>
      <c r="E1311" s="130"/>
      <c r="F1311" s="130"/>
      <c r="G1311" s="130"/>
      <c r="H1311" s="130"/>
      <c r="I1311" s="130"/>
    </row>
    <row r="1312" spans="2:9">
      <c r="B1312" s="129"/>
      <c r="C1312" s="130"/>
      <c r="D1312" s="130"/>
      <c r="E1312" s="130"/>
      <c r="F1312" s="130"/>
      <c r="G1312" s="130"/>
      <c r="H1312" s="130"/>
      <c r="I1312" s="130"/>
    </row>
    <row r="1313" spans="2:9">
      <c r="B1313" s="129">
        <v>431</v>
      </c>
      <c r="C1313" s="130" t="s">
        <v>5061</v>
      </c>
      <c r="D1313" s="130" t="s">
        <v>5270</v>
      </c>
      <c r="E1313" s="130" t="s">
        <v>5075</v>
      </c>
      <c r="F1313" s="130" t="s">
        <v>5012</v>
      </c>
      <c r="G1313" s="130">
        <v>0</v>
      </c>
      <c r="H1313" s="130" t="s">
        <v>5037</v>
      </c>
      <c r="I1313" s="130" t="s">
        <v>5013</v>
      </c>
    </row>
    <row r="1314" spans="2:9">
      <c r="B1314" s="129"/>
      <c r="C1314" s="130"/>
      <c r="D1314" s="130"/>
      <c r="E1314" s="130"/>
      <c r="F1314" s="130"/>
      <c r="G1314" s="130"/>
      <c r="H1314" s="130"/>
      <c r="I1314" s="130"/>
    </row>
    <row r="1315" spans="2:9">
      <c r="B1315" s="129"/>
      <c r="C1315" s="130"/>
      <c r="D1315" s="130"/>
      <c r="E1315" s="130"/>
      <c r="F1315" s="130"/>
      <c r="G1315" s="130"/>
      <c r="H1315" s="130"/>
      <c r="I1315" s="130"/>
    </row>
    <row r="1316" spans="2:9">
      <c r="B1316" s="129">
        <v>432</v>
      </c>
      <c r="C1316" s="130" t="s">
        <v>5235</v>
      </c>
      <c r="D1316" s="130" t="s">
        <v>5270</v>
      </c>
      <c r="E1316" s="130" t="s">
        <v>5275</v>
      </c>
      <c r="F1316" s="130" t="s">
        <v>5012</v>
      </c>
      <c r="G1316" s="130">
        <v>100000</v>
      </c>
      <c r="H1316" s="130" t="s">
        <v>5037</v>
      </c>
      <c r="I1316" s="130" t="s">
        <v>5029</v>
      </c>
    </row>
    <row r="1317" spans="2:9">
      <c r="B1317" s="129"/>
      <c r="C1317" s="130"/>
      <c r="D1317" s="130"/>
      <c r="E1317" s="130"/>
      <c r="F1317" s="130"/>
      <c r="G1317" s="130"/>
      <c r="H1317" s="130"/>
      <c r="I1317" s="130"/>
    </row>
    <row r="1318" spans="2:9">
      <c r="B1318" s="129"/>
      <c r="C1318" s="130"/>
      <c r="D1318" s="130"/>
      <c r="E1318" s="130"/>
      <c r="F1318" s="130"/>
      <c r="G1318" s="130"/>
      <c r="H1318" s="130"/>
      <c r="I1318" s="130"/>
    </row>
    <row r="1319" spans="2:9">
      <c r="B1319" s="129">
        <v>433</v>
      </c>
      <c r="C1319" s="130" t="s">
        <v>5061</v>
      </c>
      <c r="D1319" s="130" t="s">
        <v>5270</v>
      </c>
      <c r="E1319" s="130" t="s">
        <v>5132</v>
      </c>
      <c r="F1319" s="130" t="s">
        <v>5033</v>
      </c>
      <c r="G1319" s="130">
        <v>500</v>
      </c>
      <c r="H1319" s="130" t="s">
        <v>5037</v>
      </c>
      <c r="I1319" s="130" t="s">
        <v>5004</v>
      </c>
    </row>
    <row r="1320" spans="2:9">
      <c r="B1320" s="129"/>
      <c r="C1320" s="130"/>
      <c r="D1320" s="130"/>
      <c r="E1320" s="130"/>
      <c r="F1320" s="130"/>
      <c r="G1320" s="130"/>
      <c r="H1320" s="130"/>
      <c r="I1320" s="130"/>
    </row>
    <row r="1321" spans="2:9">
      <c r="B1321" s="129"/>
      <c r="C1321" s="130"/>
      <c r="D1321" s="130"/>
      <c r="E1321" s="130"/>
      <c r="F1321" s="130"/>
      <c r="G1321" s="130"/>
      <c r="H1321" s="130"/>
      <c r="I1321" s="130"/>
    </row>
    <row r="1322" spans="2:9">
      <c r="B1322" s="129">
        <v>434</v>
      </c>
      <c r="C1322" s="130" t="s">
        <v>5171</v>
      </c>
      <c r="D1322" s="130" t="s">
        <v>5270</v>
      </c>
      <c r="E1322" s="130" t="s">
        <v>5133</v>
      </c>
      <c r="F1322" s="130" t="s">
        <v>5026</v>
      </c>
      <c r="G1322" s="130">
        <v>1000</v>
      </c>
      <c r="H1322" s="130" t="s">
        <v>5037</v>
      </c>
      <c r="I1322" s="130" t="s">
        <v>5004</v>
      </c>
    </row>
    <row r="1323" spans="2:9">
      <c r="B1323" s="129"/>
      <c r="C1323" s="130"/>
      <c r="D1323" s="130"/>
      <c r="E1323" s="130"/>
      <c r="F1323" s="130"/>
      <c r="G1323" s="130"/>
      <c r="H1323" s="130"/>
      <c r="I1323" s="130"/>
    </row>
    <row r="1324" spans="2:9">
      <c r="B1324" s="129"/>
      <c r="C1324" s="130"/>
      <c r="D1324" s="130"/>
      <c r="E1324" s="130"/>
      <c r="F1324" s="130"/>
      <c r="G1324" s="130"/>
      <c r="H1324" s="130"/>
      <c r="I1324" s="130"/>
    </row>
    <row r="1325" spans="2:9">
      <c r="B1325" s="129">
        <v>435</v>
      </c>
      <c r="C1325" s="130" t="s">
        <v>5171</v>
      </c>
      <c r="D1325" s="130" t="s">
        <v>5270</v>
      </c>
      <c r="E1325" s="130" t="s">
        <v>5172</v>
      </c>
      <c r="F1325" s="130" t="s">
        <v>5008</v>
      </c>
      <c r="G1325" s="130">
        <v>1000</v>
      </c>
      <c r="H1325" s="130" t="s">
        <v>5037</v>
      </c>
      <c r="I1325" s="130" t="s">
        <v>5004</v>
      </c>
    </row>
    <row r="1326" spans="2:9">
      <c r="B1326" s="129"/>
      <c r="C1326" s="130"/>
      <c r="D1326" s="130"/>
      <c r="E1326" s="130"/>
      <c r="F1326" s="130"/>
      <c r="G1326" s="130"/>
      <c r="H1326" s="130"/>
      <c r="I1326" s="130"/>
    </row>
    <row r="1327" spans="2:9">
      <c r="B1327" s="129"/>
      <c r="C1327" s="130"/>
      <c r="D1327" s="130"/>
      <c r="E1327" s="130"/>
      <c r="F1327" s="130"/>
      <c r="G1327" s="130"/>
      <c r="H1327" s="130"/>
      <c r="I1327" s="130"/>
    </row>
    <row r="1328" spans="2:9">
      <c r="B1328" s="129">
        <v>436</v>
      </c>
      <c r="C1328" s="130" t="s">
        <v>5171</v>
      </c>
      <c r="D1328" s="130" t="s">
        <v>5270</v>
      </c>
      <c r="E1328" s="130" t="s">
        <v>5276</v>
      </c>
      <c r="F1328" s="130" t="s">
        <v>5008</v>
      </c>
      <c r="G1328" s="130">
        <v>1000</v>
      </c>
      <c r="H1328" s="130">
        <v>500000</v>
      </c>
      <c r="I1328" s="130" t="s">
        <v>5004</v>
      </c>
    </row>
    <row r="1329" spans="2:9">
      <c r="B1329" s="129"/>
      <c r="C1329" s="130"/>
      <c r="D1329" s="130"/>
      <c r="E1329" s="130"/>
      <c r="F1329" s="130"/>
      <c r="G1329" s="130"/>
      <c r="H1329" s="130"/>
      <c r="I1329" s="130"/>
    </row>
    <row r="1330" spans="2:9">
      <c r="B1330" s="129"/>
      <c r="C1330" s="130"/>
      <c r="D1330" s="130"/>
      <c r="E1330" s="130"/>
      <c r="F1330" s="130"/>
      <c r="G1330" s="130"/>
      <c r="H1330" s="130"/>
      <c r="I1330" s="130"/>
    </row>
    <row r="1331" spans="2:9">
      <c r="B1331" s="129">
        <v>437</v>
      </c>
      <c r="C1331" s="130" t="s">
        <v>5128</v>
      </c>
      <c r="D1331" s="130" t="s">
        <v>5270</v>
      </c>
      <c r="E1331" s="130" t="s">
        <v>5127</v>
      </c>
      <c r="F1331" s="130" t="s">
        <v>5026</v>
      </c>
      <c r="G1331" s="130">
        <v>1000</v>
      </c>
      <c r="H1331" s="130">
        <v>9999</v>
      </c>
      <c r="I1331" s="130" t="s">
        <v>5013</v>
      </c>
    </row>
    <row r="1332" spans="2:9">
      <c r="B1332" s="129"/>
      <c r="C1332" s="130"/>
      <c r="D1332" s="130"/>
      <c r="E1332" s="130"/>
      <c r="F1332" s="130"/>
      <c r="G1332" s="130"/>
      <c r="H1332" s="130"/>
      <c r="I1332" s="130"/>
    </row>
    <row r="1333" spans="2:9">
      <c r="B1333" s="129"/>
      <c r="C1333" s="130"/>
      <c r="D1333" s="130"/>
      <c r="E1333" s="130"/>
      <c r="F1333" s="130"/>
      <c r="G1333" s="130"/>
      <c r="H1333" s="130"/>
      <c r="I1333" s="130"/>
    </row>
    <row r="1334" spans="2:9">
      <c r="B1334" s="129">
        <v>438</v>
      </c>
      <c r="C1334" s="130" t="s">
        <v>5128</v>
      </c>
      <c r="D1334" s="130" t="s">
        <v>5270</v>
      </c>
      <c r="E1334" s="130" t="s">
        <v>5127</v>
      </c>
      <c r="F1334" s="130" t="s">
        <v>5008</v>
      </c>
      <c r="G1334" s="130">
        <v>10000</v>
      </c>
      <c r="H1334" s="130">
        <v>49999</v>
      </c>
      <c r="I1334" s="130" t="s">
        <v>5013</v>
      </c>
    </row>
    <row r="1335" spans="2:9">
      <c r="B1335" s="129"/>
      <c r="C1335" s="130"/>
      <c r="D1335" s="130"/>
      <c r="E1335" s="130"/>
      <c r="F1335" s="130"/>
      <c r="G1335" s="130"/>
      <c r="H1335" s="130"/>
      <c r="I1335" s="130"/>
    </row>
    <row r="1336" spans="2:9">
      <c r="B1336" s="129"/>
      <c r="C1336" s="130"/>
      <c r="D1336" s="130"/>
      <c r="E1336" s="130"/>
      <c r="F1336" s="130"/>
      <c r="G1336" s="130"/>
      <c r="H1336" s="130"/>
      <c r="I1336" s="130"/>
    </row>
    <row r="1337" spans="2:9">
      <c r="B1337" s="129">
        <v>439</v>
      </c>
      <c r="C1337" s="130" t="s">
        <v>5128</v>
      </c>
      <c r="D1337" s="130" t="s">
        <v>5270</v>
      </c>
      <c r="E1337" s="130" t="s">
        <v>5149</v>
      </c>
      <c r="F1337" s="130" t="s">
        <v>5043</v>
      </c>
      <c r="G1337" s="130">
        <v>1000</v>
      </c>
      <c r="H1337" s="130" t="s">
        <v>5037</v>
      </c>
      <c r="I1337" s="130" t="s">
        <v>5004</v>
      </c>
    </row>
    <row r="1338" spans="2:9">
      <c r="B1338" s="129"/>
      <c r="C1338" s="130"/>
      <c r="D1338" s="130"/>
      <c r="E1338" s="130"/>
      <c r="F1338" s="130"/>
      <c r="G1338" s="130"/>
      <c r="H1338" s="130"/>
      <c r="I1338" s="130"/>
    </row>
    <row r="1339" spans="2:9">
      <c r="B1339" s="129"/>
      <c r="C1339" s="130"/>
      <c r="D1339" s="130"/>
      <c r="E1339" s="130"/>
      <c r="F1339" s="130"/>
      <c r="G1339" s="130"/>
      <c r="H1339" s="130"/>
      <c r="I1339" s="130"/>
    </row>
    <row r="1340" spans="2:9">
      <c r="B1340" s="129">
        <v>440</v>
      </c>
      <c r="C1340" s="130" t="s">
        <v>5076</v>
      </c>
      <c r="D1340" s="130" t="s">
        <v>5270</v>
      </c>
      <c r="E1340" s="130" t="s">
        <v>5130</v>
      </c>
      <c r="F1340" s="130" t="s">
        <v>5026</v>
      </c>
      <c r="G1340" s="130">
        <v>1000</v>
      </c>
      <c r="H1340" s="130">
        <v>19999</v>
      </c>
      <c r="I1340" s="130" t="s">
        <v>5004</v>
      </c>
    </row>
    <row r="1341" spans="2:9">
      <c r="B1341" s="129"/>
      <c r="C1341" s="130"/>
      <c r="D1341" s="130"/>
      <c r="E1341" s="130"/>
      <c r="F1341" s="130"/>
      <c r="G1341" s="130"/>
      <c r="H1341" s="130"/>
      <c r="I1341" s="130"/>
    </row>
    <row r="1342" spans="2:9">
      <c r="B1342" s="129"/>
      <c r="C1342" s="130"/>
      <c r="D1342" s="130"/>
      <c r="E1342" s="130"/>
      <c r="F1342" s="130"/>
      <c r="G1342" s="130"/>
      <c r="H1342" s="130"/>
      <c r="I1342" s="130"/>
    </row>
    <row r="1343" spans="2:9">
      <c r="B1343" s="129">
        <v>441</v>
      </c>
      <c r="C1343" s="130" t="s">
        <v>5076</v>
      </c>
      <c r="D1343" s="130" t="s">
        <v>5270</v>
      </c>
      <c r="E1343" s="130" t="s">
        <v>5130</v>
      </c>
      <c r="F1343" s="130" t="s">
        <v>5033</v>
      </c>
      <c r="G1343" s="130">
        <v>20000</v>
      </c>
      <c r="H1343" s="130">
        <v>49999</v>
      </c>
      <c r="I1343" s="130" t="s">
        <v>5004</v>
      </c>
    </row>
    <row r="1344" spans="2:9">
      <c r="B1344" s="129"/>
      <c r="C1344" s="130"/>
      <c r="D1344" s="130"/>
      <c r="E1344" s="130"/>
      <c r="F1344" s="130"/>
      <c r="G1344" s="130"/>
      <c r="H1344" s="130"/>
      <c r="I1344" s="130"/>
    </row>
    <row r="1345" spans="2:9">
      <c r="B1345" s="129"/>
      <c r="C1345" s="130"/>
      <c r="D1345" s="130"/>
      <c r="E1345" s="130"/>
      <c r="F1345" s="130"/>
      <c r="G1345" s="130"/>
      <c r="H1345" s="130"/>
      <c r="I1345" s="130"/>
    </row>
    <row r="1346" spans="2:9">
      <c r="B1346" s="129">
        <v>442</v>
      </c>
      <c r="C1346" s="130" t="s">
        <v>5095</v>
      </c>
      <c r="D1346" s="130" t="s">
        <v>5270</v>
      </c>
      <c r="E1346" s="130" t="s">
        <v>5248</v>
      </c>
      <c r="F1346" s="130" t="s">
        <v>5033</v>
      </c>
      <c r="G1346" s="130">
        <v>50000</v>
      </c>
      <c r="H1346" s="130" t="s">
        <v>5037</v>
      </c>
      <c r="I1346" s="130" t="s">
        <v>5004</v>
      </c>
    </row>
    <row r="1347" spans="2:9">
      <c r="B1347" s="129"/>
      <c r="C1347" s="130"/>
      <c r="D1347" s="130"/>
      <c r="E1347" s="130"/>
      <c r="F1347" s="130"/>
      <c r="G1347" s="130"/>
      <c r="H1347" s="130"/>
      <c r="I1347" s="130"/>
    </row>
    <row r="1348" spans="2:9">
      <c r="B1348" s="129"/>
      <c r="C1348" s="130"/>
      <c r="D1348" s="130"/>
      <c r="E1348" s="130"/>
      <c r="F1348" s="130"/>
      <c r="G1348" s="130"/>
      <c r="H1348" s="130"/>
      <c r="I1348" s="130"/>
    </row>
    <row r="1349" spans="2:9">
      <c r="B1349" s="129">
        <v>443</v>
      </c>
      <c r="C1349" s="130" t="s">
        <v>5095</v>
      </c>
      <c r="D1349" s="130" t="s">
        <v>5270</v>
      </c>
      <c r="E1349" s="130" t="s">
        <v>5248</v>
      </c>
      <c r="F1349" s="130" t="s">
        <v>5033</v>
      </c>
      <c r="G1349" s="130">
        <v>1000</v>
      </c>
      <c r="H1349" s="130">
        <v>49999</v>
      </c>
      <c r="I1349" s="130" t="s">
        <v>5004</v>
      </c>
    </row>
    <row r="1350" spans="2:9">
      <c r="B1350" s="129"/>
      <c r="C1350" s="130"/>
      <c r="D1350" s="130"/>
      <c r="E1350" s="130"/>
      <c r="F1350" s="130"/>
      <c r="G1350" s="130"/>
      <c r="H1350" s="130"/>
      <c r="I1350" s="130"/>
    </row>
    <row r="1351" spans="2:9">
      <c r="B1351" s="129"/>
      <c r="C1351" s="130"/>
      <c r="D1351" s="130"/>
      <c r="E1351" s="130"/>
      <c r="F1351" s="130"/>
      <c r="G1351" s="130"/>
      <c r="H1351" s="130"/>
      <c r="I1351" s="130"/>
    </row>
    <row r="1352" spans="2:9">
      <c r="B1352" s="129">
        <v>444</v>
      </c>
      <c r="C1352" s="130" t="s">
        <v>5095</v>
      </c>
      <c r="D1352" s="130" t="s">
        <v>5270</v>
      </c>
      <c r="E1352" s="130" t="s">
        <v>5204</v>
      </c>
      <c r="F1352" s="130" t="s">
        <v>5008</v>
      </c>
      <c r="G1352" s="130">
        <v>500</v>
      </c>
      <c r="H1352" s="130" t="s">
        <v>5037</v>
      </c>
      <c r="I1352" s="130" t="s">
        <v>5004</v>
      </c>
    </row>
    <row r="1353" spans="2:9">
      <c r="B1353" s="129"/>
      <c r="C1353" s="130"/>
      <c r="D1353" s="130"/>
      <c r="E1353" s="130"/>
      <c r="F1353" s="130"/>
      <c r="G1353" s="130"/>
      <c r="H1353" s="130"/>
      <c r="I1353" s="130"/>
    </row>
    <row r="1354" spans="2:9">
      <c r="B1354" s="129"/>
      <c r="C1354" s="130"/>
      <c r="D1354" s="130"/>
      <c r="E1354" s="130"/>
      <c r="F1354" s="130"/>
      <c r="G1354" s="130"/>
      <c r="H1354" s="130"/>
      <c r="I1354" s="130"/>
    </row>
    <row r="1355" spans="2:9">
      <c r="B1355" s="129">
        <v>445</v>
      </c>
      <c r="C1355" s="130" t="s">
        <v>5095</v>
      </c>
      <c r="D1355" s="130" t="s">
        <v>5270</v>
      </c>
      <c r="E1355" s="130" t="s">
        <v>5205</v>
      </c>
      <c r="F1355" s="130" t="s">
        <v>5026</v>
      </c>
      <c r="G1355" s="130">
        <v>50000</v>
      </c>
      <c r="H1355" s="130" t="s">
        <v>5037</v>
      </c>
      <c r="I1355" s="130" t="s">
        <v>5004</v>
      </c>
    </row>
    <row r="1356" spans="2:9">
      <c r="B1356" s="129"/>
      <c r="C1356" s="130"/>
      <c r="D1356" s="130"/>
      <c r="E1356" s="130"/>
      <c r="F1356" s="130"/>
      <c r="G1356" s="130"/>
      <c r="H1356" s="130"/>
      <c r="I1356" s="130"/>
    </row>
    <row r="1357" spans="2:9">
      <c r="B1357" s="129"/>
      <c r="C1357" s="130"/>
      <c r="D1357" s="130"/>
      <c r="E1357" s="130"/>
      <c r="F1357" s="130"/>
      <c r="G1357" s="130"/>
      <c r="H1357" s="130"/>
      <c r="I1357" s="130"/>
    </row>
    <row r="1358" spans="2:9">
      <c r="B1358" s="129">
        <v>446</v>
      </c>
      <c r="C1358" s="130" t="s">
        <v>5253</v>
      </c>
      <c r="D1358" s="130" t="s">
        <v>5270</v>
      </c>
      <c r="E1358" s="130" t="s">
        <v>5254</v>
      </c>
      <c r="F1358" s="130" t="s">
        <v>5031</v>
      </c>
      <c r="G1358" s="130">
        <v>1000</v>
      </c>
      <c r="H1358" s="130">
        <v>20000</v>
      </c>
      <c r="I1358" s="130" t="s">
        <v>5013</v>
      </c>
    </row>
    <row r="1359" spans="2:9">
      <c r="B1359" s="129"/>
      <c r="C1359" s="130"/>
      <c r="D1359" s="130"/>
      <c r="E1359" s="130"/>
      <c r="F1359" s="130"/>
      <c r="G1359" s="130"/>
      <c r="H1359" s="130"/>
      <c r="I1359" s="130"/>
    </row>
    <row r="1360" spans="2:9">
      <c r="B1360" s="129"/>
      <c r="C1360" s="130"/>
      <c r="D1360" s="130"/>
      <c r="E1360" s="130"/>
      <c r="F1360" s="130"/>
      <c r="G1360" s="130"/>
      <c r="H1360" s="130"/>
      <c r="I1360" s="130"/>
    </row>
    <row r="1361" spans="2:9">
      <c r="B1361" s="129">
        <v>447</v>
      </c>
      <c r="C1361" s="130" t="s">
        <v>5044</v>
      </c>
      <c r="D1361" s="130" t="s">
        <v>5270</v>
      </c>
      <c r="E1361" s="130" t="s">
        <v>5132</v>
      </c>
      <c r="F1361" s="130" t="s">
        <v>5033</v>
      </c>
      <c r="G1361" s="130">
        <v>500</v>
      </c>
      <c r="H1361" s="130" t="s">
        <v>5037</v>
      </c>
      <c r="I1361" s="130" t="s">
        <v>5004</v>
      </c>
    </row>
    <row r="1362" spans="2:9">
      <c r="B1362" s="129"/>
      <c r="C1362" s="130"/>
      <c r="D1362" s="130"/>
      <c r="E1362" s="130"/>
      <c r="F1362" s="130"/>
      <c r="G1362" s="130"/>
      <c r="H1362" s="130"/>
      <c r="I1362" s="130"/>
    </row>
    <row r="1363" spans="2:9">
      <c r="B1363" s="129"/>
      <c r="C1363" s="130"/>
      <c r="D1363" s="130"/>
      <c r="E1363" s="130"/>
      <c r="F1363" s="130"/>
      <c r="G1363" s="130"/>
      <c r="H1363" s="130"/>
      <c r="I1363" s="130"/>
    </row>
    <row r="1364" spans="2:9">
      <c r="B1364" s="129">
        <v>448</v>
      </c>
      <c r="C1364" s="130" t="s">
        <v>5044</v>
      </c>
      <c r="D1364" s="130" t="s">
        <v>5270</v>
      </c>
      <c r="E1364" s="130" t="s">
        <v>5230</v>
      </c>
      <c r="F1364" s="130" t="s">
        <v>5008</v>
      </c>
      <c r="G1364" s="130">
        <v>500</v>
      </c>
      <c r="H1364" s="130">
        <v>13000</v>
      </c>
      <c r="I1364" s="130" t="s">
        <v>5013</v>
      </c>
    </row>
    <row r="1365" spans="2:9">
      <c r="B1365" s="129"/>
      <c r="C1365" s="130"/>
      <c r="D1365" s="130"/>
      <c r="E1365" s="130"/>
      <c r="F1365" s="130"/>
      <c r="G1365" s="130"/>
      <c r="H1365" s="130"/>
      <c r="I1365" s="130"/>
    </row>
    <row r="1366" spans="2:9">
      <c r="B1366" s="129"/>
      <c r="C1366" s="130"/>
      <c r="D1366" s="130"/>
      <c r="E1366" s="130"/>
      <c r="F1366" s="130"/>
      <c r="G1366" s="130"/>
      <c r="H1366" s="130"/>
      <c r="I1366" s="130"/>
    </row>
    <row r="1367" spans="2:9">
      <c r="B1367" s="129">
        <v>449</v>
      </c>
      <c r="C1367" s="130" t="s">
        <v>5256</v>
      </c>
      <c r="D1367" s="130" t="s">
        <v>5270</v>
      </c>
      <c r="E1367" s="130" t="s">
        <v>5258</v>
      </c>
      <c r="F1367" s="130" t="s">
        <v>5008</v>
      </c>
      <c r="G1367" s="130">
        <v>500</v>
      </c>
      <c r="H1367" s="130">
        <v>20000</v>
      </c>
      <c r="I1367" s="130" t="s">
        <v>5004</v>
      </c>
    </row>
    <row r="1368" spans="2:9">
      <c r="B1368" s="129"/>
      <c r="C1368" s="130"/>
      <c r="D1368" s="130"/>
      <c r="E1368" s="130"/>
      <c r="F1368" s="130"/>
      <c r="G1368" s="130"/>
      <c r="H1368" s="130"/>
      <c r="I1368" s="130"/>
    </row>
    <row r="1369" spans="2:9">
      <c r="B1369" s="129"/>
      <c r="C1369" s="130"/>
      <c r="D1369" s="130"/>
      <c r="E1369" s="130"/>
      <c r="F1369" s="130"/>
      <c r="G1369" s="130"/>
      <c r="H1369" s="130"/>
      <c r="I1369" s="130"/>
    </row>
    <row r="1370" spans="2:9">
      <c r="B1370" s="129">
        <v>450</v>
      </c>
      <c r="C1370" s="130" t="s">
        <v>5014</v>
      </c>
      <c r="D1370" s="130" t="s">
        <v>5270</v>
      </c>
      <c r="E1370" s="130" t="s">
        <v>5075</v>
      </c>
      <c r="F1370" s="130" t="s">
        <v>5012</v>
      </c>
      <c r="G1370" s="130">
        <v>0</v>
      </c>
      <c r="H1370" s="130" t="s">
        <v>5037</v>
      </c>
      <c r="I1370" s="130" t="s">
        <v>5013</v>
      </c>
    </row>
    <row r="1371" spans="2:9">
      <c r="B1371" s="129"/>
      <c r="C1371" s="130"/>
      <c r="D1371" s="130"/>
      <c r="E1371" s="130"/>
      <c r="F1371" s="130"/>
      <c r="G1371" s="130"/>
      <c r="H1371" s="130"/>
      <c r="I1371" s="130"/>
    </row>
    <row r="1372" spans="2:9">
      <c r="B1372" s="129"/>
      <c r="C1372" s="130"/>
      <c r="D1372" s="130"/>
      <c r="E1372" s="130"/>
      <c r="F1372" s="130"/>
      <c r="G1372" s="130"/>
      <c r="H1372" s="130"/>
      <c r="I1372" s="130"/>
    </row>
    <row r="1373" spans="2:9">
      <c r="B1373" s="129">
        <v>451</v>
      </c>
      <c r="C1373" s="130" t="s">
        <v>5184</v>
      </c>
      <c r="D1373" s="130" t="s">
        <v>5270</v>
      </c>
      <c r="E1373" s="130" t="s">
        <v>5185</v>
      </c>
      <c r="F1373" s="130" t="s">
        <v>5012</v>
      </c>
      <c r="G1373" s="130">
        <v>50000</v>
      </c>
      <c r="H1373" s="130">
        <v>99999</v>
      </c>
      <c r="I1373" s="130" t="s">
        <v>5029</v>
      </c>
    </row>
    <row r="1374" spans="2:9">
      <c r="B1374" s="129"/>
      <c r="C1374" s="130"/>
      <c r="D1374" s="130"/>
      <c r="E1374" s="130"/>
      <c r="F1374" s="130"/>
      <c r="G1374" s="130"/>
      <c r="H1374" s="130"/>
      <c r="I1374" s="130"/>
    </row>
    <row r="1375" spans="2:9">
      <c r="B1375" s="129"/>
      <c r="C1375" s="130"/>
      <c r="D1375" s="130"/>
      <c r="E1375" s="130"/>
      <c r="F1375" s="130"/>
      <c r="G1375" s="130"/>
      <c r="H1375" s="130"/>
      <c r="I1375" s="130"/>
    </row>
    <row r="1376" spans="2:9">
      <c r="B1376" s="129">
        <v>452</v>
      </c>
      <c r="C1376" s="130" t="s">
        <v>5208</v>
      </c>
      <c r="D1376" s="130" t="s">
        <v>5270</v>
      </c>
      <c r="E1376" s="130" t="s">
        <v>5277</v>
      </c>
      <c r="F1376" s="130" t="s">
        <v>5033</v>
      </c>
      <c r="G1376" s="130">
        <v>1000</v>
      </c>
      <c r="H1376" s="130" t="s">
        <v>5037</v>
      </c>
      <c r="I1376" s="130" t="s">
        <v>5004</v>
      </c>
    </row>
    <row r="1377" spans="2:9">
      <c r="B1377" s="129"/>
      <c r="C1377" s="130"/>
      <c r="D1377" s="130"/>
      <c r="E1377" s="130"/>
      <c r="F1377" s="130"/>
      <c r="G1377" s="130"/>
      <c r="H1377" s="130"/>
      <c r="I1377" s="130"/>
    </row>
    <row r="1378" spans="2:9">
      <c r="B1378" s="129"/>
      <c r="C1378" s="130"/>
      <c r="D1378" s="130"/>
      <c r="E1378" s="130"/>
      <c r="F1378" s="130"/>
      <c r="G1378" s="130"/>
      <c r="H1378" s="130"/>
      <c r="I1378" s="130"/>
    </row>
    <row r="1379" spans="2:9">
      <c r="B1379" s="129">
        <v>453</v>
      </c>
      <c r="C1379" s="130" t="s">
        <v>5224</v>
      </c>
      <c r="D1379" s="130" t="s">
        <v>5270</v>
      </c>
      <c r="E1379" s="130" t="s">
        <v>5132</v>
      </c>
      <c r="F1379" s="130" t="s">
        <v>5043</v>
      </c>
      <c r="G1379" s="130">
        <v>50</v>
      </c>
      <c r="H1379" s="130" t="s">
        <v>5037</v>
      </c>
      <c r="I1379" s="130" t="s">
        <v>5004</v>
      </c>
    </row>
    <row r="1380" spans="2:9">
      <c r="B1380" s="129"/>
      <c r="C1380" s="130"/>
      <c r="D1380" s="130"/>
      <c r="E1380" s="130"/>
      <c r="F1380" s="130"/>
      <c r="G1380" s="130"/>
      <c r="H1380" s="130"/>
      <c r="I1380" s="130"/>
    </row>
    <row r="1381" spans="2:9">
      <c r="B1381" s="129"/>
      <c r="C1381" s="130"/>
      <c r="D1381" s="130"/>
      <c r="E1381" s="130"/>
      <c r="F1381" s="130"/>
      <c r="G1381" s="130"/>
      <c r="H1381" s="130"/>
      <c r="I1381" s="130"/>
    </row>
    <row r="1382" spans="2:9">
      <c r="B1382" s="129">
        <v>454</v>
      </c>
      <c r="C1382" s="130" t="s">
        <v>5056</v>
      </c>
      <c r="D1382" s="130" t="s">
        <v>5270</v>
      </c>
      <c r="E1382" s="130" t="s">
        <v>5091</v>
      </c>
      <c r="F1382" s="130" t="s">
        <v>5111</v>
      </c>
      <c r="G1382" s="130">
        <v>2000</v>
      </c>
      <c r="H1382" s="130" t="s">
        <v>5037</v>
      </c>
      <c r="I1382" s="130" t="s">
        <v>5004</v>
      </c>
    </row>
    <row r="1383" spans="2:9">
      <c r="B1383" s="129"/>
      <c r="C1383" s="130"/>
      <c r="D1383" s="130"/>
      <c r="E1383" s="130"/>
      <c r="F1383" s="130"/>
      <c r="G1383" s="130"/>
      <c r="H1383" s="130"/>
      <c r="I1383" s="130"/>
    </row>
    <row r="1384" spans="2:9">
      <c r="B1384" s="129"/>
      <c r="C1384" s="130"/>
      <c r="D1384" s="130"/>
      <c r="E1384" s="130"/>
      <c r="F1384" s="130"/>
      <c r="G1384" s="130"/>
      <c r="H1384" s="130"/>
      <c r="I1384" s="130"/>
    </row>
    <row r="1385" spans="2:9">
      <c r="B1385" s="129">
        <v>455</v>
      </c>
      <c r="C1385" s="130" t="s">
        <v>5122</v>
      </c>
      <c r="D1385" s="130" t="s">
        <v>5270</v>
      </c>
      <c r="E1385" s="130" t="s">
        <v>5135</v>
      </c>
      <c r="F1385" s="130" t="s">
        <v>5111</v>
      </c>
      <c r="G1385" s="130">
        <v>10000</v>
      </c>
      <c r="H1385" s="130">
        <v>24999</v>
      </c>
      <c r="I1385" s="130" t="s">
        <v>5004</v>
      </c>
    </row>
    <row r="1386" spans="2:9">
      <c r="B1386" s="129"/>
      <c r="C1386" s="130"/>
      <c r="D1386" s="130"/>
      <c r="E1386" s="130"/>
      <c r="F1386" s="130"/>
      <c r="G1386" s="130"/>
      <c r="H1386" s="130"/>
      <c r="I1386" s="130"/>
    </row>
    <row r="1387" spans="2:9">
      <c r="B1387" s="129"/>
      <c r="C1387" s="130"/>
      <c r="D1387" s="130"/>
      <c r="E1387" s="130"/>
      <c r="F1387" s="130"/>
      <c r="G1387" s="130"/>
      <c r="H1387" s="130"/>
      <c r="I1387" s="130"/>
    </row>
    <row r="1388" spans="2:9">
      <c r="B1388" s="129">
        <v>456</v>
      </c>
      <c r="C1388" s="130" t="s">
        <v>5122</v>
      </c>
      <c r="D1388" s="130" t="s">
        <v>5270</v>
      </c>
      <c r="E1388" s="130" t="s">
        <v>5135</v>
      </c>
      <c r="F1388" s="130" t="s">
        <v>5033</v>
      </c>
      <c r="G1388" s="130">
        <v>50000</v>
      </c>
      <c r="H1388" s="130">
        <v>99999</v>
      </c>
      <c r="I1388" s="130" t="s">
        <v>5004</v>
      </c>
    </row>
    <row r="1389" spans="2:9">
      <c r="B1389" s="129"/>
      <c r="C1389" s="130"/>
      <c r="D1389" s="130"/>
      <c r="E1389" s="130"/>
      <c r="F1389" s="130"/>
      <c r="G1389" s="130"/>
      <c r="H1389" s="130"/>
      <c r="I1389" s="130"/>
    </row>
    <row r="1390" spans="2:9">
      <c r="B1390" s="129"/>
      <c r="C1390" s="130"/>
      <c r="D1390" s="130"/>
      <c r="E1390" s="130"/>
      <c r="F1390" s="130"/>
      <c r="G1390" s="130"/>
      <c r="H1390" s="130"/>
      <c r="I1390" s="130"/>
    </row>
    <row r="1391" spans="2:9">
      <c r="B1391" s="129">
        <v>457</v>
      </c>
      <c r="C1391" s="130" t="s">
        <v>5021</v>
      </c>
      <c r="D1391" s="130" t="s">
        <v>5270</v>
      </c>
      <c r="E1391" s="130" t="s">
        <v>5075</v>
      </c>
      <c r="F1391" s="130" t="s">
        <v>5012</v>
      </c>
      <c r="G1391" s="130">
        <v>0</v>
      </c>
      <c r="H1391" s="130" t="s">
        <v>5037</v>
      </c>
      <c r="I1391" s="130" t="s">
        <v>5013</v>
      </c>
    </row>
    <row r="1392" spans="2:9">
      <c r="B1392" s="129"/>
      <c r="C1392" s="130"/>
      <c r="D1392" s="130"/>
      <c r="E1392" s="130"/>
      <c r="F1392" s="130"/>
      <c r="G1392" s="130"/>
      <c r="H1392" s="130"/>
      <c r="I1392" s="130"/>
    </row>
    <row r="1393" spans="2:9">
      <c r="B1393" s="129"/>
      <c r="C1393" s="130"/>
      <c r="D1393" s="130"/>
      <c r="E1393" s="130"/>
      <c r="F1393" s="130"/>
      <c r="G1393" s="130"/>
      <c r="H1393" s="130"/>
      <c r="I1393" s="130"/>
    </row>
    <row r="1394" spans="2:9">
      <c r="B1394" s="129">
        <v>458</v>
      </c>
      <c r="C1394" s="130" t="s">
        <v>5112</v>
      </c>
      <c r="D1394" s="130" t="s">
        <v>5270</v>
      </c>
      <c r="E1394" s="130" t="s">
        <v>5260</v>
      </c>
      <c r="F1394" s="130" t="s">
        <v>5012</v>
      </c>
      <c r="G1394" s="130">
        <v>100000</v>
      </c>
      <c r="H1394" s="130">
        <v>199999</v>
      </c>
      <c r="I1394" s="130" t="s">
        <v>5029</v>
      </c>
    </row>
    <row r="1395" spans="2:9">
      <c r="B1395" s="129"/>
      <c r="C1395" s="130"/>
      <c r="D1395" s="130"/>
      <c r="E1395" s="130"/>
      <c r="F1395" s="130"/>
      <c r="G1395" s="130"/>
      <c r="H1395" s="130"/>
      <c r="I1395" s="130"/>
    </row>
    <row r="1396" spans="2:9">
      <c r="B1396" s="129"/>
      <c r="C1396" s="130"/>
      <c r="D1396" s="130"/>
      <c r="E1396" s="130"/>
      <c r="F1396" s="130"/>
      <c r="G1396" s="130"/>
      <c r="H1396" s="130"/>
      <c r="I1396" s="130"/>
    </row>
    <row r="1397" spans="2:9">
      <c r="B1397" s="129">
        <v>459</v>
      </c>
      <c r="C1397" s="130" t="s">
        <v>5081</v>
      </c>
      <c r="D1397" s="130" t="s">
        <v>5270</v>
      </c>
      <c r="E1397" s="130" t="s">
        <v>5082</v>
      </c>
      <c r="F1397" s="130" t="s">
        <v>5012</v>
      </c>
      <c r="G1397" s="130">
        <v>10000</v>
      </c>
      <c r="H1397" s="130">
        <v>20000</v>
      </c>
      <c r="I1397" s="130" t="s">
        <v>5029</v>
      </c>
    </row>
    <row r="1398" spans="2:9">
      <c r="B1398" s="129"/>
      <c r="C1398" s="130"/>
      <c r="D1398" s="130"/>
      <c r="E1398" s="130"/>
      <c r="F1398" s="130"/>
      <c r="G1398" s="130"/>
      <c r="H1398" s="130"/>
      <c r="I1398" s="130"/>
    </row>
    <row r="1399" spans="2:9">
      <c r="B1399" s="129"/>
      <c r="C1399" s="130"/>
      <c r="D1399" s="130"/>
      <c r="E1399" s="130"/>
      <c r="F1399" s="130"/>
      <c r="G1399" s="130"/>
      <c r="H1399" s="130"/>
      <c r="I1399" s="130"/>
    </row>
    <row r="1400" spans="2:9">
      <c r="B1400" s="129">
        <v>460</v>
      </c>
      <c r="C1400" s="130" t="s">
        <v>5218</v>
      </c>
      <c r="D1400" s="130" t="s">
        <v>5270</v>
      </c>
      <c r="E1400" s="130" t="s">
        <v>5278</v>
      </c>
      <c r="F1400" s="130" t="s">
        <v>5012</v>
      </c>
      <c r="G1400" s="130">
        <v>100000</v>
      </c>
      <c r="H1400" s="130" t="s">
        <v>5037</v>
      </c>
      <c r="I1400" s="130" t="s">
        <v>5029</v>
      </c>
    </row>
    <row r="1401" spans="2:9">
      <c r="B1401" s="129"/>
      <c r="C1401" s="130"/>
      <c r="D1401" s="130"/>
      <c r="E1401" s="130"/>
      <c r="F1401" s="130"/>
      <c r="G1401" s="130"/>
      <c r="H1401" s="130"/>
      <c r="I1401" s="130"/>
    </row>
    <row r="1402" spans="2:9">
      <c r="B1402" s="129"/>
      <c r="C1402" s="130"/>
      <c r="D1402" s="130"/>
      <c r="E1402" s="130"/>
      <c r="F1402" s="130"/>
      <c r="G1402" s="130"/>
      <c r="H1402" s="130"/>
      <c r="I1402" s="130"/>
    </row>
    <row r="1403" spans="2:9">
      <c r="B1403" s="129">
        <v>461</v>
      </c>
      <c r="C1403" s="130" t="s">
        <v>5071</v>
      </c>
      <c r="D1403" s="130" t="s">
        <v>5270</v>
      </c>
      <c r="E1403" s="130" t="s">
        <v>5136</v>
      </c>
      <c r="F1403" s="130" t="s">
        <v>5012</v>
      </c>
      <c r="G1403" s="130">
        <v>15000</v>
      </c>
      <c r="H1403" s="130" t="s">
        <v>5037</v>
      </c>
      <c r="I1403" s="130" t="s">
        <v>5013</v>
      </c>
    </row>
    <row r="1404" spans="2:9">
      <c r="B1404" s="129"/>
      <c r="C1404" s="130"/>
      <c r="D1404" s="130"/>
      <c r="E1404" s="130"/>
      <c r="F1404" s="130"/>
      <c r="G1404" s="130"/>
      <c r="H1404" s="130"/>
      <c r="I1404" s="130"/>
    </row>
    <row r="1405" spans="2:9">
      <c r="B1405" s="129"/>
      <c r="C1405" s="130"/>
      <c r="D1405" s="130"/>
      <c r="E1405" s="130"/>
      <c r="F1405" s="130"/>
      <c r="G1405" s="130"/>
      <c r="H1405" s="130"/>
      <c r="I1405" s="130"/>
    </row>
    <row r="1406" spans="2:9">
      <c r="B1406" s="129">
        <v>462</v>
      </c>
      <c r="C1406" s="130" t="s">
        <v>5071</v>
      </c>
      <c r="D1406" s="130" t="s">
        <v>5270</v>
      </c>
      <c r="E1406" s="130" t="s">
        <v>5279</v>
      </c>
      <c r="F1406" s="130" t="s">
        <v>5012</v>
      </c>
      <c r="G1406" s="130">
        <v>0</v>
      </c>
      <c r="H1406" s="130" t="s">
        <v>5037</v>
      </c>
      <c r="I1406" s="130" t="s">
        <v>5013</v>
      </c>
    </row>
    <row r="1407" spans="2:9">
      <c r="B1407" s="129"/>
      <c r="C1407" s="130"/>
      <c r="D1407" s="130"/>
      <c r="E1407" s="130"/>
      <c r="F1407" s="130"/>
      <c r="G1407" s="130"/>
      <c r="H1407" s="130"/>
      <c r="I1407" s="130"/>
    </row>
    <row r="1408" spans="2:9">
      <c r="B1408" s="129"/>
      <c r="C1408" s="130"/>
      <c r="D1408" s="130"/>
      <c r="E1408" s="130"/>
      <c r="F1408" s="130"/>
      <c r="G1408" s="130"/>
      <c r="H1408" s="130"/>
      <c r="I1408" s="130"/>
    </row>
    <row r="1409" spans="2:9">
      <c r="B1409" s="129">
        <v>463</v>
      </c>
      <c r="C1409" s="130" t="s">
        <v>5051</v>
      </c>
      <c r="D1409" s="130" t="s">
        <v>5280</v>
      </c>
      <c r="E1409" s="130" t="s">
        <v>5132</v>
      </c>
      <c r="F1409" s="130" t="s">
        <v>5111</v>
      </c>
      <c r="G1409" s="130">
        <v>3000</v>
      </c>
      <c r="H1409" s="130" t="s">
        <v>5037</v>
      </c>
      <c r="I1409" s="130" t="s">
        <v>5004</v>
      </c>
    </row>
    <row r="1410" spans="2:9">
      <c r="B1410" s="129"/>
      <c r="C1410" s="130"/>
      <c r="D1410" s="130"/>
      <c r="E1410" s="130"/>
      <c r="F1410" s="130"/>
      <c r="G1410" s="130"/>
      <c r="H1410" s="130"/>
      <c r="I1410" s="130"/>
    </row>
    <row r="1411" spans="2:9">
      <c r="B1411" s="129"/>
      <c r="C1411" s="130"/>
      <c r="D1411" s="130"/>
      <c r="E1411" s="130"/>
      <c r="F1411" s="130"/>
      <c r="G1411" s="130"/>
      <c r="H1411" s="130"/>
      <c r="I1411" s="130"/>
    </row>
    <row r="1412" spans="2:9">
      <c r="B1412" s="129">
        <v>464</v>
      </c>
      <c r="C1412" s="130" t="s">
        <v>5122</v>
      </c>
      <c r="D1412" s="130" t="s">
        <v>5280</v>
      </c>
      <c r="E1412" s="130" t="s">
        <v>5135</v>
      </c>
      <c r="F1412" s="130" t="s">
        <v>5111</v>
      </c>
      <c r="G1412" s="130">
        <v>1000</v>
      </c>
      <c r="H1412" s="130">
        <v>9999</v>
      </c>
      <c r="I1412" s="130" t="s">
        <v>5004</v>
      </c>
    </row>
    <row r="1413" spans="2:9">
      <c r="B1413" s="129"/>
      <c r="C1413" s="130"/>
      <c r="D1413" s="130"/>
      <c r="E1413" s="130"/>
      <c r="F1413" s="130"/>
      <c r="G1413" s="130"/>
      <c r="H1413" s="130"/>
      <c r="I1413" s="130"/>
    </row>
    <row r="1414" spans="2:9">
      <c r="B1414" s="129"/>
      <c r="C1414" s="130"/>
      <c r="D1414" s="130"/>
      <c r="E1414" s="130"/>
      <c r="F1414" s="130"/>
      <c r="G1414" s="130"/>
      <c r="H1414" s="130"/>
      <c r="I1414" s="130"/>
    </row>
    <row r="1415" spans="2:9">
      <c r="B1415" s="129">
        <v>465</v>
      </c>
      <c r="C1415" s="130" t="s">
        <v>5122</v>
      </c>
      <c r="D1415" s="130" t="s">
        <v>5280</v>
      </c>
      <c r="E1415" s="130" t="s">
        <v>5135</v>
      </c>
      <c r="F1415" s="130" t="s">
        <v>5033</v>
      </c>
      <c r="G1415" s="130">
        <v>25000</v>
      </c>
      <c r="H1415" s="130">
        <v>49999</v>
      </c>
      <c r="I1415" s="130" t="s">
        <v>5004</v>
      </c>
    </row>
    <row r="1416" spans="2:9">
      <c r="B1416" s="129"/>
      <c r="C1416" s="130"/>
      <c r="D1416" s="130"/>
      <c r="E1416" s="130"/>
      <c r="F1416" s="130"/>
      <c r="G1416" s="130"/>
      <c r="H1416" s="130"/>
      <c r="I1416" s="130"/>
    </row>
    <row r="1417" spans="2:9">
      <c r="B1417" s="129"/>
      <c r="C1417" s="130"/>
      <c r="D1417" s="130"/>
      <c r="E1417" s="130"/>
      <c r="F1417" s="130"/>
      <c r="G1417" s="130"/>
      <c r="H1417" s="130"/>
      <c r="I1417" s="130"/>
    </row>
    <row r="1418" spans="2:9">
      <c r="B1418" s="129">
        <v>466</v>
      </c>
      <c r="C1418" s="130" t="s">
        <v>5184</v>
      </c>
      <c r="D1418" s="130" t="s">
        <v>5281</v>
      </c>
      <c r="E1418" s="130" t="s">
        <v>5271</v>
      </c>
      <c r="F1418" s="130" t="s">
        <v>5031</v>
      </c>
      <c r="G1418" s="130">
        <v>500</v>
      </c>
      <c r="H1418" s="130" t="s">
        <v>5037</v>
      </c>
      <c r="I1418" s="130" t="s">
        <v>5004</v>
      </c>
    </row>
    <row r="1419" spans="2:9">
      <c r="B1419" s="129"/>
      <c r="C1419" s="130"/>
      <c r="D1419" s="130"/>
      <c r="E1419" s="130"/>
      <c r="F1419" s="130"/>
      <c r="G1419" s="130"/>
      <c r="H1419" s="130"/>
      <c r="I1419" s="130"/>
    </row>
    <row r="1420" spans="2:9">
      <c r="B1420" s="129"/>
      <c r="C1420" s="130"/>
      <c r="D1420" s="130"/>
      <c r="E1420" s="130"/>
      <c r="F1420" s="130"/>
      <c r="G1420" s="130"/>
      <c r="H1420" s="130"/>
      <c r="I1420" s="130"/>
    </row>
    <row r="1421" spans="2:9">
      <c r="B1421" s="129">
        <v>467</v>
      </c>
      <c r="C1421" s="130" t="s">
        <v>5238</v>
      </c>
      <c r="D1421" s="130" t="s">
        <v>5281</v>
      </c>
      <c r="E1421" s="130" t="s">
        <v>5240</v>
      </c>
      <c r="F1421" s="130" t="s">
        <v>5033</v>
      </c>
      <c r="G1421" s="130">
        <v>20000</v>
      </c>
      <c r="H1421" s="130" t="s">
        <v>5037</v>
      </c>
      <c r="I1421" s="130" t="s">
        <v>5004</v>
      </c>
    </row>
    <row r="1422" spans="2:9">
      <c r="B1422" s="129"/>
      <c r="C1422" s="130"/>
      <c r="D1422" s="130"/>
      <c r="E1422" s="130"/>
      <c r="F1422" s="130"/>
      <c r="G1422" s="130"/>
      <c r="H1422" s="130"/>
      <c r="I1422" s="130"/>
    </row>
    <row r="1423" spans="2:9">
      <c r="B1423" s="129"/>
      <c r="C1423" s="130"/>
      <c r="D1423" s="130"/>
      <c r="E1423" s="130"/>
      <c r="F1423" s="130"/>
      <c r="G1423" s="130"/>
      <c r="H1423" s="130"/>
      <c r="I1423" s="130"/>
    </row>
    <row r="1424" spans="2:9">
      <c r="B1424" s="129">
        <v>468</v>
      </c>
      <c r="C1424" s="130" t="s">
        <v>5238</v>
      </c>
      <c r="D1424" s="130" t="s">
        <v>5281</v>
      </c>
      <c r="E1424" s="130" t="s">
        <v>5240</v>
      </c>
      <c r="F1424" s="130" t="s">
        <v>5026</v>
      </c>
      <c r="G1424" s="130">
        <v>20000</v>
      </c>
      <c r="H1424" s="130" t="s">
        <v>5037</v>
      </c>
      <c r="I1424" s="130" t="s">
        <v>5004</v>
      </c>
    </row>
    <row r="1425" spans="2:9">
      <c r="B1425" s="129"/>
      <c r="C1425" s="130"/>
      <c r="D1425" s="130"/>
      <c r="E1425" s="130"/>
      <c r="F1425" s="130"/>
      <c r="G1425" s="130"/>
      <c r="H1425" s="130"/>
      <c r="I1425" s="130"/>
    </row>
    <row r="1426" spans="2:9">
      <c r="B1426" s="129"/>
      <c r="C1426" s="130"/>
      <c r="D1426" s="130"/>
      <c r="E1426" s="130"/>
      <c r="F1426" s="130"/>
      <c r="G1426" s="130"/>
      <c r="H1426" s="130"/>
      <c r="I1426" s="130"/>
    </row>
    <row r="1427" spans="2:9">
      <c r="B1427" s="129">
        <v>469</v>
      </c>
      <c r="C1427" s="130" t="s">
        <v>5238</v>
      </c>
      <c r="D1427" s="130" t="s">
        <v>5281</v>
      </c>
      <c r="E1427" s="130" t="s">
        <v>5240</v>
      </c>
      <c r="F1427" s="130" t="s">
        <v>5043</v>
      </c>
      <c r="G1427" s="130">
        <v>1000</v>
      </c>
      <c r="H1427" s="130">
        <v>20000</v>
      </c>
      <c r="I1427" s="130" t="s">
        <v>5004</v>
      </c>
    </row>
    <row r="1428" spans="2:9">
      <c r="B1428" s="129"/>
      <c r="C1428" s="130"/>
      <c r="D1428" s="130"/>
      <c r="E1428" s="130"/>
      <c r="F1428" s="130"/>
      <c r="G1428" s="130"/>
      <c r="H1428" s="130"/>
      <c r="I1428" s="130"/>
    </row>
    <row r="1429" spans="2:9">
      <c r="B1429" s="129"/>
      <c r="C1429" s="130"/>
      <c r="D1429" s="130"/>
      <c r="E1429" s="130"/>
      <c r="F1429" s="130"/>
      <c r="G1429" s="130"/>
      <c r="H1429" s="130"/>
      <c r="I1429" s="130"/>
    </row>
    <row r="1430" spans="2:9">
      <c r="B1430" s="129">
        <v>470</v>
      </c>
      <c r="C1430" s="130" t="s">
        <v>5188</v>
      </c>
      <c r="D1430" s="130" t="s">
        <v>5281</v>
      </c>
      <c r="E1430" s="130" t="s">
        <v>5213</v>
      </c>
      <c r="F1430" s="130" t="s">
        <v>5026</v>
      </c>
      <c r="G1430" s="130">
        <v>10000</v>
      </c>
      <c r="H1430" s="130">
        <v>30000</v>
      </c>
      <c r="I1430" s="130" t="s">
        <v>5004</v>
      </c>
    </row>
    <row r="1431" spans="2:9">
      <c r="B1431" s="129"/>
      <c r="C1431" s="130"/>
      <c r="D1431" s="130"/>
      <c r="E1431" s="130"/>
      <c r="F1431" s="130"/>
      <c r="G1431" s="130"/>
      <c r="H1431" s="130"/>
      <c r="I1431" s="130"/>
    </row>
    <row r="1432" spans="2:9">
      <c r="B1432" s="129"/>
      <c r="C1432" s="130"/>
      <c r="D1432" s="130"/>
      <c r="E1432" s="130"/>
      <c r="F1432" s="130"/>
      <c r="G1432" s="130"/>
      <c r="H1432" s="130"/>
      <c r="I1432" s="130"/>
    </row>
    <row r="1433" spans="2:9">
      <c r="B1433" s="129">
        <v>471</v>
      </c>
      <c r="C1433" s="130" t="s">
        <v>5235</v>
      </c>
      <c r="D1433" s="130" t="s">
        <v>5281</v>
      </c>
      <c r="E1433" s="130" t="s">
        <v>5251</v>
      </c>
      <c r="F1433" s="130" t="s">
        <v>5031</v>
      </c>
      <c r="G1433" s="130">
        <v>1000</v>
      </c>
      <c r="H1433" s="130">
        <v>20000</v>
      </c>
      <c r="I1433" s="130" t="s">
        <v>5004</v>
      </c>
    </row>
    <row r="1434" spans="2:9">
      <c r="B1434" s="129"/>
      <c r="C1434" s="130"/>
      <c r="D1434" s="130"/>
      <c r="E1434" s="130"/>
      <c r="F1434" s="130"/>
      <c r="G1434" s="130"/>
      <c r="H1434" s="130"/>
      <c r="I1434" s="130"/>
    </row>
    <row r="1435" spans="2:9">
      <c r="B1435" s="129"/>
      <c r="C1435" s="130"/>
      <c r="D1435" s="130"/>
      <c r="E1435" s="130"/>
      <c r="F1435" s="130"/>
      <c r="G1435" s="130"/>
      <c r="H1435" s="130"/>
      <c r="I1435" s="130"/>
    </row>
    <row r="1436" spans="2:9">
      <c r="B1436" s="129">
        <v>472</v>
      </c>
      <c r="C1436" s="130" t="s">
        <v>5102</v>
      </c>
      <c r="D1436" s="130" t="s">
        <v>5281</v>
      </c>
      <c r="E1436" s="130" t="s">
        <v>5132</v>
      </c>
      <c r="F1436" s="130" t="s">
        <v>5008</v>
      </c>
      <c r="G1436" s="130">
        <v>1000</v>
      </c>
      <c r="H1436" s="130">
        <v>10000</v>
      </c>
      <c r="I1436" s="130" t="s">
        <v>5004</v>
      </c>
    </row>
    <row r="1437" spans="2:9">
      <c r="B1437" s="129"/>
      <c r="C1437" s="130"/>
      <c r="D1437" s="130"/>
      <c r="E1437" s="130"/>
      <c r="F1437" s="130"/>
      <c r="G1437" s="130"/>
      <c r="H1437" s="130"/>
      <c r="I1437" s="130"/>
    </row>
    <row r="1438" spans="2:9">
      <c r="B1438" s="129"/>
      <c r="C1438" s="130"/>
      <c r="D1438" s="130"/>
      <c r="E1438" s="130"/>
      <c r="F1438" s="130"/>
      <c r="G1438" s="130"/>
      <c r="H1438" s="130"/>
      <c r="I1438" s="130"/>
    </row>
    <row r="1439" spans="2:9">
      <c r="B1439" s="129">
        <v>473</v>
      </c>
      <c r="C1439" s="130" t="s">
        <v>5061</v>
      </c>
      <c r="D1439" s="130" t="s">
        <v>5281</v>
      </c>
      <c r="E1439" s="130" t="s">
        <v>5068</v>
      </c>
      <c r="F1439" s="130" t="s">
        <v>5050</v>
      </c>
      <c r="G1439" s="130">
        <v>1000</v>
      </c>
      <c r="H1439" s="130">
        <v>14000</v>
      </c>
      <c r="I1439" s="130" t="s">
        <v>5013</v>
      </c>
    </row>
    <row r="1440" spans="2:9">
      <c r="B1440" s="129"/>
      <c r="C1440" s="130"/>
      <c r="D1440" s="130"/>
      <c r="E1440" s="130"/>
      <c r="F1440" s="130"/>
      <c r="G1440" s="130"/>
      <c r="H1440" s="130"/>
      <c r="I1440" s="130"/>
    </row>
    <row r="1441" spans="2:9">
      <c r="B1441" s="129"/>
      <c r="C1441" s="130"/>
      <c r="D1441" s="130"/>
      <c r="E1441" s="130"/>
      <c r="F1441" s="130"/>
      <c r="G1441" s="130"/>
      <c r="H1441" s="130"/>
      <c r="I1441" s="130"/>
    </row>
    <row r="1442" spans="2:9">
      <c r="B1442" s="129">
        <v>474</v>
      </c>
      <c r="C1442" s="130" t="s">
        <v>5128</v>
      </c>
      <c r="D1442" s="130" t="s">
        <v>5281</v>
      </c>
      <c r="E1442" s="130" t="s">
        <v>5127</v>
      </c>
      <c r="F1442" s="130" t="s">
        <v>5033</v>
      </c>
      <c r="G1442" s="130">
        <v>10000</v>
      </c>
      <c r="H1442" s="130">
        <v>49999</v>
      </c>
      <c r="I1442" s="130" t="s">
        <v>5013</v>
      </c>
    </row>
    <row r="1443" spans="2:9">
      <c r="B1443" s="129"/>
      <c r="C1443" s="130"/>
      <c r="D1443" s="130"/>
      <c r="E1443" s="130"/>
      <c r="F1443" s="130"/>
      <c r="G1443" s="130"/>
      <c r="H1443" s="130"/>
      <c r="I1443" s="130"/>
    </row>
    <row r="1444" spans="2:9">
      <c r="B1444" s="129"/>
      <c r="C1444" s="130"/>
      <c r="D1444" s="130"/>
      <c r="E1444" s="130"/>
      <c r="F1444" s="130"/>
      <c r="G1444" s="130"/>
      <c r="H1444" s="130"/>
      <c r="I1444" s="130"/>
    </row>
    <row r="1445" spans="2:9">
      <c r="B1445" s="129">
        <v>475</v>
      </c>
      <c r="C1445" s="130" t="s">
        <v>5095</v>
      </c>
      <c r="D1445" s="130" t="s">
        <v>5281</v>
      </c>
      <c r="E1445" s="130" t="s">
        <v>5205</v>
      </c>
      <c r="F1445" s="130" t="s">
        <v>5031</v>
      </c>
      <c r="G1445" s="130">
        <v>50000</v>
      </c>
      <c r="H1445" s="130" t="s">
        <v>5037</v>
      </c>
      <c r="I1445" s="130" t="s">
        <v>5004</v>
      </c>
    </row>
    <row r="1446" spans="2:9">
      <c r="B1446" s="129"/>
      <c r="C1446" s="130"/>
      <c r="D1446" s="130"/>
      <c r="E1446" s="130"/>
      <c r="F1446" s="130"/>
      <c r="G1446" s="130"/>
      <c r="H1446" s="130"/>
      <c r="I1446" s="130"/>
    </row>
    <row r="1447" spans="2:9">
      <c r="B1447" s="129"/>
      <c r="C1447" s="130"/>
      <c r="D1447" s="130"/>
      <c r="E1447" s="130"/>
      <c r="F1447" s="130"/>
      <c r="G1447" s="130"/>
      <c r="H1447" s="130"/>
      <c r="I1447" s="130"/>
    </row>
    <row r="1448" spans="2:9">
      <c r="B1448" s="129">
        <v>476</v>
      </c>
      <c r="C1448" s="130" t="s">
        <v>5095</v>
      </c>
      <c r="D1448" s="130" t="s">
        <v>5281</v>
      </c>
      <c r="E1448" s="130" t="s">
        <v>5205</v>
      </c>
      <c r="F1448" s="130" t="s">
        <v>5026</v>
      </c>
      <c r="G1448" s="130">
        <v>25000</v>
      </c>
      <c r="H1448" s="130">
        <v>49999</v>
      </c>
      <c r="I1448" s="130" t="s">
        <v>5004</v>
      </c>
    </row>
    <row r="1449" spans="2:9">
      <c r="B1449" s="129"/>
      <c r="C1449" s="130"/>
      <c r="D1449" s="130"/>
      <c r="E1449" s="130"/>
      <c r="F1449" s="130"/>
      <c r="G1449" s="130"/>
      <c r="H1449" s="130"/>
      <c r="I1449" s="130"/>
    </row>
    <row r="1450" spans="2:9">
      <c r="B1450" s="129"/>
      <c r="C1450" s="130"/>
      <c r="D1450" s="130"/>
      <c r="E1450" s="130"/>
      <c r="F1450" s="130"/>
      <c r="G1450" s="130"/>
      <c r="H1450" s="130"/>
      <c r="I1450" s="130"/>
    </row>
    <row r="1451" spans="2:9">
      <c r="B1451" s="129">
        <v>477</v>
      </c>
      <c r="C1451" s="130" t="s">
        <v>5253</v>
      </c>
      <c r="D1451" s="130" t="s">
        <v>5281</v>
      </c>
      <c r="E1451" s="130" t="s">
        <v>5254</v>
      </c>
      <c r="F1451" s="130" t="s">
        <v>5033</v>
      </c>
      <c r="G1451" s="130">
        <v>1000</v>
      </c>
      <c r="H1451" s="130">
        <v>20000</v>
      </c>
      <c r="I1451" s="130" t="s">
        <v>5013</v>
      </c>
    </row>
    <row r="1452" spans="2:9">
      <c r="B1452" s="129"/>
      <c r="C1452" s="130"/>
      <c r="D1452" s="130"/>
      <c r="E1452" s="130"/>
      <c r="F1452" s="130"/>
      <c r="G1452" s="130"/>
      <c r="H1452" s="130"/>
      <c r="I1452" s="130"/>
    </row>
    <row r="1453" spans="2:9">
      <c r="B1453" s="129"/>
      <c r="C1453" s="130"/>
      <c r="D1453" s="130"/>
      <c r="E1453" s="130"/>
      <c r="F1453" s="130"/>
      <c r="G1453" s="130"/>
      <c r="H1453" s="130"/>
      <c r="I1453" s="130"/>
    </row>
    <row r="1454" spans="2:9">
      <c r="B1454" s="129">
        <v>478</v>
      </c>
      <c r="C1454" s="130" t="s">
        <v>5253</v>
      </c>
      <c r="D1454" s="130" t="s">
        <v>5281</v>
      </c>
      <c r="E1454" s="130" t="s">
        <v>5282</v>
      </c>
      <c r="F1454" s="130" t="s">
        <v>5026</v>
      </c>
      <c r="G1454" s="130">
        <v>1000</v>
      </c>
      <c r="H1454" s="130" t="s">
        <v>5037</v>
      </c>
      <c r="I1454" s="130" t="s">
        <v>5004</v>
      </c>
    </row>
    <row r="1455" spans="2:9">
      <c r="B1455" s="129"/>
      <c r="C1455" s="130"/>
      <c r="D1455" s="130"/>
      <c r="E1455" s="130"/>
      <c r="F1455" s="130"/>
      <c r="G1455" s="130"/>
      <c r="H1455" s="130"/>
      <c r="I1455" s="130"/>
    </row>
    <row r="1456" spans="2:9">
      <c r="B1456" s="129"/>
      <c r="C1456" s="130"/>
      <c r="D1456" s="130"/>
      <c r="E1456" s="130"/>
      <c r="F1456" s="130"/>
      <c r="G1456" s="130"/>
      <c r="H1456" s="130"/>
      <c r="I1456" s="130"/>
    </row>
    <row r="1457" spans="2:9">
      <c r="B1457" s="129">
        <v>479</v>
      </c>
      <c r="C1457" s="130" t="s">
        <v>5253</v>
      </c>
      <c r="D1457" s="130" t="s">
        <v>5281</v>
      </c>
      <c r="E1457" s="130" t="s">
        <v>5282</v>
      </c>
      <c r="F1457" s="130" t="s">
        <v>5026</v>
      </c>
      <c r="G1457" s="130">
        <v>1000</v>
      </c>
      <c r="H1457" s="130" t="s">
        <v>5037</v>
      </c>
      <c r="I1457" s="130" t="s">
        <v>5004</v>
      </c>
    </row>
    <row r="1458" spans="2:9">
      <c r="B1458" s="129"/>
      <c r="C1458" s="130"/>
      <c r="D1458" s="130"/>
      <c r="E1458" s="130"/>
      <c r="F1458" s="130"/>
      <c r="G1458" s="130"/>
      <c r="H1458" s="130"/>
      <c r="I1458" s="130"/>
    </row>
    <row r="1459" spans="2:9">
      <c r="B1459" s="129"/>
      <c r="C1459" s="130"/>
      <c r="D1459" s="130"/>
      <c r="E1459" s="130"/>
      <c r="F1459" s="130"/>
      <c r="G1459" s="130"/>
      <c r="H1459" s="130"/>
      <c r="I1459" s="130"/>
    </row>
    <row r="1460" spans="2:9">
      <c r="B1460" s="129">
        <v>480</v>
      </c>
      <c r="C1460" s="130" t="s">
        <v>5122</v>
      </c>
      <c r="D1460" s="130" t="s">
        <v>5281</v>
      </c>
      <c r="E1460" s="130" t="s">
        <v>5135</v>
      </c>
      <c r="F1460" s="130" t="s">
        <v>5033</v>
      </c>
      <c r="G1460" s="130">
        <v>10000</v>
      </c>
      <c r="H1460" s="130">
        <v>24999</v>
      </c>
      <c r="I1460" s="130" t="s">
        <v>5004</v>
      </c>
    </row>
    <row r="1461" spans="2:9">
      <c r="B1461" s="129"/>
      <c r="C1461" s="130"/>
      <c r="D1461" s="130"/>
      <c r="E1461" s="130"/>
      <c r="F1461" s="130"/>
      <c r="G1461" s="130"/>
      <c r="H1461" s="130"/>
      <c r="I1461" s="130"/>
    </row>
    <row r="1462" spans="2:9">
      <c r="B1462" s="129"/>
      <c r="C1462" s="130"/>
      <c r="D1462" s="130"/>
      <c r="E1462" s="130"/>
      <c r="F1462" s="130"/>
      <c r="G1462" s="130"/>
      <c r="H1462" s="130"/>
      <c r="I1462" s="130"/>
    </row>
    <row r="1463" spans="2:9">
      <c r="B1463" s="129">
        <v>481</v>
      </c>
      <c r="C1463" s="130" t="s">
        <v>5184</v>
      </c>
      <c r="D1463" s="130" t="s">
        <v>5283</v>
      </c>
      <c r="E1463" s="130" t="s">
        <v>5284</v>
      </c>
      <c r="F1463" s="130" t="s">
        <v>5033</v>
      </c>
      <c r="G1463" s="130">
        <v>1000</v>
      </c>
      <c r="H1463" s="130" t="s">
        <v>5037</v>
      </c>
      <c r="I1463" s="130" t="s">
        <v>5013</v>
      </c>
    </row>
    <row r="1464" spans="2:9">
      <c r="B1464" s="129"/>
      <c r="C1464" s="130"/>
      <c r="D1464" s="130"/>
      <c r="E1464" s="130"/>
      <c r="F1464" s="130"/>
      <c r="G1464" s="130"/>
      <c r="H1464" s="130"/>
      <c r="I1464" s="130"/>
    </row>
    <row r="1465" spans="2:9">
      <c r="B1465" s="129"/>
      <c r="C1465" s="130"/>
      <c r="D1465" s="130"/>
      <c r="E1465" s="130"/>
      <c r="F1465" s="130"/>
      <c r="G1465" s="130"/>
      <c r="H1465" s="130"/>
      <c r="I1465" s="130"/>
    </row>
    <row r="1466" spans="2:9">
      <c r="B1466" s="129">
        <v>482</v>
      </c>
      <c r="C1466" s="130" t="s">
        <v>5238</v>
      </c>
      <c r="D1466" s="130" t="s">
        <v>5283</v>
      </c>
      <c r="E1466" s="130" t="s">
        <v>5240</v>
      </c>
      <c r="F1466" s="130" t="s">
        <v>5020</v>
      </c>
      <c r="G1466" s="130">
        <v>20000</v>
      </c>
      <c r="H1466" s="130" t="s">
        <v>5037</v>
      </c>
      <c r="I1466" s="130" t="s">
        <v>5004</v>
      </c>
    </row>
    <row r="1467" spans="2:9">
      <c r="B1467" s="129"/>
      <c r="C1467" s="130"/>
      <c r="D1467" s="130"/>
      <c r="E1467" s="130"/>
      <c r="F1467" s="130"/>
      <c r="G1467" s="130"/>
      <c r="H1467" s="130"/>
      <c r="I1467" s="130"/>
    </row>
    <row r="1468" spans="2:9">
      <c r="B1468" s="129"/>
      <c r="C1468" s="130"/>
      <c r="D1468" s="130"/>
      <c r="E1468" s="130"/>
      <c r="F1468" s="130"/>
      <c r="G1468" s="130"/>
      <c r="H1468" s="130"/>
      <c r="I1468" s="130"/>
    </row>
    <row r="1469" spans="2:9">
      <c r="B1469" s="129">
        <v>483</v>
      </c>
      <c r="C1469" s="130" t="s">
        <v>5009</v>
      </c>
      <c r="D1469" s="130" t="s">
        <v>5283</v>
      </c>
      <c r="E1469" s="130" t="s">
        <v>5228</v>
      </c>
      <c r="F1469" s="130" t="s">
        <v>5031</v>
      </c>
      <c r="G1469" s="130">
        <v>5000</v>
      </c>
      <c r="H1469" s="130" t="s">
        <v>5037</v>
      </c>
      <c r="I1469" s="130" t="s">
        <v>5013</v>
      </c>
    </row>
    <row r="1470" spans="2:9">
      <c r="B1470" s="129"/>
      <c r="C1470" s="130"/>
      <c r="D1470" s="130"/>
      <c r="E1470" s="130"/>
      <c r="F1470" s="130"/>
      <c r="G1470" s="130"/>
      <c r="H1470" s="130"/>
      <c r="I1470" s="130"/>
    </row>
    <row r="1471" spans="2:9">
      <c r="B1471" s="129"/>
      <c r="C1471" s="130"/>
      <c r="D1471" s="130"/>
      <c r="E1471" s="130"/>
      <c r="F1471" s="130"/>
      <c r="G1471" s="130"/>
      <c r="H1471" s="130"/>
      <c r="I1471" s="130"/>
    </row>
    <row r="1472" spans="2:9">
      <c r="B1472" s="129">
        <v>484</v>
      </c>
      <c r="C1472" s="130" t="s">
        <v>5061</v>
      </c>
      <c r="D1472" s="130" t="s">
        <v>5283</v>
      </c>
      <c r="E1472" s="130" t="s">
        <v>5068</v>
      </c>
      <c r="F1472" s="130" t="s">
        <v>5008</v>
      </c>
      <c r="G1472" s="130">
        <v>1000</v>
      </c>
      <c r="H1472" s="130">
        <v>14000</v>
      </c>
      <c r="I1472" s="130" t="s">
        <v>5013</v>
      </c>
    </row>
    <row r="1473" spans="2:9">
      <c r="B1473" s="129"/>
      <c r="C1473" s="130"/>
      <c r="D1473" s="130"/>
      <c r="E1473" s="130"/>
      <c r="F1473" s="130"/>
      <c r="G1473" s="130"/>
      <c r="H1473" s="130"/>
      <c r="I1473" s="130"/>
    </row>
    <row r="1474" spans="2:9">
      <c r="B1474" s="129"/>
      <c r="C1474" s="130"/>
      <c r="D1474" s="130"/>
      <c r="E1474" s="130"/>
      <c r="F1474" s="130"/>
      <c r="G1474" s="130"/>
      <c r="H1474" s="130"/>
      <c r="I1474" s="130"/>
    </row>
    <row r="1475" spans="2:9">
      <c r="B1475" s="129">
        <v>485</v>
      </c>
      <c r="C1475" s="130" t="s">
        <v>5122</v>
      </c>
      <c r="D1475" s="130" t="s">
        <v>5283</v>
      </c>
      <c r="E1475" s="130" t="s">
        <v>5135</v>
      </c>
      <c r="F1475" s="130" t="s">
        <v>5033</v>
      </c>
      <c r="G1475" s="130">
        <v>1000</v>
      </c>
      <c r="H1475" s="130">
        <v>9999</v>
      </c>
      <c r="I1475" s="130" t="s">
        <v>5004</v>
      </c>
    </row>
    <row r="1476" spans="2:9">
      <c r="B1476" s="129"/>
      <c r="C1476" s="130"/>
      <c r="D1476" s="130"/>
      <c r="E1476" s="130"/>
      <c r="F1476" s="130"/>
      <c r="G1476" s="130"/>
      <c r="H1476" s="130"/>
      <c r="I1476" s="130"/>
    </row>
    <row r="1477" spans="2:9">
      <c r="B1477" s="129"/>
      <c r="C1477" s="130"/>
      <c r="D1477" s="130"/>
      <c r="E1477" s="130"/>
      <c r="F1477" s="130"/>
      <c r="G1477" s="130"/>
      <c r="H1477" s="130"/>
      <c r="I1477" s="130"/>
    </row>
    <row r="1478" spans="2:9">
      <c r="B1478" s="129">
        <v>486</v>
      </c>
      <c r="C1478" s="130" t="s">
        <v>5056</v>
      </c>
      <c r="D1478" s="130" t="s">
        <v>5283</v>
      </c>
      <c r="E1478" s="130" t="s">
        <v>5075</v>
      </c>
      <c r="F1478" s="130" t="s">
        <v>5012</v>
      </c>
      <c r="G1478" s="130">
        <v>0</v>
      </c>
      <c r="H1478" s="130">
        <v>2000</v>
      </c>
      <c r="I1478" s="130" t="s">
        <v>5029</v>
      </c>
    </row>
    <row r="1479" spans="2:9">
      <c r="B1479" s="129"/>
      <c r="C1479" s="130"/>
      <c r="D1479" s="130"/>
      <c r="E1479" s="130"/>
      <c r="F1479" s="130"/>
      <c r="G1479" s="130"/>
      <c r="H1479" s="130"/>
      <c r="I1479" s="130"/>
    </row>
    <row r="1480" spans="2:9">
      <c r="B1480" s="129"/>
      <c r="C1480" s="130"/>
      <c r="D1480" s="130"/>
      <c r="E1480" s="130"/>
      <c r="F1480" s="130"/>
      <c r="G1480" s="130"/>
      <c r="H1480" s="130"/>
      <c r="I1480" s="130"/>
    </row>
    <row r="1481" spans="2:9">
      <c r="B1481" s="129">
        <v>487</v>
      </c>
      <c r="C1481" s="130" t="s">
        <v>5184</v>
      </c>
      <c r="D1481" s="130" t="s">
        <v>5285</v>
      </c>
      <c r="E1481" s="130" t="s">
        <v>5271</v>
      </c>
      <c r="F1481" s="130" t="s">
        <v>5033</v>
      </c>
      <c r="G1481" s="130">
        <v>500</v>
      </c>
      <c r="H1481" s="130" t="s">
        <v>5037</v>
      </c>
      <c r="I1481" s="130" t="s">
        <v>5004</v>
      </c>
    </row>
    <row r="1482" spans="2:9">
      <c r="B1482" s="129"/>
      <c r="C1482" s="130"/>
      <c r="D1482" s="130"/>
      <c r="E1482" s="130"/>
      <c r="F1482" s="130"/>
      <c r="G1482" s="130"/>
      <c r="H1482" s="130"/>
      <c r="I1482" s="130"/>
    </row>
    <row r="1483" spans="2:9">
      <c r="B1483" s="129"/>
      <c r="C1483" s="130"/>
      <c r="D1483" s="130"/>
      <c r="E1483" s="130"/>
      <c r="F1483" s="130"/>
      <c r="G1483" s="130"/>
      <c r="H1483" s="130"/>
      <c r="I1483" s="130"/>
    </row>
    <row r="1484" spans="2:9">
      <c r="B1484" s="129">
        <v>488</v>
      </c>
      <c r="C1484" s="130" t="s">
        <v>5027</v>
      </c>
      <c r="D1484" s="130" t="s">
        <v>5285</v>
      </c>
      <c r="E1484" s="130" t="s">
        <v>5273</v>
      </c>
      <c r="F1484" s="130" t="s">
        <v>5196</v>
      </c>
      <c r="G1484" s="130">
        <v>5000</v>
      </c>
      <c r="H1484" s="130">
        <v>20000</v>
      </c>
      <c r="I1484" s="130" t="s">
        <v>5013</v>
      </c>
    </row>
    <row r="1485" spans="2:9">
      <c r="B1485" s="129"/>
      <c r="C1485" s="130"/>
      <c r="D1485" s="130"/>
      <c r="E1485" s="130"/>
      <c r="F1485" s="130"/>
      <c r="G1485" s="130"/>
      <c r="H1485" s="130"/>
      <c r="I1485" s="130"/>
    </row>
    <row r="1486" spans="2:9">
      <c r="B1486" s="129"/>
      <c r="C1486" s="130"/>
      <c r="D1486" s="130"/>
      <c r="E1486" s="130"/>
      <c r="F1486" s="130"/>
      <c r="G1486" s="130"/>
      <c r="H1486" s="130"/>
      <c r="I1486" s="130"/>
    </row>
    <row r="1487" spans="2:9">
      <c r="B1487" s="129">
        <v>489</v>
      </c>
      <c r="C1487" s="130" t="s">
        <v>5071</v>
      </c>
      <c r="D1487" s="130" t="s">
        <v>5285</v>
      </c>
      <c r="E1487" s="130" t="s">
        <v>5247</v>
      </c>
      <c r="F1487" s="130" t="s">
        <v>5008</v>
      </c>
      <c r="G1487" s="130">
        <v>1000</v>
      </c>
      <c r="H1487" s="130" t="s">
        <v>5037</v>
      </c>
      <c r="I1487" s="130" t="s">
        <v>5004</v>
      </c>
    </row>
    <row r="1488" spans="2:9">
      <c r="B1488" s="129"/>
      <c r="C1488" s="130"/>
      <c r="D1488" s="130"/>
      <c r="E1488" s="130"/>
      <c r="F1488" s="130"/>
      <c r="G1488" s="130"/>
      <c r="H1488" s="130"/>
      <c r="I1488" s="130"/>
    </row>
    <row r="1489" spans="2:9">
      <c r="B1489" s="129"/>
      <c r="C1489" s="130"/>
      <c r="D1489" s="130"/>
      <c r="E1489" s="130"/>
      <c r="F1489" s="130"/>
      <c r="G1489" s="130"/>
      <c r="H1489" s="130"/>
      <c r="I1489" s="130"/>
    </row>
    <row r="1490" spans="2:9">
      <c r="B1490" s="129">
        <v>490</v>
      </c>
      <c r="C1490" s="130" t="s">
        <v>5125</v>
      </c>
      <c r="D1490" s="130" t="s">
        <v>5285</v>
      </c>
      <c r="E1490" s="130" t="s">
        <v>5127</v>
      </c>
      <c r="F1490" s="130" t="s">
        <v>5008</v>
      </c>
      <c r="G1490" s="130">
        <v>1000</v>
      </c>
      <c r="H1490" s="130" t="s">
        <v>5037</v>
      </c>
      <c r="I1490" s="130" t="s">
        <v>5004</v>
      </c>
    </row>
    <row r="1491" spans="2:9">
      <c r="B1491" s="129"/>
      <c r="C1491" s="130"/>
      <c r="D1491" s="130"/>
      <c r="E1491" s="130"/>
      <c r="F1491" s="130"/>
      <c r="G1491" s="130"/>
      <c r="H1491" s="130"/>
      <c r="I1491" s="130"/>
    </row>
    <row r="1492" spans="2:9">
      <c r="B1492" s="129"/>
      <c r="C1492" s="130"/>
      <c r="D1492" s="130"/>
      <c r="E1492" s="130"/>
      <c r="F1492" s="130"/>
      <c r="G1492" s="130"/>
      <c r="H1492" s="130"/>
      <c r="I1492" s="130"/>
    </row>
    <row r="1493" spans="2:9">
      <c r="B1493" s="129">
        <v>491</v>
      </c>
      <c r="C1493" s="130" t="s">
        <v>5235</v>
      </c>
      <c r="D1493" s="130" t="s">
        <v>5285</v>
      </c>
      <c r="E1493" s="130" t="s">
        <v>5251</v>
      </c>
      <c r="F1493" s="130" t="s">
        <v>5050</v>
      </c>
      <c r="G1493" s="130">
        <v>1000</v>
      </c>
      <c r="H1493" s="130">
        <v>20000</v>
      </c>
      <c r="I1493" s="130" t="s">
        <v>5004</v>
      </c>
    </row>
    <row r="1494" spans="2:9">
      <c r="B1494" s="129"/>
      <c r="C1494" s="130"/>
      <c r="D1494" s="130"/>
      <c r="E1494" s="130"/>
      <c r="F1494" s="130"/>
      <c r="G1494" s="130"/>
      <c r="H1494" s="130"/>
      <c r="I1494" s="130"/>
    </row>
    <row r="1495" spans="2:9">
      <c r="B1495" s="129"/>
      <c r="C1495" s="130"/>
      <c r="D1495" s="130"/>
      <c r="E1495" s="130"/>
      <c r="F1495" s="130"/>
      <c r="G1495" s="130"/>
      <c r="H1495" s="130"/>
      <c r="I1495" s="130"/>
    </row>
    <row r="1496" spans="2:9">
      <c r="B1496" s="129">
        <v>492</v>
      </c>
      <c r="C1496" s="130" t="s">
        <v>5235</v>
      </c>
      <c r="D1496" s="130" t="s">
        <v>5285</v>
      </c>
      <c r="E1496" s="130" t="s">
        <v>5251</v>
      </c>
      <c r="F1496" s="130" t="s">
        <v>5020</v>
      </c>
      <c r="G1496" s="130">
        <v>1000</v>
      </c>
      <c r="H1496" s="130">
        <v>20000</v>
      </c>
      <c r="I1496" s="130" t="s">
        <v>5004</v>
      </c>
    </row>
    <row r="1497" spans="2:9">
      <c r="B1497" s="129"/>
      <c r="C1497" s="130"/>
      <c r="D1497" s="130"/>
      <c r="E1497" s="130"/>
      <c r="F1497" s="130"/>
      <c r="G1497" s="130"/>
      <c r="H1497" s="130"/>
      <c r="I1497" s="130"/>
    </row>
    <row r="1498" spans="2:9">
      <c r="B1498" s="129"/>
      <c r="C1498" s="130"/>
      <c r="D1498" s="130"/>
      <c r="E1498" s="130"/>
      <c r="F1498" s="130"/>
      <c r="G1498" s="130"/>
      <c r="H1498" s="130"/>
      <c r="I1498" s="130"/>
    </row>
    <row r="1499" spans="2:9">
      <c r="B1499" s="129">
        <v>493</v>
      </c>
      <c r="C1499" s="130" t="s">
        <v>5235</v>
      </c>
      <c r="D1499" s="130" t="s">
        <v>5285</v>
      </c>
      <c r="E1499" s="130" t="s">
        <v>5251</v>
      </c>
      <c r="F1499" s="130" t="s">
        <v>5033</v>
      </c>
      <c r="G1499" s="130">
        <v>1000</v>
      </c>
      <c r="H1499" s="130">
        <v>20000</v>
      </c>
      <c r="I1499" s="130" t="s">
        <v>5004</v>
      </c>
    </row>
    <row r="1500" spans="2:9">
      <c r="B1500" s="129"/>
      <c r="C1500" s="130"/>
      <c r="D1500" s="130"/>
      <c r="E1500" s="130"/>
      <c r="F1500" s="130"/>
      <c r="G1500" s="130"/>
      <c r="H1500" s="130"/>
      <c r="I1500" s="130"/>
    </row>
    <row r="1501" spans="2:9">
      <c r="B1501" s="129"/>
      <c r="C1501" s="130"/>
      <c r="D1501" s="130"/>
      <c r="E1501" s="130"/>
      <c r="F1501" s="130"/>
      <c r="G1501" s="130"/>
      <c r="H1501" s="130"/>
      <c r="I1501" s="130"/>
    </row>
    <row r="1502" spans="2:9">
      <c r="B1502" s="129">
        <v>494</v>
      </c>
      <c r="C1502" s="130" t="s">
        <v>5102</v>
      </c>
      <c r="D1502" s="130" t="s">
        <v>5285</v>
      </c>
      <c r="E1502" s="130" t="s">
        <v>5132</v>
      </c>
      <c r="F1502" s="130" t="s">
        <v>5003</v>
      </c>
      <c r="G1502" s="130">
        <v>10000</v>
      </c>
      <c r="H1502" s="130" t="s">
        <v>5037</v>
      </c>
      <c r="I1502" s="130" t="s">
        <v>5004</v>
      </c>
    </row>
    <row r="1503" spans="2:9">
      <c r="B1503" s="129"/>
      <c r="C1503" s="130"/>
      <c r="D1503" s="130"/>
      <c r="E1503" s="130"/>
      <c r="F1503" s="130"/>
      <c r="G1503" s="130"/>
      <c r="H1503" s="130"/>
      <c r="I1503" s="130"/>
    </row>
    <row r="1504" spans="2:9">
      <c r="B1504" s="129"/>
      <c r="C1504" s="130"/>
      <c r="D1504" s="130"/>
      <c r="E1504" s="130"/>
      <c r="F1504" s="130"/>
      <c r="G1504" s="130"/>
      <c r="H1504" s="130"/>
      <c r="I1504" s="130"/>
    </row>
    <row r="1505" spans="2:9">
      <c r="B1505" s="129">
        <v>495</v>
      </c>
      <c r="C1505" s="130" t="s">
        <v>5128</v>
      </c>
      <c r="D1505" s="130" t="s">
        <v>5285</v>
      </c>
      <c r="E1505" s="130" t="s">
        <v>5127</v>
      </c>
      <c r="F1505" s="130" t="s">
        <v>5117</v>
      </c>
      <c r="G1505" s="130">
        <v>50000</v>
      </c>
      <c r="H1505" s="130" t="s">
        <v>5037</v>
      </c>
      <c r="I1505" s="130" t="s">
        <v>5004</v>
      </c>
    </row>
    <row r="1506" spans="2:9">
      <c r="B1506" s="129"/>
      <c r="C1506" s="130"/>
      <c r="D1506" s="130"/>
      <c r="E1506" s="130"/>
      <c r="F1506" s="130"/>
      <c r="G1506" s="130"/>
      <c r="H1506" s="130"/>
      <c r="I1506" s="130"/>
    </row>
    <row r="1507" spans="2:9">
      <c r="B1507" s="129"/>
      <c r="C1507" s="130"/>
      <c r="D1507" s="130"/>
      <c r="E1507" s="130"/>
      <c r="F1507" s="130"/>
      <c r="G1507" s="130"/>
      <c r="H1507" s="130"/>
      <c r="I1507" s="130"/>
    </row>
    <row r="1508" spans="2:9">
      <c r="B1508" s="129">
        <v>496</v>
      </c>
      <c r="C1508" s="130" t="s">
        <v>5128</v>
      </c>
      <c r="D1508" s="130" t="s">
        <v>5285</v>
      </c>
      <c r="E1508" s="130" t="s">
        <v>5127</v>
      </c>
      <c r="F1508" s="130" t="s">
        <v>5043</v>
      </c>
      <c r="G1508" s="130">
        <v>50000</v>
      </c>
      <c r="H1508" s="130" t="s">
        <v>5037</v>
      </c>
      <c r="I1508" s="130" t="s">
        <v>5004</v>
      </c>
    </row>
    <row r="1509" spans="2:9">
      <c r="B1509" s="129"/>
      <c r="C1509" s="130"/>
      <c r="D1509" s="130"/>
      <c r="E1509" s="130"/>
      <c r="F1509" s="130"/>
      <c r="G1509" s="130"/>
      <c r="H1509" s="130"/>
      <c r="I1509" s="130"/>
    </row>
    <row r="1510" spans="2:9">
      <c r="B1510" s="129"/>
      <c r="C1510" s="130"/>
      <c r="D1510" s="130"/>
      <c r="E1510" s="130"/>
      <c r="F1510" s="130"/>
      <c r="G1510" s="130"/>
      <c r="H1510" s="130"/>
      <c r="I1510" s="130"/>
    </row>
    <row r="1511" spans="2:9">
      <c r="B1511" s="129">
        <v>497</v>
      </c>
      <c r="C1511" s="130" t="s">
        <v>5128</v>
      </c>
      <c r="D1511" s="130" t="s">
        <v>5285</v>
      </c>
      <c r="E1511" s="130" t="s">
        <v>5127</v>
      </c>
      <c r="F1511" s="130" t="s">
        <v>5085</v>
      </c>
      <c r="G1511" s="130">
        <v>50000</v>
      </c>
      <c r="H1511" s="130" t="s">
        <v>5037</v>
      </c>
      <c r="I1511" s="130" t="s">
        <v>5004</v>
      </c>
    </row>
    <row r="1512" spans="2:9">
      <c r="B1512" s="129"/>
      <c r="C1512" s="130"/>
      <c r="D1512" s="130"/>
      <c r="E1512" s="130"/>
      <c r="F1512" s="130"/>
      <c r="G1512" s="130"/>
      <c r="H1512" s="130"/>
      <c r="I1512" s="130"/>
    </row>
    <row r="1513" spans="2:9">
      <c r="B1513" s="129"/>
      <c r="C1513" s="130"/>
      <c r="D1513" s="130"/>
      <c r="E1513" s="130"/>
      <c r="F1513" s="130"/>
      <c r="G1513" s="130"/>
      <c r="H1513" s="130"/>
      <c r="I1513" s="130"/>
    </row>
    <row r="1514" spans="2:9">
      <c r="B1514" s="129">
        <v>498</v>
      </c>
      <c r="C1514" s="130" t="s">
        <v>5095</v>
      </c>
      <c r="D1514" s="130" t="s">
        <v>5285</v>
      </c>
      <c r="E1514" s="130" t="s">
        <v>5204</v>
      </c>
      <c r="F1514" s="130" t="s">
        <v>5003</v>
      </c>
      <c r="G1514" s="130">
        <v>500</v>
      </c>
      <c r="H1514" s="130" t="s">
        <v>5037</v>
      </c>
      <c r="I1514" s="130" t="s">
        <v>5004</v>
      </c>
    </row>
    <row r="1515" spans="2:9">
      <c r="B1515" s="129"/>
      <c r="C1515" s="130"/>
      <c r="D1515" s="130"/>
      <c r="E1515" s="130"/>
      <c r="F1515" s="130"/>
      <c r="G1515" s="130"/>
      <c r="H1515" s="130"/>
      <c r="I1515" s="130"/>
    </row>
    <row r="1516" spans="2:9">
      <c r="B1516" s="129"/>
      <c r="C1516" s="130"/>
      <c r="D1516" s="130"/>
      <c r="E1516" s="130"/>
      <c r="F1516" s="130"/>
      <c r="G1516" s="130"/>
      <c r="H1516" s="130"/>
      <c r="I1516" s="130"/>
    </row>
    <row r="1517" spans="2:9">
      <c r="B1517" s="129">
        <v>499</v>
      </c>
      <c r="C1517" s="130" t="s">
        <v>5095</v>
      </c>
      <c r="D1517" s="130" t="s">
        <v>5285</v>
      </c>
      <c r="E1517" s="130" t="s">
        <v>5205</v>
      </c>
      <c r="F1517" s="130" t="s">
        <v>5050</v>
      </c>
      <c r="G1517" s="130">
        <v>50000</v>
      </c>
      <c r="H1517" s="130" t="s">
        <v>5037</v>
      </c>
      <c r="I1517" s="130" t="s">
        <v>5004</v>
      </c>
    </row>
    <row r="1518" spans="2:9">
      <c r="B1518" s="129"/>
      <c r="C1518" s="130"/>
      <c r="D1518" s="130"/>
      <c r="E1518" s="130"/>
      <c r="F1518" s="130"/>
      <c r="G1518" s="130"/>
      <c r="H1518" s="130"/>
      <c r="I1518" s="130"/>
    </row>
    <row r="1519" spans="2:9">
      <c r="B1519" s="129"/>
      <c r="C1519" s="130"/>
      <c r="D1519" s="130"/>
      <c r="E1519" s="130"/>
      <c r="F1519" s="130"/>
      <c r="G1519" s="130"/>
      <c r="H1519" s="130"/>
      <c r="I1519" s="130"/>
    </row>
    <row r="1520" spans="2:9">
      <c r="B1520" s="129">
        <v>500</v>
      </c>
      <c r="C1520" s="130" t="s">
        <v>5095</v>
      </c>
      <c r="D1520" s="130" t="s">
        <v>5285</v>
      </c>
      <c r="E1520" s="130" t="s">
        <v>5205</v>
      </c>
      <c r="F1520" s="130" t="s">
        <v>5020</v>
      </c>
      <c r="G1520" s="130">
        <v>50000</v>
      </c>
      <c r="H1520" s="130" t="s">
        <v>5037</v>
      </c>
      <c r="I1520" s="130" t="s">
        <v>5004</v>
      </c>
    </row>
    <row r="1521" spans="2:9">
      <c r="B1521" s="129"/>
      <c r="C1521" s="130"/>
      <c r="D1521" s="130"/>
      <c r="E1521" s="130"/>
      <c r="F1521" s="130"/>
      <c r="G1521" s="130"/>
      <c r="H1521" s="130"/>
      <c r="I1521" s="130"/>
    </row>
    <row r="1522" spans="2:9">
      <c r="B1522" s="129"/>
      <c r="C1522" s="130"/>
      <c r="D1522" s="130"/>
      <c r="E1522" s="130"/>
      <c r="F1522" s="130"/>
      <c r="G1522" s="130"/>
      <c r="H1522" s="130"/>
      <c r="I1522" s="130"/>
    </row>
    <row r="1523" spans="2:9">
      <c r="B1523" s="129">
        <v>501</v>
      </c>
      <c r="C1523" s="130" t="s">
        <v>5095</v>
      </c>
      <c r="D1523" s="130" t="s">
        <v>5285</v>
      </c>
      <c r="E1523" s="130" t="s">
        <v>5205</v>
      </c>
      <c r="F1523" s="130" t="s">
        <v>5033</v>
      </c>
      <c r="G1523" s="130">
        <v>50000</v>
      </c>
      <c r="H1523" s="130" t="s">
        <v>5037</v>
      </c>
      <c r="I1523" s="130" t="s">
        <v>5004</v>
      </c>
    </row>
    <row r="1524" spans="2:9">
      <c r="B1524" s="129"/>
      <c r="C1524" s="130"/>
      <c r="D1524" s="130"/>
      <c r="E1524" s="130"/>
      <c r="F1524" s="130"/>
      <c r="G1524" s="130"/>
      <c r="H1524" s="130"/>
      <c r="I1524" s="130"/>
    </row>
    <row r="1525" spans="2:9">
      <c r="B1525" s="129"/>
      <c r="C1525" s="130"/>
      <c r="D1525" s="130"/>
      <c r="E1525" s="130"/>
      <c r="F1525" s="130"/>
      <c r="G1525" s="130"/>
      <c r="H1525" s="130"/>
      <c r="I1525" s="130"/>
    </row>
    <row r="1526" spans="2:9">
      <c r="B1526" s="129">
        <v>502</v>
      </c>
      <c r="C1526" s="130" t="s">
        <v>5095</v>
      </c>
      <c r="D1526" s="130" t="s">
        <v>5285</v>
      </c>
      <c r="E1526" s="130" t="s">
        <v>5205</v>
      </c>
      <c r="F1526" s="130" t="s">
        <v>5031</v>
      </c>
      <c r="G1526" s="130">
        <v>25000</v>
      </c>
      <c r="H1526" s="130">
        <v>49999</v>
      </c>
      <c r="I1526" s="130" t="s">
        <v>5004</v>
      </c>
    </row>
    <row r="1527" spans="2:9">
      <c r="B1527" s="129"/>
      <c r="C1527" s="130"/>
      <c r="D1527" s="130"/>
      <c r="E1527" s="130"/>
      <c r="F1527" s="130"/>
      <c r="G1527" s="130"/>
      <c r="H1527" s="130"/>
      <c r="I1527" s="130"/>
    </row>
    <row r="1528" spans="2:9">
      <c r="B1528" s="129"/>
      <c r="C1528" s="130"/>
      <c r="D1528" s="130"/>
      <c r="E1528" s="130"/>
      <c r="F1528" s="130"/>
      <c r="G1528" s="130"/>
      <c r="H1528" s="130"/>
      <c r="I1528" s="130"/>
    </row>
    <row r="1529" spans="2:9">
      <c r="B1529" s="129">
        <v>503</v>
      </c>
      <c r="C1529" s="130" t="s">
        <v>5095</v>
      </c>
      <c r="D1529" s="130" t="s">
        <v>5285</v>
      </c>
      <c r="E1529" s="130" t="s">
        <v>5205</v>
      </c>
      <c r="F1529" s="130" t="s">
        <v>5026</v>
      </c>
      <c r="G1529" s="130">
        <v>10000</v>
      </c>
      <c r="H1529" s="130">
        <v>24999</v>
      </c>
      <c r="I1529" s="130" t="s">
        <v>5004</v>
      </c>
    </row>
    <row r="1530" spans="2:9">
      <c r="B1530" s="129"/>
      <c r="C1530" s="130"/>
      <c r="D1530" s="130"/>
      <c r="E1530" s="130"/>
      <c r="F1530" s="130"/>
      <c r="G1530" s="130"/>
      <c r="H1530" s="130"/>
      <c r="I1530" s="130"/>
    </row>
    <row r="1531" spans="2:9">
      <c r="B1531" s="129"/>
      <c r="C1531" s="130"/>
      <c r="D1531" s="130"/>
      <c r="E1531" s="130"/>
      <c r="F1531" s="130"/>
      <c r="G1531" s="130"/>
      <c r="H1531" s="130"/>
      <c r="I1531" s="130"/>
    </row>
    <row r="1532" spans="2:9">
      <c r="B1532" s="129">
        <v>504</v>
      </c>
      <c r="C1532" s="130" t="s">
        <v>5256</v>
      </c>
      <c r="D1532" s="130" t="s">
        <v>5285</v>
      </c>
      <c r="E1532" s="130" t="s">
        <v>5257</v>
      </c>
      <c r="F1532" s="130" t="s">
        <v>5033</v>
      </c>
      <c r="G1532" s="130">
        <v>5000</v>
      </c>
      <c r="H1532" s="130" t="s">
        <v>5037</v>
      </c>
      <c r="I1532" s="130" t="s">
        <v>5004</v>
      </c>
    </row>
    <row r="1533" spans="2:9">
      <c r="B1533" s="129"/>
      <c r="C1533" s="130"/>
      <c r="D1533" s="130"/>
      <c r="E1533" s="130"/>
      <c r="F1533" s="130"/>
      <c r="G1533" s="130"/>
      <c r="H1533" s="130"/>
      <c r="I1533" s="130"/>
    </row>
    <row r="1534" spans="2:9">
      <c r="B1534" s="129"/>
      <c r="C1534" s="130"/>
      <c r="D1534" s="130"/>
      <c r="E1534" s="130"/>
      <c r="F1534" s="130"/>
      <c r="G1534" s="130"/>
      <c r="H1534" s="130"/>
      <c r="I1534" s="130"/>
    </row>
    <row r="1535" spans="2:9">
      <c r="B1535" s="129">
        <v>505</v>
      </c>
      <c r="C1535" s="130" t="s">
        <v>5044</v>
      </c>
      <c r="D1535" s="130" t="s">
        <v>5285</v>
      </c>
      <c r="E1535" s="130" t="s">
        <v>5258</v>
      </c>
      <c r="F1535" s="130" t="s">
        <v>5033</v>
      </c>
      <c r="G1535" s="130">
        <v>20000</v>
      </c>
      <c r="H1535" s="130" t="s">
        <v>5037</v>
      </c>
      <c r="I1535" s="130" t="s">
        <v>5004</v>
      </c>
    </row>
    <row r="1536" spans="2:9">
      <c r="B1536" s="129"/>
      <c r="C1536" s="130"/>
      <c r="D1536" s="130"/>
      <c r="E1536" s="130"/>
      <c r="F1536" s="130"/>
      <c r="G1536" s="130"/>
      <c r="H1536" s="130"/>
      <c r="I1536" s="130"/>
    </row>
    <row r="1537" spans="2:9">
      <c r="B1537" s="129"/>
      <c r="C1537" s="130"/>
      <c r="D1537" s="130"/>
      <c r="E1537" s="130"/>
      <c r="F1537" s="130"/>
      <c r="G1537" s="130"/>
      <c r="H1537" s="130"/>
      <c r="I1537" s="130"/>
    </row>
    <row r="1538" spans="2:9">
      <c r="B1538" s="129">
        <v>506</v>
      </c>
      <c r="C1538" s="130" t="s">
        <v>5208</v>
      </c>
      <c r="D1538" s="130" t="s">
        <v>5285</v>
      </c>
      <c r="E1538" s="130" t="s">
        <v>5277</v>
      </c>
      <c r="F1538" s="130" t="s">
        <v>5008</v>
      </c>
      <c r="G1538" s="130">
        <v>1000</v>
      </c>
      <c r="H1538" s="130" t="s">
        <v>5037</v>
      </c>
      <c r="I1538" s="130" t="s">
        <v>5004</v>
      </c>
    </row>
    <row r="1539" spans="2:9">
      <c r="B1539" s="129"/>
      <c r="C1539" s="130"/>
      <c r="D1539" s="130"/>
      <c r="E1539" s="130"/>
      <c r="F1539" s="130"/>
      <c r="G1539" s="130"/>
      <c r="H1539" s="130"/>
      <c r="I1539" s="130"/>
    </row>
    <row r="1540" spans="2:9">
      <c r="B1540" s="129"/>
      <c r="C1540" s="130"/>
      <c r="D1540" s="130"/>
      <c r="E1540" s="130"/>
      <c r="F1540" s="130"/>
      <c r="G1540" s="130"/>
      <c r="H1540" s="130"/>
      <c r="I1540" s="130"/>
    </row>
    <row r="1541" spans="2:9">
      <c r="B1541" s="129">
        <v>507</v>
      </c>
      <c r="C1541" s="130" t="s">
        <v>5107</v>
      </c>
      <c r="D1541" s="130" t="s">
        <v>5285</v>
      </c>
      <c r="E1541" s="130" t="s">
        <v>5132</v>
      </c>
      <c r="F1541" s="130" t="s">
        <v>5008</v>
      </c>
      <c r="G1541" s="130">
        <v>100000</v>
      </c>
      <c r="H1541" s="130" t="s">
        <v>5037</v>
      </c>
      <c r="I1541" s="130" t="s">
        <v>5004</v>
      </c>
    </row>
    <row r="1542" spans="2:9">
      <c r="B1542" s="129"/>
      <c r="C1542" s="130"/>
      <c r="D1542" s="130"/>
      <c r="E1542" s="130"/>
      <c r="F1542" s="130"/>
      <c r="G1542" s="130"/>
      <c r="H1542" s="130"/>
      <c r="I1542" s="130"/>
    </row>
    <row r="1543" spans="2:9">
      <c r="B1543" s="129"/>
      <c r="C1543" s="130"/>
      <c r="D1543" s="130"/>
      <c r="E1543" s="130"/>
      <c r="F1543" s="130"/>
      <c r="G1543" s="130"/>
      <c r="H1543" s="130"/>
      <c r="I1543" s="130"/>
    </row>
    <row r="1544" spans="2:9">
      <c r="B1544" s="129">
        <v>508</v>
      </c>
      <c r="C1544" s="130" t="s">
        <v>5224</v>
      </c>
      <c r="D1544" s="130" t="s">
        <v>5285</v>
      </c>
      <c r="E1544" s="130" t="s">
        <v>5132</v>
      </c>
      <c r="F1544" s="130" t="s">
        <v>5026</v>
      </c>
      <c r="G1544" s="130">
        <v>50</v>
      </c>
      <c r="H1544" s="130" t="s">
        <v>5037</v>
      </c>
      <c r="I1544" s="130" t="s">
        <v>5004</v>
      </c>
    </row>
    <row r="1545" spans="2:9">
      <c r="B1545" s="129"/>
      <c r="C1545" s="130"/>
      <c r="D1545" s="130"/>
      <c r="E1545" s="130"/>
      <c r="F1545" s="130"/>
      <c r="G1545" s="130"/>
      <c r="H1545" s="130"/>
      <c r="I1545" s="130"/>
    </row>
    <row r="1546" spans="2:9">
      <c r="B1546" s="129"/>
      <c r="C1546" s="130"/>
      <c r="D1546" s="130"/>
      <c r="E1546" s="130"/>
      <c r="F1546" s="130"/>
      <c r="G1546" s="130"/>
      <c r="H1546" s="130"/>
      <c r="I1546" s="130"/>
    </row>
    <row r="1547" spans="2:9">
      <c r="B1547" s="129">
        <v>509</v>
      </c>
      <c r="C1547" s="130" t="s">
        <v>5112</v>
      </c>
      <c r="D1547" s="130" t="s">
        <v>5285</v>
      </c>
      <c r="E1547" s="130" t="s">
        <v>5260</v>
      </c>
      <c r="F1547" s="130" t="s">
        <v>5012</v>
      </c>
      <c r="G1547" s="130">
        <v>50000</v>
      </c>
      <c r="H1547" s="130">
        <v>99999</v>
      </c>
      <c r="I1547" s="130" t="s">
        <v>5029</v>
      </c>
    </row>
    <row r="1548" spans="2:9">
      <c r="B1548" s="129"/>
      <c r="C1548" s="130"/>
      <c r="D1548" s="130"/>
      <c r="E1548" s="130"/>
      <c r="F1548" s="130"/>
      <c r="G1548" s="130"/>
      <c r="H1548" s="130"/>
      <c r="I1548" s="130"/>
    </row>
    <row r="1549" spans="2:9">
      <c r="B1549" s="129"/>
      <c r="C1549" s="130"/>
      <c r="D1549" s="130"/>
      <c r="E1549" s="130"/>
      <c r="F1549" s="130"/>
      <c r="G1549" s="130"/>
      <c r="H1549" s="130"/>
      <c r="I1549" s="130"/>
    </row>
    <row r="1550" spans="2:9">
      <c r="B1550" s="129">
        <v>510</v>
      </c>
      <c r="C1550" s="130" t="s">
        <v>5188</v>
      </c>
      <c r="D1550" s="130" t="s">
        <v>5285</v>
      </c>
      <c r="E1550" s="130" t="s">
        <v>5263</v>
      </c>
      <c r="F1550" s="130" t="s">
        <v>5012</v>
      </c>
      <c r="G1550" s="130">
        <v>30000</v>
      </c>
      <c r="H1550" s="130">
        <v>99999</v>
      </c>
      <c r="I1550" s="130" t="s">
        <v>5264</v>
      </c>
    </row>
    <row r="1551" spans="2:9">
      <c r="B1551" s="129"/>
      <c r="C1551" s="130"/>
      <c r="D1551" s="130"/>
      <c r="E1551" s="130"/>
      <c r="F1551" s="130"/>
      <c r="G1551" s="130"/>
      <c r="H1551" s="130"/>
      <c r="I1551" s="130"/>
    </row>
    <row r="1552" spans="2:9">
      <c r="B1552" s="129"/>
      <c r="C1552" s="130"/>
      <c r="D1552" s="130"/>
      <c r="E1552" s="130"/>
      <c r="F1552" s="130"/>
      <c r="G1552" s="130"/>
      <c r="H1552" s="130"/>
      <c r="I1552" s="130"/>
    </row>
    <row r="1553" spans="2:9">
      <c r="B1553" s="129">
        <v>511</v>
      </c>
      <c r="C1553" s="130" t="s">
        <v>5218</v>
      </c>
      <c r="D1553" s="130" t="s">
        <v>5286</v>
      </c>
      <c r="E1553" s="130" t="s">
        <v>5287</v>
      </c>
      <c r="F1553" s="130" t="s">
        <v>5196</v>
      </c>
      <c r="G1553" s="130">
        <v>1000</v>
      </c>
      <c r="H1553" s="130" t="s">
        <v>5037</v>
      </c>
      <c r="I1553" s="130" t="s">
        <v>5013</v>
      </c>
    </row>
    <row r="1554" spans="2:9">
      <c r="B1554" s="129"/>
      <c r="C1554" s="130"/>
      <c r="D1554" s="130"/>
      <c r="E1554" s="130"/>
      <c r="F1554" s="130"/>
      <c r="G1554" s="130"/>
      <c r="H1554" s="130"/>
      <c r="I1554" s="130"/>
    </row>
    <row r="1555" spans="2:9">
      <c r="B1555" s="129"/>
      <c r="C1555" s="130"/>
      <c r="D1555" s="130"/>
      <c r="E1555" s="130"/>
      <c r="F1555" s="130"/>
      <c r="G1555" s="130"/>
      <c r="H1555" s="130"/>
      <c r="I1555" s="130"/>
    </row>
    <row r="1556" spans="2:9">
      <c r="B1556" s="129">
        <v>512</v>
      </c>
      <c r="C1556" s="130" t="s">
        <v>5218</v>
      </c>
      <c r="D1556" s="130" t="s">
        <v>5286</v>
      </c>
      <c r="E1556" s="130" t="s">
        <v>5246</v>
      </c>
      <c r="F1556" s="130" t="s">
        <v>5033</v>
      </c>
      <c r="G1556" s="130">
        <v>50000</v>
      </c>
      <c r="H1556" s="130">
        <v>100000</v>
      </c>
      <c r="I1556" s="130" t="s">
        <v>5004</v>
      </c>
    </row>
    <row r="1557" spans="2:9">
      <c r="B1557" s="129"/>
      <c r="C1557" s="130"/>
      <c r="D1557" s="130"/>
      <c r="E1557" s="130"/>
      <c r="F1557" s="130"/>
      <c r="G1557" s="130"/>
      <c r="H1557" s="130"/>
      <c r="I1557" s="130"/>
    </row>
    <row r="1558" spans="2:9">
      <c r="B1558" s="129"/>
      <c r="C1558" s="130"/>
      <c r="D1558" s="130"/>
      <c r="E1558" s="130"/>
      <c r="F1558" s="130"/>
      <c r="G1558" s="130"/>
      <c r="H1558" s="130"/>
      <c r="I1558" s="130"/>
    </row>
    <row r="1559" spans="2:9">
      <c r="B1559" s="129">
        <v>513</v>
      </c>
      <c r="C1559" s="130" t="s">
        <v>5218</v>
      </c>
      <c r="D1559" s="130" t="s">
        <v>5286</v>
      </c>
      <c r="E1559" s="130" t="s">
        <v>5246</v>
      </c>
      <c r="F1559" s="130" t="s">
        <v>5031</v>
      </c>
      <c r="G1559" s="130">
        <v>1000</v>
      </c>
      <c r="H1559" s="130">
        <v>50000</v>
      </c>
      <c r="I1559" s="130" t="s">
        <v>5004</v>
      </c>
    </row>
    <row r="1560" spans="2:9">
      <c r="B1560" s="129"/>
      <c r="C1560" s="130"/>
      <c r="D1560" s="130"/>
      <c r="E1560" s="130"/>
      <c r="F1560" s="130"/>
      <c r="G1560" s="130"/>
      <c r="H1560" s="130"/>
      <c r="I1560" s="130"/>
    </row>
    <row r="1561" spans="2:9">
      <c r="B1561" s="129"/>
      <c r="C1561" s="130"/>
      <c r="D1561" s="130"/>
      <c r="E1561" s="130"/>
      <c r="F1561" s="130"/>
      <c r="G1561" s="130"/>
      <c r="H1561" s="130"/>
      <c r="I1561" s="130"/>
    </row>
    <row r="1562" spans="2:9">
      <c r="B1562" s="129">
        <v>514</v>
      </c>
      <c r="C1562" s="130" t="s">
        <v>5218</v>
      </c>
      <c r="D1562" s="130" t="s">
        <v>5286</v>
      </c>
      <c r="E1562" s="130" t="s">
        <v>5219</v>
      </c>
      <c r="F1562" s="130" t="s">
        <v>5008</v>
      </c>
      <c r="G1562" s="130">
        <v>50000</v>
      </c>
      <c r="H1562" s="130" t="s">
        <v>5037</v>
      </c>
      <c r="I1562" s="130" t="s">
        <v>5004</v>
      </c>
    </row>
    <row r="1563" spans="2:9">
      <c r="B1563" s="129"/>
      <c r="C1563" s="130"/>
      <c r="D1563" s="130"/>
      <c r="E1563" s="130"/>
      <c r="F1563" s="130"/>
      <c r="G1563" s="130"/>
      <c r="H1563" s="130"/>
      <c r="I1563" s="130"/>
    </row>
    <row r="1564" spans="2:9">
      <c r="B1564" s="129"/>
      <c r="C1564" s="130"/>
      <c r="D1564" s="130"/>
      <c r="E1564" s="130"/>
      <c r="F1564" s="130"/>
      <c r="G1564" s="130"/>
      <c r="H1564" s="130"/>
      <c r="I1564" s="130"/>
    </row>
    <row r="1565" spans="2:9">
      <c r="B1565" s="129">
        <v>515</v>
      </c>
      <c r="C1565" s="130" t="s">
        <v>5218</v>
      </c>
      <c r="D1565" s="130" t="s">
        <v>5286</v>
      </c>
      <c r="E1565" s="130" t="s">
        <v>5219</v>
      </c>
      <c r="F1565" s="130" t="s">
        <v>5033</v>
      </c>
      <c r="G1565" s="130">
        <v>50000</v>
      </c>
      <c r="H1565" s="130" t="s">
        <v>5037</v>
      </c>
      <c r="I1565" s="130" t="s">
        <v>5004</v>
      </c>
    </row>
    <row r="1566" spans="2:9">
      <c r="B1566" s="129"/>
      <c r="C1566" s="130"/>
      <c r="D1566" s="130"/>
      <c r="E1566" s="130"/>
      <c r="F1566" s="130"/>
      <c r="G1566" s="130"/>
      <c r="H1566" s="130"/>
      <c r="I1566" s="130"/>
    </row>
    <row r="1567" spans="2:9">
      <c r="B1567" s="129"/>
      <c r="C1567" s="130"/>
      <c r="D1567" s="130"/>
      <c r="E1567" s="130"/>
      <c r="F1567" s="130"/>
      <c r="G1567" s="130"/>
      <c r="H1567" s="130"/>
      <c r="I1567" s="130"/>
    </row>
    <row r="1568" spans="2:9">
      <c r="B1568" s="129">
        <v>516</v>
      </c>
      <c r="C1568" s="130" t="s">
        <v>5218</v>
      </c>
      <c r="D1568" s="130" t="s">
        <v>5286</v>
      </c>
      <c r="E1568" s="130" t="s">
        <v>5219</v>
      </c>
      <c r="F1568" s="130" t="s">
        <v>5026</v>
      </c>
      <c r="G1568" s="130">
        <v>5000</v>
      </c>
      <c r="H1568" s="130">
        <v>20000</v>
      </c>
      <c r="I1568" s="130" t="s">
        <v>5004</v>
      </c>
    </row>
    <row r="1569" spans="2:9">
      <c r="B1569" s="129"/>
      <c r="C1569" s="130"/>
      <c r="D1569" s="130"/>
      <c r="E1569" s="130"/>
      <c r="F1569" s="130"/>
      <c r="G1569" s="130"/>
      <c r="H1569" s="130"/>
      <c r="I1569" s="130"/>
    </row>
    <row r="1570" spans="2:9">
      <c r="B1570" s="129"/>
      <c r="C1570" s="130"/>
      <c r="D1570" s="130"/>
      <c r="E1570" s="130"/>
      <c r="F1570" s="130"/>
      <c r="G1570" s="130"/>
      <c r="H1570" s="130"/>
      <c r="I1570" s="130"/>
    </row>
    <row r="1571" spans="2:9">
      <c r="B1571" s="129">
        <v>517</v>
      </c>
      <c r="C1571" s="130" t="s">
        <v>5238</v>
      </c>
      <c r="D1571" s="130" t="s">
        <v>5286</v>
      </c>
      <c r="E1571" s="130" t="s">
        <v>5240</v>
      </c>
      <c r="F1571" s="130" t="s">
        <v>5050</v>
      </c>
      <c r="G1571" s="130">
        <v>20000</v>
      </c>
      <c r="H1571" s="130" t="s">
        <v>5037</v>
      </c>
      <c r="I1571" s="130" t="s">
        <v>5004</v>
      </c>
    </row>
    <row r="1572" spans="2:9">
      <c r="B1572" s="129"/>
      <c r="C1572" s="130"/>
      <c r="D1572" s="130"/>
      <c r="E1572" s="130"/>
      <c r="F1572" s="130"/>
      <c r="G1572" s="130"/>
      <c r="H1572" s="130"/>
      <c r="I1572" s="130"/>
    </row>
    <row r="1573" spans="2:9">
      <c r="B1573" s="129"/>
      <c r="C1573" s="130"/>
      <c r="D1573" s="130"/>
      <c r="E1573" s="130"/>
      <c r="F1573" s="130"/>
      <c r="G1573" s="130"/>
      <c r="H1573" s="130"/>
      <c r="I1573" s="130"/>
    </row>
    <row r="1574" spans="2:9">
      <c r="B1574" s="129">
        <v>518</v>
      </c>
      <c r="C1574" s="130" t="s">
        <v>5098</v>
      </c>
      <c r="D1574" s="130" t="s">
        <v>5286</v>
      </c>
      <c r="E1574" s="130" t="s">
        <v>5132</v>
      </c>
      <c r="F1574" s="130" t="s">
        <v>5288</v>
      </c>
      <c r="G1574" s="130">
        <v>10000</v>
      </c>
      <c r="H1574" s="130" t="s">
        <v>5037</v>
      </c>
      <c r="I1574" s="130" t="s">
        <v>5004</v>
      </c>
    </row>
    <row r="1575" spans="2:9">
      <c r="B1575" s="129"/>
      <c r="C1575" s="130"/>
      <c r="D1575" s="130"/>
      <c r="E1575" s="130"/>
      <c r="F1575" s="130"/>
      <c r="G1575" s="130"/>
      <c r="H1575" s="130"/>
      <c r="I1575" s="130"/>
    </row>
    <row r="1576" spans="2:9">
      <c r="B1576" s="129"/>
      <c r="C1576" s="130"/>
      <c r="D1576" s="130"/>
      <c r="E1576" s="130"/>
      <c r="F1576" s="130"/>
      <c r="G1576" s="130"/>
      <c r="H1576" s="130"/>
      <c r="I1576" s="130"/>
    </row>
    <row r="1577" spans="2:9">
      <c r="B1577" s="129">
        <v>519</v>
      </c>
      <c r="C1577" s="130" t="s">
        <v>5061</v>
      </c>
      <c r="D1577" s="130" t="s">
        <v>5286</v>
      </c>
      <c r="E1577" s="130" t="s">
        <v>5068</v>
      </c>
      <c r="F1577" s="130" t="s">
        <v>5003</v>
      </c>
      <c r="G1577" s="130">
        <v>1000</v>
      </c>
      <c r="H1577" s="130">
        <v>14000</v>
      </c>
      <c r="I1577" s="130" t="s">
        <v>5013</v>
      </c>
    </row>
    <row r="1578" spans="2:9">
      <c r="B1578" s="129"/>
      <c r="C1578" s="130"/>
      <c r="D1578" s="130"/>
      <c r="E1578" s="130"/>
      <c r="F1578" s="130"/>
      <c r="G1578" s="130"/>
      <c r="H1578" s="130"/>
      <c r="I1578" s="130"/>
    </row>
    <row r="1579" spans="2:9">
      <c r="B1579" s="129"/>
      <c r="C1579" s="130"/>
      <c r="D1579" s="130"/>
      <c r="E1579" s="130"/>
      <c r="F1579" s="130"/>
      <c r="G1579" s="130"/>
      <c r="H1579" s="130"/>
      <c r="I1579" s="130"/>
    </row>
    <row r="1580" spans="2:9">
      <c r="B1580" s="129">
        <v>520</v>
      </c>
      <c r="C1580" s="130" t="s">
        <v>5076</v>
      </c>
      <c r="D1580" s="130" t="s">
        <v>5286</v>
      </c>
      <c r="E1580" s="130" t="s">
        <v>5130</v>
      </c>
      <c r="F1580" s="130" t="s">
        <v>5033</v>
      </c>
      <c r="G1580" s="130">
        <v>1000</v>
      </c>
      <c r="H1580" s="130">
        <v>19999</v>
      </c>
      <c r="I1580" s="130" t="s">
        <v>5004</v>
      </c>
    </row>
    <row r="1581" spans="2:9">
      <c r="B1581" s="129"/>
      <c r="C1581" s="130"/>
      <c r="D1581" s="130"/>
      <c r="E1581" s="130"/>
      <c r="F1581" s="130"/>
      <c r="G1581" s="130"/>
      <c r="H1581" s="130"/>
      <c r="I1581" s="130"/>
    </row>
    <row r="1582" spans="2:9">
      <c r="B1582" s="129"/>
      <c r="C1582" s="130"/>
      <c r="D1582" s="130"/>
      <c r="E1582" s="130"/>
      <c r="F1582" s="130"/>
      <c r="G1582" s="130"/>
      <c r="H1582" s="130"/>
      <c r="I1582" s="130"/>
    </row>
    <row r="1583" spans="2:9">
      <c r="B1583" s="129">
        <v>521</v>
      </c>
      <c r="C1583" s="130" t="s">
        <v>5076</v>
      </c>
      <c r="D1583" s="130" t="s">
        <v>5286</v>
      </c>
      <c r="E1583" s="130" t="s">
        <v>5130</v>
      </c>
      <c r="F1583" s="130" t="s">
        <v>5008</v>
      </c>
      <c r="G1583" s="130">
        <v>50000</v>
      </c>
      <c r="H1583" s="130">
        <v>99999</v>
      </c>
      <c r="I1583" s="130" t="s">
        <v>5004</v>
      </c>
    </row>
    <row r="1584" spans="2:9">
      <c r="B1584" s="129"/>
      <c r="C1584" s="130"/>
      <c r="D1584" s="130"/>
      <c r="E1584" s="130"/>
      <c r="F1584" s="130"/>
      <c r="G1584" s="130"/>
      <c r="H1584" s="130"/>
      <c r="I1584" s="130"/>
    </row>
    <row r="1585" spans="2:9">
      <c r="B1585" s="129"/>
      <c r="C1585" s="130"/>
      <c r="D1585" s="130"/>
      <c r="E1585" s="130"/>
      <c r="F1585" s="130"/>
      <c r="G1585" s="130"/>
      <c r="H1585" s="130"/>
      <c r="I1585" s="130"/>
    </row>
    <row r="1586" spans="2:9">
      <c r="B1586" s="129">
        <v>522</v>
      </c>
      <c r="C1586" s="130" t="s">
        <v>5076</v>
      </c>
      <c r="D1586" s="130" t="s">
        <v>5286</v>
      </c>
      <c r="E1586" s="130" t="s">
        <v>5130</v>
      </c>
      <c r="F1586" s="130" t="s">
        <v>5008</v>
      </c>
      <c r="G1586" s="130">
        <v>100000</v>
      </c>
      <c r="H1586" s="130" t="s">
        <v>5037</v>
      </c>
      <c r="I1586" s="130" t="s">
        <v>5004</v>
      </c>
    </row>
    <row r="1587" spans="2:9">
      <c r="B1587" s="129"/>
      <c r="C1587" s="130"/>
      <c r="D1587" s="130"/>
      <c r="E1587" s="130"/>
      <c r="F1587" s="130"/>
      <c r="G1587" s="130"/>
      <c r="H1587" s="130"/>
      <c r="I1587" s="130"/>
    </row>
    <row r="1588" spans="2:9">
      <c r="B1588" s="129"/>
      <c r="C1588" s="130"/>
      <c r="D1588" s="130"/>
      <c r="E1588" s="130"/>
      <c r="F1588" s="130"/>
      <c r="G1588" s="130"/>
      <c r="H1588" s="130"/>
      <c r="I1588" s="130"/>
    </row>
    <row r="1589" spans="2:9">
      <c r="B1589" s="129">
        <v>523</v>
      </c>
      <c r="C1589" s="130" t="s">
        <v>5095</v>
      </c>
      <c r="D1589" s="130" t="s">
        <v>5286</v>
      </c>
      <c r="E1589" s="130" t="s">
        <v>5248</v>
      </c>
      <c r="F1589" s="130" t="s">
        <v>5008</v>
      </c>
      <c r="G1589" s="130">
        <v>50000</v>
      </c>
      <c r="H1589" s="130" t="s">
        <v>5037</v>
      </c>
      <c r="I1589" s="130" t="s">
        <v>5004</v>
      </c>
    </row>
    <row r="1590" spans="2:9">
      <c r="B1590" s="129"/>
      <c r="C1590" s="130"/>
      <c r="D1590" s="130"/>
      <c r="E1590" s="130"/>
      <c r="F1590" s="130"/>
      <c r="G1590" s="130"/>
      <c r="H1590" s="130"/>
      <c r="I1590" s="130"/>
    </row>
    <row r="1591" spans="2:9">
      <c r="B1591" s="129"/>
      <c r="C1591" s="130"/>
      <c r="D1591" s="130"/>
      <c r="E1591" s="130"/>
      <c r="F1591" s="130"/>
      <c r="G1591" s="130"/>
      <c r="H1591" s="130"/>
      <c r="I1591" s="130"/>
    </row>
    <row r="1592" spans="2:9">
      <c r="B1592" s="129">
        <v>524</v>
      </c>
      <c r="C1592" s="130" t="s">
        <v>5218</v>
      </c>
      <c r="D1592" s="130" t="s">
        <v>5286</v>
      </c>
      <c r="E1592" s="130" t="s">
        <v>5075</v>
      </c>
      <c r="F1592" s="130" t="s">
        <v>5012</v>
      </c>
      <c r="G1592" s="130">
        <v>100000</v>
      </c>
      <c r="H1592" s="130" t="s">
        <v>5037</v>
      </c>
      <c r="I1592" s="130" t="s">
        <v>5029</v>
      </c>
    </row>
    <row r="1593" spans="2:9">
      <c r="B1593" s="129"/>
      <c r="C1593" s="130"/>
      <c r="D1593" s="130"/>
      <c r="E1593" s="130"/>
      <c r="F1593" s="130"/>
      <c r="G1593" s="130"/>
      <c r="H1593" s="130"/>
      <c r="I1593" s="130"/>
    </row>
    <row r="1594" spans="2:9">
      <c r="B1594" s="129"/>
      <c r="C1594" s="130"/>
      <c r="D1594" s="130"/>
      <c r="E1594" s="130"/>
      <c r="F1594" s="130"/>
      <c r="G1594" s="130"/>
      <c r="H1594" s="130"/>
      <c r="I1594" s="130"/>
    </row>
    <row r="1595" spans="2:9">
      <c r="B1595" s="129">
        <v>525</v>
      </c>
      <c r="C1595" s="130" t="s">
        <v>5184</v>
      </c>
      <c r="D1595" s="130" t="s">
        <v>5289</v>
      </c>
      <c r="E1595" s="130" t="s">
        <v>5271</v>
      </c>
      <c r="F1595" s="130" t="s">
        <v>5050</v>
      </c>
      <c r="G1595" s="130">
        <v>500</v>
      </c>
      <c r="H1595" s="130" t="s">
        <v>5037</v>
      </c>
      <c r="I1595" s="130" t="s">
        <v>5004</v>
      </c>
    </row>
    <row r="1596" spans="2:9">
      <c r="B1596" s="129"/>
      <c r="C1596" s="130"/>
      <c r="D1596" s="130"/>
      <c r="E1596" s="130"/>
      <c r="F1596" s="130"/>
      <c r="G1596" s="130"/>
      <c r="H1596" s="130"/>
      <c r="I1596" s="130"/>
    </row>
    <row r="1597" spans="2:9">
      <c r="B1597" s="129"/>
      <c r="C1597" s="130"/>
      <c r="D1597" s="130"/>
      <c r="E1597" s="130"/>
      <c r="F1597" s="130"/>
      <c r="G1597" s="130"/>
      <c r="H1597" s="130"/>
      <c r="I1597" s="130"/>
    </row>
    <row r="1598" spans="2:9">
      <c r="B1598" s="129">
        <v>526</v>
      </c>
      <c r="C1598" s="130" t="s">
        <v>5238</v>
      </c>
      <c r="D1598" s="130" t="s">
        <v>5289</v>
      </c>
      <c r="E1598" s="130" t="s">
        <v>5240</v>
      </c>
      <c r="F1598" s="130" t="s">
        <v>5026</v>
      </c>
      <c r="G1598" s="130">
        <v>1000</v>
      </c>
      <c r="H1598" s="130">
        <v>20000</v>
      </c>
      <c r="I1598" s="130" t="s">
        <v>5004</v>
      </c>
    </row>
    <row r="1599" spans="2:9">
      <c r="B1599" s="129"/>
      <c r="C1599" s="130"/>
      <c r="D1599" s="130"/>
      <c r="E1599" s="130"/>
      <c r="F1599" s="130"/>
      <c r="G1599" s="130"/>
      <c r="H1599" s="130"/>
      <c r="I1599" s="130"/>
    </row>
    <row r="1600" spans="2:9">
      <c r="B1600" s="129"/>
      <c r="C1600" s="130"/>
      <c r="D1600" s="130"/>
      <c r="E1600" s="130"/>
      <c r="F1600" s="130"/>
      <c r="G1600" s="130"/>
      <c r="H1600" s="130"/>
      <c r="I1600" s="130"/>
    </row>
    <row r="1601" spans="2:9">
      <c r="B1601" s="129">
        <v>527</v>
      </c>
      <c r="C1601" s="130" t="s">
        <v>5188</v>
      </c>
      <c r="D1601" s="130" t="s">
        <v>5289</v>
      </c>
      <c r="E1601" s="130" t="s">
        <v>5213</v>
      </c>
      <c r="F1601" s="130" t="s">
        <v>5026</v>
      </c>
      <c r="G1601" s="130">
        <v>500</v>
      </c>
      <c r="H1601" s="130">
        <v>10000</v>
      </c>
      <c r="I1601" s="130" t="s">
        <v>5004</v>
      </c>
    </row>
    <row r="1602" spans="2:9">
      <c r="B1602" s="129"/>
      <c r="C1602" s="130"/>
      <c r="D1602" s="130"/>
      <c r="E1602" s="130"/>
      <c r="F1602" s="130"/>
      <c r="G1602" s="130"/>
      <c r="H1602" s="130"/>
      <c r="I1602" s="130"/>
    </row>
    <row r="1603" spans="2:9">
      <c r="B1603" s="129"/>
      <c r="C1603" s="130"/>
      <c r="D1603" s="130"/>
      <c r="E1603" s="130"/>
      <c r="F1603" s="130"/>
      <c r="G1603" s="130"/>
      <c r="H1603" s="130"/>
      <c r="I1603" s="130"/>
    </row>
    <row r="1604" spans="2:9">
      <c r="B1604" s="129">
        <v>528</v>
      </c>
      <c r="C1604" s="130" t="s">
        <v>5235</v>
      </c>
      <c r="D1604" s="130" t="s">
        <v>5289</v>
      </c>
      <c r="E1604" s="130" t="s">
        <v>5251</v>
      </c>
      <c r="F1604" s="130" t="s">
        <v>5003</v>
      </c>
      <c r="G1604" s="130">
        <v>20000</v>
      </c>
      <c r="H1604" s="130" t="s">
        <v>5037</v>
      </c>
      <c r="I1604" s="130" t="s">
        <v>5004</v>
      </c>
    </row>
    <row r="1605" spans="2:9">
      <c r="B1605" s="129"/>
      <c r="C1605" s="130"/>
      <c r="D1605" s="130"/>
      <c r="E1605" s="130"/>
      <c r="F1605" s="130"/>
      <c r="G1605" s="130"/>
      <c r="H1605" s="130"/>
      <c r="I1605" s="130"/>
    </row>
    <row r="1606" spans="2:9">
      <c r="B1606" s="129"/>
      <c r="C1606" s="130"/>
      <c r="D1606" s="130"/>
      <c r="E1606" s="130"/>
      <c r="F1606" s="130"/>
      <c r="G1606" s="130"/>
      <c r="H1606" s="130"/>
      <c r="I1606" s="130"/>
    </row>
    <row r="1607" spans="2:9">
      <c r="B1607" s="129">
        <v>529</v>
      </c>
      <c r="C1607" s="130" t="s">
        <v>5235</v>
      </c>
      <c r="D1607" s="130" t="s">
        <v>5289</v>
      </c>
      <c r="E1607" s="130" t="s">
        <v>5251</v>
      </c>
      <c r="F1607" s="130" t="s">
        <v>5008</v>
      </c>
      <c r="G1607" s="130">
        <v>20000</v>
      </c>
      <c r="H1607" s="130" t="s">
        <v>5037</v>
      </c>
      <c r="I1607" s="130" t="s">
        <v>5004</v>
      </c>
    </row>
    <row r="1608" spans="2:9">
      <c r="B1608" s="129"/>
      <c r="C1608" s="130"/>
      <c r="D1608" s="130"/>
      <c r="E1608" s="130"/>
      <c r="F1608" s="130"/>
      <c r="G1608" s="130"/>
      <c r="H1608" s="130"/>
      <c r="I1608" s="130"/>
    </row>
    <row r="1609" spans="2:9">
      <c r="B1609" s="129"/>
      <c r="C1609" s="130"/>
      <c r="D1609" s="130"/>
      <c r="E1609" s="130"/>
      <c r="F1609" s="130"/>
      <c r="G1609" s="130"/>
      <c r="H1609" s="130"/>
      <c r="I1609" s="130"/>
    </row>
    <row r="1610" spans="2:9">
      <c r="B1610" s="129">
        <v>530</v>
      </c>
      <c r="C1610" s="130" t="s">
        <v>5235</v>
      </c>
      <c r="D1610" s="130" t="s">
        <v>5289</v>
      </c>
      <c r="E1610" s="130" t="s">
        <v>5252</v>
      </c>
      <c r="F1610" s="130" t="s">
        <v>5003</v>
      </c>
      <c r="G1610" s="130">
        <v>1000</v>
      </c>
      <c r="H1610" s="130" t="s">
        <v>5037</v>
      </c>
      <c r="I1610" s="130" t="s">
        <v>5004</v>
      </c>
    </row>
    <row r="1611" spans="2:9">
      <c r="B1611" s="129"/>
      <c r="C1611" s="130"/>
      <c r="D1611" s="130"/>
      <c r="E1611" s="130"/>
      <c r="F1611" s="130"/>
      <c r="G1611" s="130"/>
      <c r="H1611" s="130"/>
      <c r="I1611" s="130"/>
    </row>
    <row r="1612" spans="2:9">
      <c r="B1612" s="129"/>
      <c r="C1612" s="130"/>
      <c r="D1612" s="130"/>
      <c r="E1612" s="130"/>
      <c r="F1612" s="130"/>
      <c r="G1612" s="130"/>
      <c r="H1612" s="130"/>
      <c r="I1612" s="130"/>
    </row>
    <row r="1613" spans="2:9">
      <c r="B1613" s="129">
        <v>531</v>
      </c>
      <c r="C1613" s="130" t="s">
        <v>5235</v>
      </c>
      <c r="D1613" s="130" t="s">
        <v>5289</v>
      </c>
      <c r="E1613" s="130" t="s">
        <v>5252</v>
      </c>
      <c r="F1613" s="130" t="s">
        <v>5008</v>
      </c>
      <c r="G1613" s="130">
        <v>1000</v>
      </c>
      <c r="H1613" s="130" t="s">
        <v>5037</v>
      </c>
      <c r="I1613" s="130" t="s">
        <v>5004</v>
      </c>
    </row>
    <row r="1614" spans="2:9">
      <c r="B1614" s="129"/>
      <c r="C1614" s="130"/>
      <c r="D1614" s="130"/>
      <c r="E1614" s="130"/>
      <c r="F1614" s="130"/>
      <c r="G1614" s="130"/>
      <c r="H1614" s="130"/>
      <c r="I1614" s="130"/>
    </row>
    <row r="1615" spans="2:9">
      <c r="B1615" s="129"/>
      <c r="C1615" s="130"/>
      <c r="D1615" s="130"/>
      <c r="E1615" s="130"/>
      <c r="F1615" s="130"/>
      <c r="G1615" s="130"/>
      <c r="H1615" s="130"/>
      <c r="I1615" s="130"/>
    </row>
    <row r="1616" spans="2:9">
      <c r="B1616" s="129">
        <v>532</v>
      </c>
      <c r="C1616" s="130" t="s">
        <v>5098</v>
      </c>
      <c r="D1616" s="130" t="s">
        <v>5289</v>
      </c>
      <c r="E1616" s="130" t="s">
        <v>5132</v>
      </c>
      <c r="F1616" s="130" t="s">
        <v>5290</v>
      </c>
      <c r="G1616" s="130">
        <v>1000</v>
      </c>
      <c r="H1616" s="130" t="s">
        <v>5037</v>
      </c>
      <c r="I1616" s="130" t="s">
        <v>5004</v>
      </c>
    </row>
    <row r="1617" spans="2:9">
      <c r="B1617" s="129"/>
      <c r="C1617" s="130"/>
      <c r="D1617" s="130"/>
      <c r="E1617" s="130"/>
      <c r="F1617" s="130"/>
      <c r="G1617" s="130"/>
      <c r="H1617" s="130"/>
      <c r="I1617" s="130"/>
    </row>
    <row r="1618" spans="2:9">
      <c r="B1618" s="129"/>
      <c r="C1618" s="130"/>
      <c r="D1618" s="130"/>
      <c r="E1618" s="130"/>
      <c r="F1618" s="130"/>
      <c r="G1618" s="130"/>
      <c r="H1618" s="130"/>
      <c r="I1618" s="130"/>
    </row>
    <row r="1619" spans="2:9">
      <c r="B1619" s="129">
        <v>533</v>
      </c>
      <c r="C1619" s="130" t="s">
        <v>5098</v>
      </c>
      <c r="D1619" s="130" t="s">
        <v>5289</v>
      </c>
      <c r="E1619" s="130" t="s">
        <v>5132</v>
      </c>
      <c r="F1619" s="130" t="s">
        <v>5288</v>
      </c>
      <c r="G1619" s="130">
        <v>200</v>
      </c>
      <c r="H1619" s="130">
        <v>9999</v>
      </c>
      <c r="I1619" s="130" t="s">
        <v>5004</v>
      </c>
    </row>
    <row r="1620" spans="2:9">
      <c r="B1620" s="129"/>
      <c r="C1620" s="130"/>
      <c r="D1620" s="130"/>
      <c r="E1620" s="130"/>
      <c r="F1620" s="130"/>
      <c r="G1620" s="130"/>
      <c r="H1620" s="130"/>
      <c r="I1620" s="130"/>
    </row>
    <row r="1621" spans="2:9">
      <c r="B1621" s="129"/>
      <c r="C1621" s="130"/>
      <c r="D1621" s="130"/>
      <c r="E1621" s="130"/>
      <c r="F1621" s="130"/>
      <c r="G1621" s="130"/>
      <c r="H1621" s="130"/>
      <c r="I1621" s="130"/>
    </row>
    <row r="1622" spans="2:9">
      <c r="B1622" s="129">
        <v>534</v>
      </c>
      <c r="C1622" s="130" t="s">
        <v>5112</v>
      </c>
      <c r="D1622" s="130" t="s">
        <v>5289</v>
      </c>
      <c r="E1622" s="130" t="s">
        <v>5114</v>
      </c>
      <c r="F1622" s="130" t="s">
        <v>5111</v>
      </c>
      <c r="G1622" s="130">
        <v>1000</v>
      </c>
      <c r="H1622" s="130">
        <v>20000</v>
      </c>
      <c r="I1622" s="130" t="s">
        <v>5013</v>
      </c>
    </row>
    <row r="1623" spans="2:9">
      <c r="B1623" s="129"/>
      <c r="C1623" s="130"/>
      <c r="D1623" s="130"/>
      <c r="E1623" s="130"/>
      <c r="F1623" s="130"/>
      <c r="G1623" s="130"/>
      <c r="H1623" s="130"/>
      <c r="I1623" s="130"/>
    </row>
    <row r="1624" spans="2:9">
      <c r="B1624" s="129"/>
      <c r="C1624" s="130"/>
      <c r="D1624" s="130"/>
      <c r="E1624" s="130"/>
      <c r="F1624" s="130"/>
      <c r="G1624" s="130"/>
      <c r="H1624" s="130"/>
      <c r="I1624" s="130"/>
    </row>
    <row r="1625" spans="2:9">
      <c r="B1625" s="129">
        <v>535</v>
      </c>
      <c r="C1625" s="130" t="s">
        <v>5128</v>
      </c>
      <c r="D1625" s="130" t="s">
        <v>5289</v>
      </c>
      <c r="E1625" s="130" t="s">
        <v>5129</v>
      </c>
      <c r="F1625" s="130" t="s">
        <v>5111</v>
      </c>
      <c r="G1625" s="130">
        <v>1000</v>
      </c>
      <c r="H1625" s="130" t="s">
        <v>5037</v>
      </c>
      <c r="I1625" s="130" t="s">
        <v>5004</v>
      </c>
    </row>
    <row r="1626" spans="2:9">
      <c r="B1626" s="129"/>
      <c r="C1626" s="130"/>
      <c r="D1626" s="130"/>
      <c r="E1626" s="130"/>
      <c r="F1626" s="130"/>
      <c r="G1626" s="130"/>
      <c r="H1626" s="130"/>
      <c r="I1626" s="130"/>
    </row>
    <row r="1627" spans="2:9">
      <c r="B1627" s="129"/>
      <c r="C1627" s="130"/>
      <c r="D1627" s="130"/>
      <c r="E1627" s="130"/>
      <c r="F1627" s="130"/>
      <c r="G1627" s="130"/>
      <c r="H1627" s="130"/>
      <c r="I1627" s="130"/>
    </row>
    <row r="1628" spans="2:9">
      <c r="B1628" s="129">
        <v>536</v>
      </c>
      <c r="C1628" s="130" t="s">
        <v>5128</v>
      </c>
      <c r="D1628" s="130" t="s">
        <v>5289</v>
      </c>
      <c r="E1628" s="130" t="s">
        <v>5127</v>
      </c>
      <c r="F1628" s="130" t="s">
        <v>5008</v>
      </c>
      <c r="G1628" s="130">
        <v>1000</v>
      </c>
      <c r="H1628" s="130">
        <v>9999</v>
      </c>
      <c r="I1628" s="130" t="s">
        <v>5013</v>
      </c>
    </row>
    <row r="1629" spans="2:9">
      <c r="B1629" s="129"/>
      <c r="C1629" s="130"/>
      <c r="D1629" s="130"/>
      <c r="E1629" s="130"/>
      <c r="F1629" s="130"/>
      <c r="G1629" s="130"/>
      <c r="H1629" s="130"/>
      <c r="I1629" s="130"/>
    </row>
    <row r="1630" spans="2:9">
      <c r="B1630" s="129"/>
      <c r="C1630" s="130"/>
      <c r="D1630" s="130"/>
      <c r="E1630" s="130"/>
      <c r="F1630" s="130"/>
      <c r="G1630" s="130"/>
      <c r="H1630" s="130"/>
      <c r="I1630" s="130"/>
    </row>
    <row r="1631" spans="2:9">
      <c r="B1631" s="129">
        <v>537</v>
      </c>
      <c r="C1631" s="130" t="s">
        <v>5128</v>
      </c>
      <c r="D1631" s="130" t="s">
        <v>5289</v>
      </c>
      <c r="E1631" s="130" t="s">
        <v>5127</v>
      </c>
      <c r="F1631" s="130" t="s">
        <v>5033</v>
      </c>
      <c r="G1631" s="130">
        <v>1000</v>
      </c>
      <c r="H1631" s="130">
        <v>9999</v>
      </c>
      <c r="I1631" s="130" t="s">
        <v>5013</v>
      </c>
    </row>
    <row r="1632" spans="2:9">
      <c r="B1632" s="129"/>
      <c r="C1632" s="130"/>
      <c r="D1632" s="130"/>
      <c r="E1632" s="130"/>
      <c r="F1632" s="130"/>
      <c r="G1632" s="130"/>
      <c r="H1632" s="130"/>
      <c r="I1632" s="130"/>
    </row>
    <row r="1633" spans="2:9">
      <c r="B1633" s="129"/>
      <c r="C1633" s="130"/>
      <c r="D1633" s="130"/>
      <c r="E1633" s="130"/>
      <c r="F1633" s="130"/>
      <c r="G1633" s="130"/>
      <c r="H1633" s="130"/>
      <c r="I1633" s="130"/>
    </row>
    <row r="1634" spans="2:9">
      <c r="B1634" s="129">
        <v>538</v>
      </c>
      <c r="C1634" s="130" t="s">
        <v>5128</v>
      </c>
      <c r="D1634" s="130" t="s">
        <v>5289</v>
      </c>
      <c r="E1634" s="130" t="s">
        <v>5127</v>
      </c>
      <c r="F1634" s="130" t="s">
        <v>5026</v>
      </c>
      <c r="G1634" s="130">
        <v>50000</v>
      </c>
      <c r="H1634" s="130" t="s">
        <v>5037</v>
      </c>
      <c r="I1634" s="130" t="s">
        <v>5004</v>
      </c>
    </row>
    <row r="1635" spans="2:9">
      <c r="B1635" s="129"/>
      <c r="C1635" s="130"/>
      <c r="D1635" s="130"/>
      <c r="E1635" s="130"/>
      <c r="F1635" s="130"/>
      <c r="G1635" s="130"/>
      <c r="H1635" s="130"/>
      <c r="I1635" s="130"/>
    </row>
    <row r="1636" spans="2:9">
      <c r="B1636" s="129"/>
      <c r="C1636" s="130"/>
      <c r="D1636" s="130"/>
      <c r="E1636" s="130"/>
      <c r="F1636" s="130"/>
      <c r="G1636" s="130"/>
      <c r="H1636" s="130"/>
      <c r="I1636" s="130"/>
    </row>
    <row r="1637" spans="2:9">
      <c r="B1637" s="129">
        <v>539</v>
      </c>
      <c r="C1637" s="130" t="s">
        <v>5005</v>
      </c>
      <c r="D1637" s="130" t="s">
        <v>5289</v>
      </c>
      <c r="E1637" s="130" t="s">
        <v>5138</v>
      </c>
      <c r="F1637" s="130" t="s">
        <v>5111</v>
      </c>
      <c r="G1637" s="130">
        <v>1000</v>
      </c>
      <c r="H1637" s="130" t="s">
        <v>5037</v>
      </c>
      <c r="I1637" s="130" t="s">
        <v>5004</v>
      </c>
    </row>
    <row r="1638" spans="2:9">
      <c r="B1638" s="129"/>
      <c r="C1638" s="130"/>
      <c r="D1638" s="130"/>
      <c r="E1638" s="130"/>
      <c r="F1638" s="130"/>
      <c r="G1638" s="130"/>
      <c r="H1638" s="130"/>
      <c r="I1638" s="130"/>
    </row>
    <row r="1639" spans="2:9">
      <c r="B1639" s="129"/>
      <c r="C1639" s="130"/>
      <c r="D1639" s="130"/>
      <c r="E1639" s="130"/>
      <c r="F1639" s="130"/>
      <c r="G1639" s="130"/>
      <c r="H1639" s="130"/>
      <c r="I1639" s="130"/>
    </row>
    <row r="1640" spans="2:9">
      <c r="B1640" s="129">
        <v>540</v>
      </c>
      <c r="C1640" s="130" t="s">
        <v>5095</v>
      </c>
      <c r="D1640" s="130" t="s">
        <v>5289</v>
      </c>
      <c r="E1640" s="130" t="s">
        <v>5205</v>
      </c>
      <c r="F1640" s="130" t="s">
        <v>5050</v>
      </c>
      <c r="G1640" s="130">
        <v>25000</v>
      </c>
      <c r="H1640" s="130">
        <v>49999</v>
      </c>
      <c r="I1640" s="130" t="s">
        <v>5004</v>
      </c>
    </row>
    <row r="1641" spans="2:9">
      <c r="B1641" s="129"/>
      <c r="C1641" s="130"/>
      <c r="D1641" s="130"/>
      <c r="E1641" s="130"/>
      <c r="F1641" s="130"/>
      <c r="G1641" s="130"/>
      <c r="H1641" s="130"/>
      <c r="I1641" s="130"/>
    </row>
    <row r="1642" spans="2:9">
      <c r="B1642" s="129"/>
      <c r="C1642" s="130"/>
      <c r="D1642" s="130"/>
      <c r="E1642" s="130"/>
      <c r="F1642" s="130"/>
      <c r="G1642" s="130"/>
      <c r="H1642" s="130"/>
      <c r="I1642" s="130"/>
    </row>
    <row r="1643" spans="2:9">
      <c r="B1643" s="129">
        <v>541</v>
      </c>
      <c r="C1643" s="130" t="s">
        <v>5095</v>
      </c>
      <c r="D1643" s="130" t="s">
        <v>5289</v>
      </c>
      <c r="E1643" s="130" t="s">
        <v>5205</v>
      </c>
      <c r="F1643" s="130" t="s">
        <v>5020</v>
      </c>
      <c r="G1643" s="130">
        <v>25000</v>
      </c>
      <c r="H1643" s="130">
        <v>49999</v>
      </c>
      <c r="I1643" s="130" t="s">
        <v>5004</v>
      </c>
    </row>
    <row r="1644" spans="2:9">
      <c r="B1644" s="129"/>
      <c r="C1644" s="130"/>
      <c r="D1644" s="130"/>
      <c r="E1644" s="130"/>
      <c r="F1644" s="130"/>
      <c r="G1644" s="130"/>
      <c r="H1644" s="130"/>
      <c r="I1644" s="130"/>
    </row>
    <row r="1645" spans="2:9">
      <c r="B1645" s="129"/>
      <c r="C1645" s="130"/>
      <c r="D1645" s="130"/>
      <c r="E1645" s="130"/>
      <c r="F1645" s="130"/>
      <c r="G1645" s="130"/>
      <c r="H1645" s="130"/>
      <c r="I1645" s="130"/>
    </row>
    <row r="1646" spans="2:9">
      <c r="B1646" s="129">
        <v>542</v>
      </c>
      <c r="C1646" s="130" t="s">
        <v>5095</v>
      </c>
      <c r="D1646" s="130" t="s">
        <v>5289</v>
      </c>
      <c r="E1646" s="130" t="s">
        <v>5205</v>
      </c>
      <c r="F1646" s="130" t="s">
        <v>5033</v>
      </c>
      <c r="G1646" s="130">
        <v>25000</v>
      </c>
      <c r="H1646" s="130">
        <v>49999</v>
      </c>
      <c r="I1646" s="130" t="s">
        <v>5004</v>
      </c>
    </row>
    <row r="1647" spans="2:9">
      <c r="B1647" s="129"/>
      <c r="C1647" s="130"/>
      <c r="D1647" s="130"/>
      <c r="E1647" s="130"/>
      <c r="F1647" s="130"/>
      <c r="G1647" s="130"/>
      <c r="H1647" s="130"/>
      <c r="I1647" s="130"/>
    </row>
    <row r="1648" spans="2:9">
      <c r="B1648" s="129"/>
      <c r="C1648" s="130"/>
      <c r="D1648" s="130"/>
      <c r="E1648" s="130"/>
      <c r="F1648" s="130"/>
      <c r="G1648" s="130"/>
      <c r="H1648" s="130"/>
      <c r="I1648" s="130"/>
    </row>
    <row r="1649" spans="2:9">
      <c r="B1649" s="129">
        <v>543</v>
      </c>
      <c r="C1649" s="130" t="s">
        <v>5095</v>
      </c>
      <c r="D1649" s="130" t="s">
        <v>5289</v>
      </c>
      <c r="E1649" s="130" t="s">
        <v>5205</v>
      </c>
      <c r="F1649" s="130" t="s">
        <v>5031</v>
      </c>
      <c r="G1649" s="130">
        <v>10000</v>
      </c>
      <c r="H1649" s="130">
        <v>24999</v>
      </c>
      <c r="I1649" s="130" t="s">
        <v>5004</v>
      </c>
    </row>
    <row r="1650" spans="2:9">
      <c r="B1650" s="129"/>
      <c r="C1650" s="130"/>
      <c r="D1650" s="130"/>
      <c r="E1650" s="130"/>
      <c r="F1650" s="130"/>
      <c r="G1650" s="130"/>
      <c r="H1650" s="130"/>
      <c r="I1650" s="130"/>
    </row>
    <row r="1651" spans="2:9">
      <c r="B1651" s="129"/>
      <c r="C1651" s="130"/>
      <c r="D1651" s="130"/>
      <c r="E1651" s="130"/>
      <c r="F1651" s="130"/>
      <c r="G1651" s="130"/>
      <c r="H1651" s="130"/>
      <c r="I1651" s="130"/>
    </row>
    <row r="1652" spans="2:9">
      <c r="B1652" s="129">
        <v>544</v>
      </c>
      <c r="C1652" s="130" t="s">
        <v>5095</v>
      </c>
      <c r="D1652" s="130" t="s">
        <v>5289</v>
      </c>
      <c r="E1652" s="130" t="s">
        <v>5205</v>
      </c>
      <c r="F1652" s="130" t="s">
        <v>5026</v>
      </c>
      <c r="G1652" s="130">
        <v>500</v>
      </c>
      <c r="H1652" s="130">
        <v>9999</v>
      </c>
      <c r="I1652" s="130" t="s">
        <v>5004</v>
      </c>
    </row>
    <row r="1653" spans="2:9">
      <c r="B1653" s="129"/>
      <c r="C1653" s="130"/>
      <c r="D1653" s="130"/>
      <c r="E1653" s="130"/>
      <c r="F1653" s="130"/>
      <c r="G1653" s="130"/>
      <c r="H1653" s="130"/>
      <c r="I1653" s="130"/>
    </row>
    <row r="1654" spans="2:9">
      <c r="B1654" s="129"/>
      <c r="C1654" s="130"/>
      <c r="D1654" s="130"/>
      <c r="E1654" s="130"/>
      <c r="F1654" s="130"/>
      <c r="G1654" s="130"/>
      <c r="H1654" s="130"/>
      <c r="I1654" s="130"/>
    </row>
    <row r="1655" spans="2:9">
      <c r="B1655" s="129">
        <v>545</v>
      </c>
      <c r="C1655" s="130" t="s">
        <v>5253</v>
      </c>
      <c r="D1655" s="130" t="s">
        <v>5289</v>
      </c>
      <c r="E1655" s="130" t="s">
        <v>5291</v>
      </c>
      <c r="F1655" s="130" t="s">
        <v>5026</v>
      </c>
      <c r="G1655" s="130">
        <v>1000</v>
      </c>
      <c r="H1655" s="130">
        <v>20000</v>
      </c>
      <c r="I1655" s="130" t="s">
        <v>5013</v>
      </c>
    </row>
    <row r="1656" spans="2:9">
      <c r="B1656" s="129"/>
      <c r="C1656" s="130"/>
      <c r="D1656" s="130"/>
      <c r="E1656" s="130"/>
      <c r="F1656" s="130"/>
      <c r="G1656" s="130"/>
      <c r="H1656" s="130"/>
      <c r="I1656" s="130"/>
    </row>
    <row r="1657" spans="2:9">
      <c r="B1657" s="129"/>
      <c r="C1657" s="130"/>
      <c r="D1657" s="130"/>
      <c r="E1657" s="130"/>
      <c r="F1657" s="130"/>
      <c r="G1657" s="130"/>
      <c r="H1657" s="130"/>
      <c r="I1657" s="130"/>
    </row>
    <row r="1658" spans="2:9">
      <c r="B1658" s="129">
        <v>546</v>
      </c>
      <c r="C1658" s="130" t="s">
        <v>5253</v>
      </c>
      <c r="D1658" s="130" t="s">
        <v>5289</v>
      </c>
      <c r="E1658" s="130" t="s">
        <v>5254</v>
      </c>
      <c r="F1658" s="130" t="s">
        <v>5008</v>
      </c>
      <c r="G1658" s="130">
        <v>1000</v>
      </c>
      <c r="H1658" s="130">
        <v>21000</v>
      </c>
      <c r="I1658" s="130" t="s">
        <v>5013</v>
      </c>
    </row>
    <row r="1659" spans="2:9">
      <c r="B1659" s="129"/>
      <c r="C1659" s="130"/>
      <c r="D1659" s="130"/>
      <c r="E1659" s="130"/>
      <c r="F1659" s="130"/>
      <c r="G1659" s="130"/>
      <c r="H1659" s="130"/>
      <c r="I1659" s="130"/>
    </row>
    <row r="1660" spans="2:9">
      <c r="B1660" s="129"/>
      <c r="C1660" s="130"/>
      <c r="D1660" s="130"/>
      <c r="E1660" s="130"/>
      <c r="F1660" s="130"/>
      <c r="G1660" s="130"/>
      <c r="H1660" s="130"/>
      <c r="I1660" s="130"/>
    </row>
    <row r="1661" spans="2:9">
      <c r="B1661" s="129">
        <v>547</v>
      </c>
      <c r="C1661" s="130" t="s">
        <v>5253</v>
      </c>
      <c r="D1661" s="130" t="s">
        <v>5289</v>
      </c>
      <c r="E1661" s="130" t="s">
        <v>5282</v>
      </c>
      <c r="F1661" s="130" t="s">
        <v>5033</v>
      </c>
      <c r="G1661" s="130">
        <v>1000</v>
      </c>
      <c r="H1661" s="130" t="s">
        <v>5037</v>
      </c>
      <c r="I1661" s="130" t="s">
        <v>5004</v>
      </c>
    </row>
    <row r="1662" spans="2:9">
      <c r="B1662" s="129"/>
      <c r="C1662" s="130"/>
      <c r="D1662" s="130"/>
      <c r="E1662" s="130"/>
      <c r="F1662" s="130"/>
      <c r="G1662" s="130"/>
      <c r="H1662" s="130"/>
      <c r="I1662" s="130"/>
    </row>
    <row r="1663" spans="2:9">
      <c r="B1663" s="129"/>
      <c r="C1663" s="130"/>
      <c r="D1663" s="130"/>
      <c r="E1663" s="130"/>
      <c r="F1663" s="130"/>
      <c r="G1663" s="130"/>
      <c r="H1663" s="130"/>
      <c r="I1663" s="130"/>
    </row>
    <row r="1664" spans="2:9">
      <c r="B1664" s="129">
        <v>548</v>
      </c>
      <c r="C1664" s="130" t="s">
        <v>5256</v>
      </c>
      <c r="D1664" s="130" t="s">
        <v>5289</v>
      </c>
      <c r="E1664" s="130" t="s">
        <v>5258</v>
      </c>
      <c r="F1664" s="130" t="s">
        <v>5033</v>
      </c>
      <c r="G1664" s="130">
        <v>500</v>
      </c>
      <c r="H1664" s="130">
        <v>20000</v>
      </c>
      <c r="I1664" s="130" t="s">
        <v>5004</v>
      </c>
    </row>
    <row r="1665" spans="2:9">
      <c r="B1665" s="129"/>
      <c r="C1665" s="130"/>
      <c r="D1665" s="130"/>
      <c r="E1665" s="130"/>
      <c r="F1665" s="130"/>
      <c r="G1665" s="130"/>
      <c r="H1665" s="130"/>
      <c r="I1665" s="130"/>
    </row>
    <row r="1666" spans="2:9">
      <c r="B1666" s="129"/>
      <c r="C1666" s="130"/>
      <c r="D1666" s="130"/>
      <c r="E1666" s="130"/>
      <c r="F1666" s="130"/>
      <c r="G1666" s="130"/>
      <c r="H1666" s="130"/>
      <c r="I1666" s="130"/>
    </row>
    <row r="1667" spans="2:9">
      <c r="B1667" s="129">
        <v>549</v>
      </c>
      <c r="C1667" s="130" t="s">
        <v>5184</v>
      </c>
      <c r="D1667" s="130" t="s">
        <v>5292</v>
      </c>
      <c r="E1667" s="130" t="s">
        <v>5284</v>
      </c>
      <c r="F1667" s="130" t="s">
        <v>5008</v>
      </c>
      <c r="G1667" s="130">
        <v>1000</v>
      </c>
      <c r="H1667" s="130" t="s">
        <v>5037</v>
      </c>
      <c r="I1667" s="130" t="s">
        <v>5013</v>
      </c>
    </row>
    <row r="1668" spans="2:9">
      <c r="B1668" s="129"/>
      <c r="C1668" s="130"/>
      <c r="D1668" s="130"/>
      <c r="E1668" s="130"/>
      <c r="F1668" s="130"/>
      <c r="G1668" s="130"/>
      <c r="H1668" s="130"/>
      <c r="I1668" s="130"/>
    </row>
    <row r="1669" spans="2:9">
      <c r="B1669" s="129"/>
      <c r="C1669" s="130"/>
      <c r="D1669" s="130"/>
      <c r="E1669" s="130"/>
      <c r="F1669" s="130"/>
      <c r="G1669" s="130"/>
      <c r="H1669" s="130"/>
      <c r="I1669" s="130"/>
    </row>
    <row r="1670" spans="2:9">
      <c r="B1670" s="129">
        <v>550</v>
      </c>
      <c r="C1670" s="130" t="s">
        <v>5238</v>
      </c>
      <c r="D1670" s="130" t="s">
        <v>5292</v>
      </c>
      <c r="E1670" s="130" t="s">
        <v>5240</v>
      </c>
      <c r="F1670" s="130" t="s">
        <v>5008</v>
      </c>
      <c r="G1670" s="130">
        <v>20000</v>
      </c>
      <c r="H1670" s="130" t="s">
        <v>5037</v>
      </c>
      <c r="I1670" s="130" t="s">
        <v>5004</v>
      </c>
    </row>
    <row r="1671" spans="2:9">
      <c r="B1671" s="129"/>
      <c r="C1671" s="130"/>
      <c r="D1671" s="130"/>
      <c r="E1671" s="130"/>
      <c r="F1671" s="130"/>
      <c r="G1671" s="130"/>
      <c r="H1671" s="130"/>
      <c r="I1671" s="130"/>
    </row>
    <row r="1672" spans="2:9">
      <c r="B1672" s="129"/>
      <c r="C1672" s="130"/>
      <c r="D1672" s="130"/>
      <c r="E1672" s="130"/>
      <c r="F1672" s="130"/>
      <c r="G1672" s="130"/>
      <c r="H1672" s="130"/>
      <c r="I1672" s="130"/>
    </row>
    <row r="1673" spans="2:9">
      <c r="B1673" s="129">
        <v>551</v>
      </c>
      <c r="C1673" s="130" t="s">
        <v>5188</v>
      </c>
      <c r="D1673" s="130" t="s">
        <v>5292</v>
      </c>
      <c r="E1673" s="130" t="s">
        <v>5213</v>
      </c>
      <c r="F1673" s="130" t="s">
        <v>5033</v>
      </c>
      <c r="G1673" s="130">
        <v>10000</v>
      </c>
      <c r="H1673" s="130">
        <v>30000</v>
      </c>
      <c r="I1673" s="130" t="s">
        <v>5004</v>
      </c>
    </row>
    <row r="1674" spans="2:9">
      <c r="B1674" s="129"/>
      <c r="C1674" s="130"/>
      <c r="D1674" s="130"/>
      <c r="E1674" s="130"/>
      <c r="F1674" s="130"/>
      <c r="G1674" s="130"/>
      <c r="H1674" s="130"/>
      <c r="I1674" s="130"/>
    </row>
    <row r="1675" spans="2:9">
      <c r="B1675" s="129"/>
      <c r="C1675" s="130"/>
      <c r="D1675" s="130"/>
      <c r="E1675" s="130"/>
      <c r="F1675" s="130"/>
      <c r="G1675" s="130"/>
      <c r="H1675" s="130"/>
      <c r="I1675" s="130"/>
    </row>
    <row r="1676" spans="2:9">
      <c r="B1676" s="129">
        <v>552</v>
      </c>
      <c r="C1676" s="130" t="s">
        <v>5009</v>
      </c>
      <c r="D1676" s="130" t="s">
        <v>5292</v>
      </c>
      <c r="E1676" s="130" t="s">
        <v>5228</v>
      </c>
      <c r="F1676" s="130" t="s">
        <v>5033</v>
      </c>
      <c r="G1676" s="130">
        <v>5000</v>
      </c>
      <c r="H1676" s="130" t="s">
        <v>5037</v>
      </c>
      <c r="I1676" s="130" t="s">
        <v>5013</v>
      </c>
    </row>
    <row r="1677" spans="2:9">
      <c r="B1677" s="129"/>
      <c r="C1677" s="130"/>
      <c r="D1677" s="130"/>
      <c r="E1677" s="130"/>
      <c r="F1677" s="130"/>
      <c r="G1677" s="130"/>
      <c r="H1677" s="130"/>
      <c r="I1677" s="130"/>
    </row>
    <row r="1678" spans="2:9">
      <c r="B1678" s="129"/>
      <c r="C1678" s="130"/>
      <c r="D1678" s="130"/>
      <c r="E1678" s="130"/>
      <c r="F1678" s="130"/>
      <c r="G1678" s="130"/>
      <c r="H1678" s="130"/>
      <c r="I1678" s="130"/>
    </row>
    <row r="1679" spans="2:9">
      <c r="B1679" s="129">
        <v>553</v>
      </c>
      <c r="C1679" s="130" t="s">
        <v>5098</v>
      </c>
      <c r="D1679" s="130" t="s">
        <v>5292</v>
      </c>
      <c r="E1679" s="130" t="s">
        <v>5132</v>
      </c>
      <c r="F1679" s="130" t="s">
        <v>5290</v>
      </c>
      <c r="G1679" s="130">
        <v>200</v>
      </c>
      <c r="H1679" s="130">
        <v>9999</v>
      </c>
      <c r="I1679" s="130" t="s">
        <v>5004</v>
      </c>
    </row>
    <row r="1680" spans="2:9">
      <c r="B1680" s="129"/>
      <c r="C1680" s="130"/>
      <c r="D1680" s="130"/>
      <c r="E1680" s="130"/>
      <c r="F1680" s="130"/>
      <c r="G1680" s="130"/>
      <c r="H1680" s="130"/>
      <c r="I1680" s="130"/>
    </row>
    <row r="1681" spans="2:9">
      <c r="B1681" s="129"/>
      <c r="C1681" s="130"/>
      <c r="D1681" s="130"/>
      <c r="E1681" s="130"/>
      <c r="F1681" s="130"/>
      <c r="G1681" s="130"/>
      <c r="H1681" s="130"/>
      <c r="I1681" s="130"/>
    </row>
    <row r="1682" spans="2:9">
      <c r="B1682" s="129">
        <v>554</v>
      </c>
      <c r="C1682" s="130" t="s">
        <v>5051</v>
      </c>
      <c r="D1682" s="130" t="s">
        <v>5292</v>
      </c>
      <c r="E1682" s="130" t="s">
        <v>5169</v>
      </c>
      <c r="F1682" s="130" t="s">
        <v>5111</v>
      </c>
      <c r="G1682" s="130">
        <v>3000</v>
      </c>
      <c r="H1682" s="130">
        <v>14000</v>
      </c>
      <c r="I1682" s="130" t="s">
        <v>5013</v>
      </c>
    </row>
    <row r="1683" spans="2:9">
      <c r="B1683" s="129"/>
      <c r="C1683" s="130"/>
      <c r="D1683" s="130"/>
      <c r="E1683" s="130"/>
      <c r="F1683" s="130"/>
      <c r="G1683" s="130"/>
      <c r="H1683" s="130"/>
      <c r="I1683" s="130"/>
    </row>
    <row r="1684" spans="2:9">
      <c r="B1684" s="129"/>
      <c r="C1684" s="130"/>
      <c r="D1684" s="130"/>
      <c r="E1684" s="130"/>
      <c r="F1684" s="130"/>
      <c r="G1684" s="130"/>
      <c r="H1684" s="130"/>
      <c r="I1684" s="130"/>
    </row>
    <row r="1685" spans="2:9">
      <c r="B1685" s="129">
        <v>555</v>
      </c>
      <c r="C1685" s="130" t="s">
        <v>5095</v>
      </c>
      <c r="D1685" s="130" t="s">
        <v>5292</v>
      </c>
      <c r="E1685" s="130" t="s">
        <v>5293</v>
      </c>
      <c r="F1685" s="130" t="s">
        <v>5196</v>
      </c>
      <c r="G1685" s="130">
        <v>1</v>
      </c>
      <c r="H1685" s="130" t="s">
        <v>5037</v>
      </c>
      <c r="I1685" s="130" t="s">
        <v>5013</v>
      </c>
    </row>
    <row r="1686" spans="2:9">
      <c r="B1686" s="129"/>
      <c r="C1686" s="130"/>
      <c r="D1686" s="130"/>
      <c r="E1686" s="130"/>
      <c r="F1686" s="130"/>
      <c r="G1686" s="130"/>
      <c r="H1686" s="130"/>
      <c r="I1686" s="130"/>
    </row>
    <row r="1687" spans="2:9">
      <c r="B1687" s="129"/>
      <c r="C1687" s="130"/>
      <c r="D1687" s="130"/>
      <c r="E1687" s="130"/>
      <c r="F1687" s="130"/>
      <c r="G1687" s="130"/>
      <c r="H1687" s="130"/>
      <c r="I1687" s="130"/>
    </row>
    <row r="1688" spans="2:9">
      <c r="B1688" s="129">
        <v>556</v>
      </c>
      <c r="C1688" s="130" t="s">
        <v>5184</v>
      </c>
      <c r="D1688" s="130" t="s">
        <v>5294</v>
      </c>
      <c r="E1688" s="130" t="s">
        <v>5271</v>
      </c>
      <c r="F1688" s="130" t="s">
        <v>5008</v>
      </c>
      <c r="G1688" s="130">
        <v>500</v>
      </c>
      <c r="H1688" s="130" t="s">
        <v>5037</v>
      </c>
      <c r="I1688" s="130" t="s">
        <v>5004</v>
      </c>
    </row>
    <row r="1689" spans="2:9">
      <c r="B1689" s="129"/>
      <c r="C1689" s="130"/>
      <c r="D1689" s="130"/>
      <c r="E1689" s="130"/>
      <c r="F1689" s="130"/>
      <c r="G1689" s="130"/>
      <c r="H1689" s="130"/>
      <c r="I1689" s="130"/>
    </row>
    <row r="1690" spans="2:9">
      <c r="B1690" s="129"/>
      <c r="C1690" s="130"/>
      <c r="D1690" s="130"/>
      <c r="E1690" s="130"/>
      <c r="F1690" s="130"/>
      <c r="G1690" s="130"/>
      <c r="H1690" s="130"/>
      <c r="I1690" s="130"/>
    </row>
    <row r="1691" spans="2:9">
      <c r="B1691" s="129">
        <v>557</v>
      </c>
      <c r="C1691" s="130" t="s">
        <v>5238</v>
      </c>
      <c r="D1691" s="130" t="s">
        <v>5294</v>
      </c>
      <c r="E1691" s="130" t="s">
        <v>5240</v>
      </c>
      <c r="F1691" s="130" t="s">
        <v>5033</v>
      </c>
      <c r="G1691" s="130">
        <v>1000</v>
      </c>
      <c r="H1691" s="130">
        <v>20000</v>
      </c>
      <c r="I1691" s="130" t="s">
        <v>5004</v>
      </c>
    </row>
    <row r="1692" spans="2:9">
      <c r="B1692" s="129"/>
      <c r="C1692" s="130"/>
      <c r="D1692" s="130"/>
      <c r="E1692" s="130"/>
      <c r="F1692" s="130"/>
      <c r="G1692" s="130"/>
      <c r="H1692" s="130"/>
      <c r="I1692" s="130"/>
    </row>
    <row r="1693" spans="2:9">
      <c r="B1693" s="129"/>
      <c r="C1693" s="130"/>
      <c r="D1693" s="130"/>
      <c r="E1693" s="130"/>
      <c r="F1693" s="130"/>
      <c r="G1693" s="130"/>
      <c r="H1693" s="130"/>
      <c r="I1693" s="130"/>
    </row>
    <row r="1694" spans="2:9">
      <c r="B1694" s="129">
        <v>558</v>
      </c>
      <c r="C1694" s="130" t="s">
        <v>5238</v>
      </c>
      <c r="D1694" s="130" t="s">
        <v>5294</v>
      </c>
      <c r="E1694" s="130" t="s">
        <v>5240</v>
      </c>
      <c r="F1694" s="130" t="s">
        <v>5026</v>
      </c>
      <c r="G1694" s="130">
        <v>1000</v>
      </c>
      <c r="H1694" s="130">
        <v>20000</v>
      </c>
      <c r="I1694" s="130" t="s">
        <v>5004</v>
      </c>
    </row>
    <row r="1695" spans="2:9">
      <c r="B1695" s="129"/>
      <c r="C1695" s="130"/>
      <c r="D1695" s="130"/>
      <c r="E1695" s="130"/>
      <c r="F1695" s="130"/>
      <c r="G1695" s="130"/>
      <c r="H1695" s="130"/>
      <c r="I1695" s="130"/>
    </row>
    <row r="1696" spans="2:9">
      <c r="B1696" s="129"/>
      <c r="C1696" s="130"/>
      <c r="D1696" s="130"/>
      <c r="E1696" s="130"/>
      <c r="F1696" s="130"/>
      <c r="G1696" s="130"/>
      <c r="H1696" s="130"/>
      <c r="I1696" s="130"/>
    </row>
    <row r="1697" spans="2:9">
      <c r="B1697" s="129">
        <v>559</v>
      </c>
      <c r="C1697" s="130" t="s">
        <v>5188</v>
      </c>
      <c r="D1697" s="130" t="s">
        <v>5294</v>
      </c>
      <c r="E1697" s="130" t="s">
        <v>5213</v>
      </c>
      <c r="F1697" s="130" t="s">
        <v>5033</v>
      </c>
      <c r="G1697" s="130">
        <v>500</v>
      </c>
      <c r="H1697" s="130">
        <v>10000</v>
      </c>
      <c r="I1697" s="130" t="s">
        <v>5004</v>
      </c>
    </row>
    <row r="1698" spans="2:9">
      <c r="B1698" s="129"/>
      <c r="C1698" s="130"/>
      <c r="D1698" s="130"/>
      <c r="E1698" s="130"/>
      <c r="F1698" s="130"/>
      <c r="G1698" s="130"/>
      <c r="H1698" s="130"/>
      <c r="I1698" s="130"/>
    </row>
    <row r="1699" spans="2:9">
      <c r="B1699" s="129"/>
      <c r="C1699" s="130"/>
      <c r="D1699" s="130"/>
      <c r="E1699" s="130"/>
      <c r="F1699" s="130"/>
      <c r="G1699" s="130"/>
      <c r="H1699" s="130"/>
      <c r="I1699" s="130"/>
    </row>
    <row r="1700" spans="2:9">
      <c r="B1700" s="129">
        <v>560</v>
      </c>
      <c r="C1700" s="130" t="s">
        <v>5102</v>
      </c>
      <c r="D1700" s="130" t="s">
        <v>5294</v>
      </c>
      <c r="E1700" s="130" t="s">
        <v>5132</v>
      </c>
      <c r="F1700" s="130" t="s">
        <v>5003</v>
      </c>
      <c r="G1700" s="130">
        <v>1000</v>
      </c>
      <c r="H1700" s="130">
        <v>10000</v>
      </c>
      <c r="I1700" s="130" t="s">
        <v>5004</v>
      </c>
    </row>
    <row r="1701" spans="2:9">
      <c r="B1701" s="129"/>
      <c r="C1701" s="130"/>
      <c r="D1701" s="130"/>
      <c r="E1701" s="130"/>
      <c r="F1701" s="130"/>
      <c r="G1701" s="130"/>
      <c r="H1701" s="130"/>
      <c r="I1701" s="130"/>
    </row>
    <row r="1702" spans="2:9">
      <c r="B1702" s="129"/>
      <c r="C1702" s="130"/>
      <c r="D1702" s="130"/>
      <c r="E1702" s="130"/>
      <c r="F1702" s="130"/>
      <c r="G1702" s="130"/>
      <c r="H1702" s="130"/>
      <c r="I1702" s="130"/>
    </row>
    <row r="1703" spans="2:9">
      <c r="B1703" s="129">
        <v>561</v>
      </c>
      <c r="C1703" s="130" t="s">
        <v>5102</v>
      </c>
      <c r="D1703" s="130" t="s">
        <v>5294</v>
      </c>
      <c r="E1703" s="130" t="s">
        <v>5132</v>
      </c>
      <c r="F1703" s="130" t="s">
        <v>5008</v>
      </c>
      <c r="G1703" s="130">
        <v>1000</v>
      </c>
      <c r="H1703" s="130" t="s">
        <v>5037</v>
      </c>
      <c r="I1703" s="130" t="s">
        <v>5004</v>
      </c>
    </row>
    <row r="1704" spans="2:9">
      <c r="B1704" s="129"/>
      <c r="C1704" s="130"/>
      <c r="D1704" s="130"/>
      <c r="E1704" s="130"/>
      <c r="F1704" s="130"/>
      <c r="G1704" s="130"/>
      <c r="H1704" s="130"/>
      <c r="I1704" s="130"/>
    </row>
    <row r="1705" spans="2:9">
      <c r="B1705" s="129"/>
      <c r="C1705" s="130"/>
      <c r="D1705" s="130"/>
      <c r="E1705" s="130"/>
      <c r="F1705" s="130"/>
      <c r="G1705" s="130"/>
      <c r="H1705" s="130"/>
      <c r="I1705" s="130"/>
    </row>
    <row r="1706" spans="2:9">
      <c r="B1706" s="129">
        <v>562</v>
      </c>
      <c r="C1706" s="130" t="s">
        <v>5128</v>
      </c>
      <c r="D1706" s="130" t="s">
        <v>5294</v>
      </c>
      <c r="E1706" s="130" t="s">
        <v>5127</v>
      </c>
      <c r="F1706" s="130" t="s">
        <v>5085</v>
      </c>
      <c r="G1706" s="130">
        <v>10000</v>
      </c>
      <c r="H1706" s="130">
        <v>49999</v>
      </c>
      <c r="I1706" s="130" t="s">
        <v>5004</v>
      </c>
    </row>
    <row r="1707" spans="2:9">
      <c r="B1707" s="129"/>
      <c r="C1707" s="130"/>
      <c r="D1707" s="130"/>
      <c r="E1707" s="130"/>
      <c r="F1707" s="130"/>
      <c r="G1707" s="130"/>
      <c r="H1707" s="130"/>
      <c r="I1707" s="130"/>
    </row>
    <row r="1708" spans="2:9">
      <c r="B1708" s="129"/>
      <c r="C1708" s="130"/>
      <c r="D1708" s="130"/>
      <c r="E1708" s="130"/>
      <c r="F1708" s="130"/>
      <c r="G1708" s="130"/>
      <c r="H1708" s="130"/>
      <c r="I1708" s="130"/>
    </row>
    <row r="1709" spans="2:9">
      <c r="B1709" s="129">
        <v>563</v>
      </c>
      <c r="C1709" s="130" t="s">
        <v>5128</v>
      </c>
      <c r="D1709" s="130" t="s">
        <v>5294</v>
      </c>
      <c r="E1709" s="130" t="s">
        <v>5127</v>
      </c>
      <c r="F1709" s="130" t="s">
        <v>5043</v>
      </c>
      <c r="G1709" s="130">
        <v>10000</v>
      </c>
      <c r="H1709" s="130">
        <v>49999</v>
      </c>
      <c r="I1709" s="130" t="s">
        <v>5004</v>
      </c>
    </row>
    <row r="1710" spans="2:9">
      <c r="B1710" s="129"/>
      <c r="C1710" s="130"/>
      <c r="D1710" s="130"/>
      <c r="E1710" s="130"/>
      <c r="F1710" s="130"/>
      <c r="G1710" s="130"/>
      <c r="H1710" s="130"/>
      <c r="I1710" s="130"/>
    </row>
    <row r="1711" spans="2:9">
      <c r="B1711" s="129"/>
      <c r="C1711" s="130"/>
      <c r="D1711" s="130"/>
      <c r="E1711" s="130"/>
      <c r="F1711" s="130"/>
      <c r="G1711" s="130"/>
      <c r="H1711" s="130"/>
      <c r="I1711" s="130"/>
    </row>
    <row r="1712" spans="2:9">
      <c r="B1712" s="129">
        <v>564</v>
      </c>
      <c r="C1712" s="130" t="s">
        <v>5128</v>
      </c>
      <c r="D1712" s="130" t="s">
        <v>5294</v>
      </c>
      <c r="E1712" s="130" t="s">
        <v>5127</v>
      </c>
      <c r="F1712" s="130" t="s">
        <v>5117</v>
      </c>
      <c r="G1712" s="130">
        <v>10000</v>
      </c>
      <c r="H1712" s="130">
        <v>49999</v>
      </c>
      <c r="I1712" s="130" t="s">
        <v>5004</v>
      </c>
    </row>
    <row r="1713" spans="2:9">
      <c r="B1713" s="129"/>
      <c r="C1713" s="130"/>
      <c r="D1713" s="130"/>
      <c r="E1713" s="130"/>
      <c r="F1713" s="130"/>
      <c r="G1713" s="130"/>
      <c r="H1713" s="130"/>
      <c r="I1713" s="130"/>
    </row>
    <row r="1714" spans="2:9">
      <c r="B1714" s="129"/>
      <c r="C1714" s="130"/>
      <c r="D1714" s="130"/>
      <c r="E1714" s="130"/>
      <c r="F1714" s="130"/>
      <c r="G1714" s="130"/>
      <c r="H1714" s="130"/>
      <c r="I1714" s="130"/>
    </row>
    <row r="1715" spans="2:9">
      <c r="B1715" s="129">
        <v>565</v>
      </c>
      <c r="C1715" s="130" t="s">
        <v>5095</v>
      </c>
      <c r="D1715" s="130" t="s">
        <v>5294</v>
      </c>
      <c r="E1715" s="130" t="s">
        <v>5205</v>
      </c>
      <c r="F1715" s="130" t="s">
        <v>5008</v>
      </c>
      <c r="G1715" s="130">
        <v>50000</v>
      </c>
      <c r="H1715" s="130" t="s">
        <v>5037</v>
      </c>
      <c r="I1715" s="130" t="s">
        <v>5004</v>
      </c>
    </row>
    <row r="1716" spans="2:9">
      <c r="B1716" s="129"/>
      <c r="C1716" s="130"/>
      <c r="D1716" s="130"/>
      <c r="E1716" s="130"/>
      <c r="F1716" s="130"/>
      <c r="G1716" s="130"/>
      <c r="H1716" s="130"/>
      <c r="I1716" s="130"/>
    </row>
    <row r="1717" spans="2:9">
      <c r="B1717" s="129"/>
      <c r="C1717" s="130"/>
      <c r="D1717" s="130"/>
      <c r="E1717" s="130"/>
      <c r="F1717" s="130"/>
      <c r="G1717" s="130"/>
      <c r="H1717" s="130"/>
      <c r="I1717" s="130"/>
    </row>
    <row r="1718" spans="2:9">
      <c r="B1718" s="129">
        <v>566</v>
      </c>
      <c r="C1718" s="130" t="s">
        <v>5095</v>
      </c>
      <c r="D1718" s="130" t="s">
        <v>5294</v>
      </c>
      <c r="E1718" s="130" t="s">
        <v>5205</v>
      </c>
      <c r="F1718" s="130" t="s">
        <v>5050</v>
      </c>
      <c r="G1718" s="130">
        <v>10000</v>
      </c>
      <c r="H1718" s="130">
        <v>24999</v>
      </c>
      <c r="I1718" s="130" t="s">
        <v>5004</v>
      </c>
    </row>
    <row r="1719" spans="2:9">
      <c r="B1719" s="129"/>
      <c r="C1719" s="130"/>
      <c r="D1719" s="130"/>
      <c r="E1719" s="130"/>
      <c r="F1719" s="130"/>
      <c r="G1719" s="130"/>
      <c r="H1719" s="130"/>
      <c r="I1719" s="130"/>
    </row>
    <row r="1720" spans="2:9">
      <c r="B1720" s="129"/>
      <c r="C1720" s="130"/>
      <c r="D1720" s="130"/>
      <c r="E1720" s="130"/>
      <c r="F1720" s="130"/>
      <c r="G1720" s="130"/>
      <c r="H1720" s="130"/>
      <c r="I1720" s="130"/>
    </row>
    <row r="1721" spans="2:9">
      <c r="B1721" s="129">
        <v>567</v>
      </c>
      <c r="C1721" s="130" t="s">
        <v>5095</v>
      </c>
      <c r="D1721" s="130" t="s">
        <v>5294</v>
      </c>
      <c r="E1721" s="130" t="s">
        <v>5205</v>
      </c>
      <c r="F1721" s="130" t="s">
        <v>5020</v>
      </c>
      <c r="G1721" s="130">
        <v>10000</v>
      </c>
      <c r="H1721" s="130">
        <v>24999</v>
      </c>
      <c r="I1721" s="130" t="s">
        <v>5004</v>
      </c>
    </row>
    <row r="1722" spans="2:9">
      <c r="B1722" s="129"/>
      <c r="C1722" s="130"/>
      <c r="D1722" s="130"/>
      <c r="E1722" s="130"/>
      <c r="F1722" s="130"/>
      <c r="G1722" s="130"/>
      <c r="H1722" s="130"/>
      <c r="I1722" s="130"/>
    </row>
    <row r="1723" spans="2:9">
      <c r="B1723" s="129"/>
      <c r="C1723" s="130"/>
      <c r="D1723" s="130"/>
      <c r="E1723" s="130"/>
      <c r="F1723" s="130"/>
      <c r="G1723" s="130"/>
      <c r="H1723" s="130"/>
      <c r="I1723" s="130"/>
    </row>
    <row r="1724" spans="2:9">
      <c r="B1724" s="129">
        <v>568</v>
      </c>
      <c r="C1724" s="130" t="s">
        <v>5095</v>
      </c>
      <c r="D1724" s="130" t="s">
        <v>5294</v>
      </c>
      <c r="E1724" s="130" t="s">
        <v>5205</v>
      </c>
      <c r="F1724" s="130" t="s">
        <v>5033</v>
      </c>
      <c r="G1724" s="130">
        <v>10000</v>
      </c>
      <c r="H1724" s="130">
        <v>24999</v>
      </c>
      <c r="I1724" s="130" t="s">
        <v>5004</v>
      </c>
    </row>
    <row r="1725" spans="2:9">
      <c r="B1725" s="129"/>
      <c r="C1725" s="130"/>
      <c r="D1725" s="130"/>
      <c r="E1725" s="130"/>
      <c r="F1725" s="130"/>
      <c r="G1725" s="130"/>
      <c r="H1725" s="130"/>
      <c r="I1725" s="130"/>
    </row>
    <row r="1726" spans="2:9">
      <c r="B1726" s="129"/>
      <c r="C1726" s="130"/>
      <c r="D1726" s="130"/>
      <c r="E1726" s="130"/>
      <c r="F1726" s="130"/>
      <c r="G1726" s="130"/>
      <c r="H1726" s="130"/>
      <c r="I1726" s="130"/>
    </row>
    <row r="1727" spans="2:9">
      <c r="B1727" s="129">
        <v>569</v>
      </c>
      <c r="C1727" s="130" t="s">
        <v>5095</v>
      </c>
      <c r="D1727" s="130" t="s">
        <v>5294</v>
      </c>
      <c r="E1727" s="130" t="s">
        <v>5205</v>
      </c>
      <c r="F1727" s="130" t="s">
        <v>5031</v>
      </c>
      <c r="G1727" s="130">
        <v>500</v>
      </c>
      <c r="H1727" s="130">
        <v>9999</v>
      </c>
      <c r="I1727" s="130" t="s">
        <v>5004</v>
      </c>
    </row>
    <row r="1728" spans="2:9">
      <c r="B1728" s="129"/>
      <c r="C1728" s="130"/>
      <c r="D1728" s="130"/>
      <c r="E1728" s="130"/>
      <c r="F1728" s="130"/>
      <c r="G1728" s="130"/>
      <c r="H1728" s="130"/>
      <c r="I1728" s="130"/>
    </row>
    <row r="1729" spans="2:9">
      <c r="B1729" s="129"/>
      <c r="C1729" s="130"/>
      <c r="D1729" s="130"/>
      <c r="E1729" s="130"/>
      <c r="F1729" s="130"/>
      <c r="G1729" s="130"/>
      <c r="H1729" s="130"/>
      <c r="I1729" s="130"/>
    </row>
    <row r="1730" spans="2:9">
      <c r="B1730" s="129">
        <v>570</v>
      </c>
      <c r="C1730" s="130" t="s">
        <v>5253</v>
      </c>
      <c r="D1730" s="130" t="s">
        <v>5294</v>
      </c>
      <c r="E1730" s="130" t="s">
        <v>5282</v>
      </c>
      <c r="F1730" s="130" t="s">
        <v>5050</v>
      </c>
      <c r="G1730" s="130">
        <v>1000</v>
      </c>
      <c r="H1730" s="130" t="s">
        <v>5037</v>
      </c>
      <c r="I1730" s="130" t="s">
        <v>5004</v>
      </c>
    </row>
    <row r="1731" spans="2:9">
      <c r="B1731" s="129"/>
      <c r="C1731" s="130"/>
      <c r="D1731" s="130"/>
      <c r="E1731" s="130"/>
      <c r="F1731" s="130"/>
      <c r="G1731" s="130"/>
      <c r="H1731" s="130"/>
      <c r="I1731" s="130"/>
    </row>
    <row r="1732" spans="2:9">
      <c r="B1732" s="129"/>
      <c r="C1732" s="130"/>
      <c r="D1732" s="130"/>
      <c r="E1732" s="130"/>
      <c r="F1732" s="130"/>
      <c r="G1732" s="130"/>
      <c r="H1732" s="130"/>
      <c r="I1732" s="130"/>
    </row>
    <row r="1733" spans="2:9">
      <c r="B1733" s="129">
        <v>571</v>
      </c>
      <c r="C1733" s="130" t="s">
        <v>5208</v>
      </c>
      <c r="D1733" s="130" t="s">
        <v>5294</v>
      </c>
      <c r="E1733" s="130" t="s">
        <v>5132</v>
      </c>
      <c r="F1733" s="130" t="s">
        <v>5085</v>
      </c>
      <c r="G1733" s="130">
        <v>50000</v>
      </c>
      <c r="H1733" s="130" t="s">
        <v>5037</v>
      </c>
      <c r="I1733" s="130" t="s">
        <v>5004</v>
      </c>
    </row>
    <row r="1734" spans="2:9">
      <c r="B1734" s="129"/>
      <c r="C1734" s="130"/>
      <c r="D1734" s="130"/>
      <c r="E1734" s="130"/>
      <c r="F1734" s="130"/>
      <c r="G1734" s="130"/>
      <c r="H1734" s="130"/>
      <c r="I1734" s="130"/>
    </row>
    <row r="1735" spans="2:9">
      <c r="B1735" s="129"/>
      <c r="C1735" s="130"/>
      <c r="D1735" s="130"/>
      <c r="E1735" s="130"/>
      <c r="F1735" s="130"/>
      <c r="G1735" s="130"/>
      <c r="H1735" s="130"/>
      <c r="I1735" s="130"/>
    </row>
    <row r="1736" spans="2:9">
      <c r="B1736" s="129">
        <v>572</v>
      </c>
      <c r="C1736" s="130" t="s">
        <v>5107</v>
      </c>
      <c r="D1736" s="130" t="s">
        <v>5294</v>
      </c>
      <c r="E1736" s="130" t="s">
        <v>5132</v>
      </c>
      <c r="F1736" s="130" t="s">
        <v>5008</v>
      </c>
      <c r="G1736" s="130">
        <v>50000</v>
      </c>
      <c r="H1736" s="130">
        <v>99999</v>
      </c>
      <c r="I1736" s="130" t="s">
        <v>5004</v>
      </c>
    </row>
    <row r="1737" spans="2:9">
      <c r="B1737" s="129"/>
      <c r="C1737" s="130"/>
      <c r="D1737" s="130"/>
      <c r="E1737" s="130"/>
      <c r="F1737" s="130"/>
      <c r="G1737" s="130"/>
      <c r="H1737" s="130"/>
      <c r="I1737" s="130"/>
    </row>
    <row r="1738" spans="2:9">
      <c r="B1738" s="129"/>
      <c r="C1738" s="130"/>
      <c r="D1738" s="130"/>
      <c r="E1738" s="130"/>
      <c r="F1738" s="130"/>
      <c r="G1738" s="130"/>
      <c r="H1738" s="130"/>
      <c r="I1738" s="130"/>
    </row>
    <row r="1739" spans="2:9">
      <c r="B1739" s="129">
        <v>573</v>
      </c>
      <c r="C1739" s="130" t="s">
        <v>5224</v>
      </c>
      <c r="D1739" s="130" t="s">
        <v>5294</v>
      </c>
      <c r="E1739" s="130" t="s">
        <v>5132</v>
      </c>
      <c r="F1739" s="130" t="s">
        <v>5031</v>
      </c>
      <c r="G1739" s="130">
        <v>50</v>
      </c>
      <c r="H1739" s="130" t="s">
        <v>5037</v>
      </c>
      <c r="I1739" s="130" t="s">
        <v>5004</v>
      </c>
    </row>
    <row r="1740" spans="2:9">
      <c r="B1740" s="129"/>
      <c r="C1740" s="130"/>
      <c r="D1740" s="130"/>
      <c r="E1740" s="130"/>
      <c r="F1740" s="130"/>
      <c r="G1740" s="130"/>
      <c r="H1740" s="130"/>
      <c r="I1740" s="130"/>
    </row>
    <row r="1741" spans="2:9">
      <c r="B1741" s="129"/>
      <c r="C1741" s="130"/>
      <c r="D1741" s="130"/>
      <c r="E1741" s="130"/>
      <c r="F1741" s="130"/>
      <c r="G1741" s="130"/>
      <c r="H1741" s="130"/>
      <c r="I1741" s="130"/>
    </row>
    <row r="1742" spans="2:9">
      <c r="B1742" s="129">
        <v>574</v>
      </c>
      <c r="C1742" s="130" t="s">
        <v>5218</v>
      </c>
      <c r="D1742" s="130" t="s">
        <v>5295</v>
      </c>
      <c r="E1742" s="130" t="s">
        <v>5296</v>
      </c>
      <c r="F1742" s="130" t="s">
        <v>5288</v>
      </c>
      <c r="G1742" s="130">
        <v>100000</v>
      </c>
      <c r="H1742" s="130" t="s">
        <v>5037</v>
      </c>
      <c r="I1742" s="130" t="s">
        <v>5004</v>
      </c>
    </row>
    <row r="1743" spans="2:9">
      <c r="B1743" s="129"/>
      <c r="C1743" s="130"/>
      <c r="D1743" s="130"/>
      <c r="E1743" s="130"/>
      <c r="F1743" s="130"/>
      <c r="G1743" s="130"/>
      <c r="H1743" s="130"/>
      <c r="I1743" s="130"/>
    </row>
    <row r="1744" spans="2:9">
      <c r="B1744" s="129"/>
      <c r="C1744" s="130"/>
      <c r="D1744" s="130"/>
      <c r="E1744" s="130"/>
      <c r="F1744" s="130"/>
      <c r="G1744" s="130"/>
      <c r="H1744" s="130"/>
      <c r="I1744" s="130"/>
    </row>
    <row r="1745" spans="2:9">
      <c r="B1745" s="129">
        <v>575</v>
      </c>
      <c r="C1745" s="130" t="s">
        <v>5238</v>
      </c>
      <c r="D1745" s="130" t="s">
        <v>5295</v>
      </c>
      <c r="E1745" s="130" t="s">
        <v>5240</v>
      </c>
      <c r="F1745" s="130" t="s">
        <v>5020</v>
      </c>
      <c r="G1745" s="130">
        <v>1000</v>
      </c>
      <c r="H1745" s="130">
        <v>20000</v>
      </c>
      <c r="I1745" s="130" t="s">
        <v>5004</v>
      </c>
    </row>
    <row r="1746" spans="2:9">
      <c r="B1746" s="129"/>
      <c r="C1746" s="130"/>
      <c r="D1746" s="130"/>
      <c r="E1746" s="130"/>
      <c r="F1746" s="130"/>
      <c r="G1746" s="130"/>
      <c r="H1746" s="130"/>
      <c r="I1746" s="130"/>
    </row>
    <row r="1747" spans="2:9">
      <c r="B1747" s="129"/>
      <c r="C1747" s="130"/>
      <c r="D1747" s="130"/>
      <c r="E1747" s="130"/>
      <c r="F1747" s="130"/>
      <c r="G1747" s="130"/>
      <c r="H1747" s="130"/>
      <c r="I1747" s="130"/>
    </row>
    <row r="1748" spans="2:9">
      <c r="B1748" s="129">
        <v>576</v>
      </c>
      <c r="C1748" s="130" t="s">
        <v>5238</v>
      </c>
      <c r="D1748" s="130" t="s">
        <v>5295</v>
      </c>
      <c r="E1748" s="130" t="s">
        <v>5240</v>
      </c>
      <c r="F1748" s="130" t="s">
        <v>5031</v>
      </c>
      <c r="G1748" s="130">
        <v>20000</v>
      </c>
      <c r="H1748" s="130" t="s">
        <v>5037</v>
      </c>
      <c r="I1748" s="130" t="s">
        <v>5004</v>
      </c>
    </row>
    <row r="1749" spans="2:9">
      <c r="B1749" s="129"/>
      <c r="C1749" s="130"/>
      <c r="D1749" s="130"/>
      <c r="E1749" s="130"/>
      <c r="F1749" s="130"/>
      <c r="G1749" s="130"/>
      <c r="H1749" s="130"/>
      <c r="I1749" s="130"/>
    </row>
    <row r="1750" spans="2:9">
      <c r="B1750" s="129"/>
      <c r="C1750" s="130"/>
      <c r="D1750" s="130"/>
      <c r="E1750" s="130"/>
      <c r="F1750" s="130"/>
      <c r="G1750" s="130"/>
      <c r="H1750" s="130"/>
      <c r="I1750" s="130"/>
    </row>
    <row r="1751" spans="2:9">
      <c r="B1751" s="129">
        <v>577</v>
      </c>
      <c r="C1751" s="130" t="s">
        <v>5188</v>
      </c>
      <c r="D1751" s="130" t="s">
        <v>5295</v>
      </c>
      <c r="E1751" s="130" t="s">
        <v>5263</v>
      </c>
      <c r="F1751" s="130" t="s">
        <v>5012</v>
      </c>
      <c r="G1751" s="130">
        <v>1000</v>
      </c>
      <c r="H1751" s="130">
        <v>29999</v>
      </c>
      <c r="I1751" s="130" t="s">
        <v>5264</v>
      </c>
    </row>
    <row r="1752" spans="2:9">
      <c r="B1752" s="129"/>
      <c r="C1752" s="130"/>
      <c r="D1752" s="130"/>
      <c r="E1752" s="130"/>
      <c r="F1752" s="130"/>
      <c r="G1752" s="130"/>
      <c r="H1752" s="130"/>
      <c r="I1752" s="130"/>
    </row>
    <row r="1753" spans="2:9">
      <c r="B1753" s="129"/>
      <c r="C1753" s="130"/>
      <c r="D1753" s="130"/>
      <c r="E1753" s="130"/>
      <c r="F1753" s="130"/>
      <c r="G1753" s="130"/>
      <c r="H1753" s="130"/>
      <c r="I1753" s="130"/>
    </row>
    <row r="1754" spans="2:9">
      <c r="B1754" s="129">
        <v>578</v>
      </c>
      <c r="C1754" s="130" t="s">
        <v>5184</v>
      </c>
      <c r="D1754" s="130" t="s">
        <v>5297</v>
      </c>
      <c r="E1754" s="130" t="s">
        <v>5271</v>
      </c>
      <c r="F1754" s="130" t="s">
        <v>5003</v>
      </c>
      <c r="G1754" s="130">
        <v>500</v>
      </c>
      <c r="H1754" s="130" t="s">
        <v>5037</v>
      </c>
      <c r="I1754" s="130" t="s">
        <v>5004</v>
      </c>
    </row>
    <row r="1755" spans="2:9">
      <c r="B1755" s="129"/>
      <c r="C1755" s="130"/>
      <c r="D1755" s="130"/>
      <c r="E1755" s="130"/>
      <c r="F1755" s="130"/>
      <c r="G1755" s="130"/>
      <c r="H1755" s="130"/>
      <c r="I1755" s="130"/>
    </row>
    <row r="1756" spans="2:9">
      <c r="B1756" s="129"/>
      <c r="C1756" s="130"/>
      <c r="D1756" s="130"/>
      <c r="E1756" s="130"/>
      <c r="F1756" s="130"/>
      <c r="G1756" s="130"/>
      <c r="H1756" s="130"/>
      <c r="I1756" s="130"/>
    </row>
    <row r="1757" spans="2:9">
      <c r="B1757" s="129">
        <v>579</v>
      </c>
      <c r="C1757" s="130" t="s">
        <v>5175</v>
      </c>
      <c r="D1757" s="130" t="s">
        <v>5297</v>
      </c>
      <c r="E1757" s="130" t="s">
        <v>5133</v>
      </c>
      <c r="F1757" s="130" t="s">
        <v>5085</v>
      </c>
      <c r="G1757" s="130">
        <v>1000</v>
      </c>
      <c r="H1757" s="130" t="s">
        <v>5037</v>
      </c>
      <c r="I1757" s="130" t="s">
        <v>5004</v>
      </c>
    </row>
    <row r="1758" spans="2:9">
      <c r="B1758" s="129"/>
      <c r="C1758" s="130"/>
      <c r="D1758" s="130"/>
      <c r="E1758" s="130"/>
      <c r="F1758" s="130"/>
      <c r="G1758" s="130"/>
      <c r="H1758" s="130"/>
      <c r="I1758" s="130"/>
    </row>
    <row r="1759" spans="2:9">
      <c r="B1759" s="129"/>
      <c r="C1759" s="130"/>
      <c r="D1759" s="130"/>
      <c r="E1759" s="130"/>
      <c r="F1759" s="130"/>
      <c r="G1759" s="130"/>
      <c r="H1759" s="130"/>
      <c r="I1759" s="130"/>
    </row>
    <row r="1760" spans="2:9">
      <c r="B1760" s="129">
        <v>580</v>
      </c>
      <c r="C1760" s="130" t="s">
        <v>5218</v>
      </c>
      <c r="D1760" s="130" t="s">
        <v>5297</v>
      </c>
      <c r="E1760" s="130" t="s">
        <v>5246</v>
      </c>
      <c r="F1760" s="130" t="s">
        <v>5033</v>
      </c>
      <c r="G1760" s="130">
        <v>1000</v>
      </c>
      <c r="H1760" s="130">
        <v>50000</v>
      </c>
      <c r="I1760" s="130" t="s">
        <v>5004</v>
      </c>
    </row>
    <row r="1761" spans="2:9">
      <c r="B1761" s="129"/>
      <c r="C1761" s="130"/>
      <c r="D1761" s="130"/>
      <c r="E1761" s="130"/>
      <c r="F1761" s="130"/>
      <c r="G1761" s="130"/>
      <c r="H1761" s="130"/>
      <c r="I1761" s="130"/>
    </row>
    <row r="1762" spans="2:9">
      <c r="B1762" s="129"/>
      <c r="C1762" s="130"/>
      <c r="D1762" s="130"/>
      <c r="E1762" s="130"/>
      <c r="F1762" s="130"/>
      <c r="G1762" s="130"/>
      <c r="H1762" s="130"/>
      <c r="I1762" s="130"/>
    </row>
    <row r="1763" spans="2:9">
      <c r="B1763" s="129">
        <v>581</v>
      </c>
      <c r="C1763" s="130" t="s">
        <v>5218</v>
      </c>
      <c r="D1763" s="130" t="s">
        <v>5297</v>
      </c>
      <c r="E1763" s="130" t="s">
        <v>5219</v>
      </c>
      <c r="F1763" s="130" t="s">
        <v>5008</v>
      </c>
      <c r="G1763" s="130">
        <v>20000</v>
      </c>
      <c r="H1763" s="130">
        <v>50000</v>
      </c>
      <c r="I1763" s="130" t="s">
        <v>5004</v>
      </c>
    </row>
    <row r="1764" spans="2:9">
      <c r="B1764" s="129"/>
      <c r="C1764" s="130"/>
      <c r="D1764" s="130"/>
      <c r="E1764" s="130"/>
      <c r="F1764" s="130"/>
      <c r="G1764" s="130"/>
      <c r="H1764" s="130"/>
      <c r="I1764" s="130"/>
    </row>
    <row r="1765" spans="2:9">
      <c r="B1765" s="129"/>
      <c r="C1765" s="130"/>
      <c r="D1765" s="130"/>
      <c r="E1765" s="130"/>
      <c r="F1765" s="130"/>
      <c r="G1765" s="130"/>
      <c r="H1765" s="130"/>
      <c r="I1765" s="130"/>
    </row>
    <row r="1766" spans="2:9">
      <c r="B1766" s="129">
        <v>582</v>
      </c>
      <c r="C1766" s="130" t="s">
        <v>5218</v>
      </c>
      <c r="D1766" s="130" t="s">
        <v>5297</v>
      </c>
      <c r="E1766" s="130" t="s">
        <v>5219</v>
      </c>
      <c r="F1766" s="130" t="s">
        <v>5033</v>
      </c>
      <c r="G1766" s="130">
        <v>20000</v>
      </c>
      <c r="H1766" s="130">
        <v>50000</v>
      </c>
      <c r="I1766" s="130" t="s">
        <v>5004</v>
      </c>
    </row>
    <row r="1767" spans="2:9">
      <c r="B1767" s="129"/>
      <c r="C1767" s="130"/>
      <c r="D1767" s="130"/>
      <c r="E1767" s="130"/>
      <c r="F1767" s="130"/>
      <c r="G1767" s="130"/>
      <c r="H1767" s="130"/>
      <c r="I1767" s="130"/>
    </row>
    <row r="1768" spans="2:9">
      <c r="B1768" s="129"/>
      <c r="C1768" s="130"/>
      <c r="D1768" s="130"/>
      <c r="E1768" s="130"/>
      <c r="F1768" s="130"/>
      <c r="G1768" s="130"/>
      <c r="H1768" s="130"/>
      <c r="I1768" s="130"/>
    </row>
    <row r="1769" spans="2:9">
      <c r="B1769" s="129">
        <v>583</v>
      </c>
      <c r="C1769" s="130" t="s">
        <v>5218</v>
      </c>
      <c r="D1769" s="130" t="s">
        <v>5297</v>
      </c>
      <c r="E1769" s="130" t="s">
        <v>5298</v>
      </c>
      <c r="F1769" s="130" t="s">
        <v>5290</v>
      </c>
      <c r="G1769" s="130">
        <v>100000</v>
      </c>
      <c r="H1769" s="130" t="s">
        <v>5037</v>
      </c>
      <c r="I1769" s="130" t="s">
        <v>5004</v>
      </c>
    </row>
    <row r="1770" spans="2:9">
      <c r="B1770" s="129"/>
      <c r="C1770" s="130"/>
      <c r="D1770" s="130"/>
      <c r="E1770" s="130"/>
      <c r="F1770" s="130"/>
      <c r="G1770" s="130"/>
      <c r="H1770" s="130"/>
      <c r="I1770" s="130"/>
    </row>
    <row r="1771" spans="2:9">
      <c r="B1771" s="129"/>
      <c r="C1771" s="130"/>
      <c r="D1771" s="130"/>
      <c r="E1771" s="130"/>
      <c r="F1771" s="130"/>
      <c r="G1771" s="130"/>
      <c r="H1771" s="130"/>
      <c r="I1771" s="130"/>
    </row>
    <row r="1772" spans="2:9">
      <c r="B1772" s="129">
        <v>584</v>
      </c>
      <c r="C1772" s="130" t="s">
        <v>5218</v>
      </c>
      <c r="D1772" s="130" t="s">
        <v>5297</v>
      </c>
      <c r="E1772" s="130" t="s">
        <v>5296</v>
      </c>
      <c r="F1772" s="130" t="s">
        <v>5288</v>
      </c>
      <c r="G1772" s="130">
        <v>50000</v>
      </c>
      <c r="H1772" s="130">
        <v>100000</v>
      </c>
      <c r="I1772" s="130" t="s">
        <v>5004</v>
      </c>
    </row>
    <row r="1773" spans="2:9">
      <c r="B1773" s="129"/>
      <c r="C1773" s="130"/>
      <c r="D1773" s="130"/>
      <c r="E1773" s="130"/>
      <c r="F1773" s="130"/>
      <c r="G1773" s="130"/>
      <c r="H1773" s="130"/>
      <c r="I1773" s="130"/>
    </row>
    <row r="1774" spans="2:9">
      <c r="B1774" s="129"/>
      <c r="C1774" s="130"/>
      <c r="D1774" s="130"/>
      <c r="E1774" s="130"/>
      <c r="F1774" s="130"/>
      <c r="G1774" s="130"/>
      <c r="H1774" s="130"/>
      <c r="I1774" s="130"/>
    </row>
    <row r="1775" spans="2:9">
      <c r="B1775" s="129">
        <v>585</v>
      </c>
      <c r="C1775" s="130" t="s">
        <v>5218</v>
      </c>
      <c r="D1775" s="130" t="s">
        <v>5297</v>
      </c>
      <c r="E1775" s="130" t="s">
        <v>5299</v>
      </c>
      <c r="F1775" s="130" t="s">
        <v>5111</v>
      </c>
      <c r="G1775" s="130">
        <v>50000</v>
      </c>
      <c r="H1775" s="130" t="s">
        <v>5037</v>
      </c>
      <c r="I1775" s="130" t="s">
        <v>5004</v>
      </c>
    </row>
    <row r="1776" spans="2:9">
      <c r="B1776" s="129"/>
      <c r="C1776" s="130"/>
      <c r="D1776" s="130"/>
      <c r="E1776" s="130"/>
      <c r="F1776" s="130"/>
      <c r="G1776" s="130"/>
      <c r="H1776" s="130"/>
      <c r="I1776" s="130"/>
    </row>
    <row r="1777" spans="2:9">
      <c r="B1777" s="129"/>
      <c r="C1777" s="130"/>
      <c r="D1777" s="130"/>
      <c r="E1777" s="130"/>
      <c r="F1777" s="130"/>
      <c r="G1777" s="130"/>
      <c r="H1777" s="130"/>
      <c r="I1777" s="130"/>
    </row>
    <row r="1778" spans="2:9">
      <c r="B1778" s="129">
        <v>586</v>
      </c>
      <c r="C1778" s="130" t="s">
        <v>5071</v>
      </c>
      <c r="D1778" s="130" t="s">
        <v>5297</v>
      </c>
      <c r="E1778" s="130" t="s">
        <v>5300</v>
      </c>
      <c r="F1778" s="130" t="s">
        <v>5008</v>
      </c>
      <c r="G1778" s="130">
        <v>2000</v>
      </c>
      <c r="H1778" s="130" t="s">
        <v>5037</v>
      </c>
      <c r="I1778" s="130" t="s">
        <v>5004</v>
      </c>
    </row>
    <row r="1779" spans="2:9">
      <c r="B1779" s="129"/>
      <c r="C1779" s="130"/>
      <c r="D1779" s="130"/>
      <c r="E1779" s="130"/>
      <c r="F1779" s="130"/>
      <c r="G1779" s="130"/>
      <c r="H1779" s="130"/>
      <c r="I1779" s="130"/>
    </row>
    <row r="1780" spans="2:9">
      <c r="B1780" s="129"/>
      <c r="C1780" s="130"/>
      <c r="D1780" s="130"/>
      <c r="E1780" s="130"/>
      <c r="F1780" s="130"/>
      <c r="G1780" s="130"/>
      <c r="H1780" s="130"/>
      <c r="I1780" s="130"/>
    </row>
    <row r="1781" spans="2:9">
      <c r="B1781" s="129">
        <v>587</v>
      </c>
      <c r="C1781" s="130" t="s">
        <v>5235</v>
      </c>
      <c r="D1781" s="130" t="s">
        <v>5297</v>
      </c>
      <c r="E1781" s="130" t="s">
        <v>5251</v>
      </c>
      <c r="F1781" s="130" t="s">
        <v>5003</v>
      </c>
      <c r="G1781" s="130">
        <v>1000</v>
      </c>
      <c r="H1781" s="130">
        <v>20000</v>
      </c>
      <c r="I1781" s="130" t="s">
        <v>5004</v>
      </c>
    </row>
    <row r="1782" spans="2:9">
      <c r="B1782" s="129"/>
      <c r="C1782" s="130"/>
      <c r="D1782" s="130"/>
      <c r="E1782" s="130"/>
      <c r="F1782" s="130"/>
      <c r="G1782" s="130"/>
      <c r="H1782" s="130"/>
      <c r="I1782" s="130"/>
    </row>
    <row r="1783" spans="2:9">
      <c r="B1783" s="129"/>
      <c r="C1783" s="130"/>
      <c r="D1783" s="130"/>
      <c r="E1783" s="130"/>
      <c r="F1783" s="130"/>
      <c r="G1783" s="130"/>
      <c r="H1783" s="130"/>
      <c r="I1783" s="130"/>
    </row>
    <row r="1784" spans="2:9">
      <c r="B1784" s="129">
        <v>588</v>
      </c>
      <c r="C1784" s="130" t="s">
        <v>5235</v>
      </c>
      <c r="D1784" s="130" t="s">
        <v>5297</v>
      </c>
      <c r="E1784" s="130" t="s">
        <v>5251</v>
      </c>
      <c r="F1784" s="130" t="s">
        <v>5008</v>
      </c>
      <c r="G1784" s="130">
        <v>1000</v>
      </c>
      <c r="H1784" s="130">
        <v>20000</v>
      </c>
      <c r="I1784" s="130" t="s">
        <v>5004</v>
      </c>
    </row>
    <row r="1785" spans="2:9">
      <c r="B1785" s="129"/>
      <c r="C1785" s="130"/>
      <c r="D1785" s="130"/>
      <c r="E1785" s="130"/>
      <c r="F1785" s="130"/>
      <c r="G1785" s="130"/>
      <c r="H1785" s="130"/>
      <c r="I1785" s="130"/>
    </row>
    <row r="1786" spans="2:9">
      <c r="B1786" s="129"/>
      <c r="C1786" s="130"/>
      <c r="D1786" s="130"/>
      <c r="E1786" s="130"/>
      <c r="F1786" s="130"/>
      <c r="G1786" s="130"/>
      <c r="H1786" s="130"/>
      <c r="I1786" s="130"/>
    </row>
    <row r="1787" spans="2:9">
      <c r="B1787" s="129">
        <v>589</v>
      </c>
      <c r="C1787" s="130" t="s">
        <v>5102</v>
      </c>
      <c r="D1787" s="130" t="s">
        <v>5297</v>
      </c>
      <c r="E1787" s="130" t="s">
        <v>5132</v>
      </c>
      <c r="F1787" s="130" t="s">
        <v>5111</v>
      </c>
      <c r="G1787" s="130">
        <v>10000</v>
      </c>
      <c r="H1787" s="130" t="s">
        <v>5037</v>
      </c>
      <c r="I1787" s="130" t="s">
        <v>5004</v>
      </c>
    </row>
    <row r="1788" spans="2:9">
      <c r="B1788" s="129"/>
      <c r="C1788" s="130"/>
      <c r="D1788" s="130"/>
      <c r="E1788" s="130"/>
      <c r="F1788" s="130"/>
      <c r="G1788" s="130"/>
      <c r="H1788" s="130"/>
      <c r="I1788" s="130"/>
    </row>
    <row r="1789" spans="2:9">
      <c r="B1789" s="129"/>
      <c r="C1789" s="130"/>
      <c r="D1789" s="130"/>
      <c r="E1789" s="130"/>
      <c r="F1789" s="130"/>
      <c r="G1789" s="130"/>
      <c r="H1789" s="130"/>
      <c r="I1789" s="130"/>
    </row>
    <row r="1790" spans="2:9">
      <c r="B1790" s="129">
        <v>590</v>
      </c>
      <c r="C1790" s="130" t="s">
        <v>5009</v>
      </c>
      <c r="D1790" s="130" t="s">
        <v>5297</v>
      </c>
      <c r="E1790" s="130" t="s">
        <v>5079</v>
      </c>
      <c r="F1790" s="130" t="s">
        <v>5026</v>
      </c>
      <c r="G1790" s="130">
        <v>2000</v>
      </c>
      <c r="H1790" s="130" t="s">
        <v>5037</v>
      </c>
      <c r="I1790" s="130" t="s">
        <v>5004</v>
      </c>
    </row>
    <row r="1791" spans="2:9">
      <c r="B1791" s="129"/>
      <c r="C1791" s="130"/>
      <c r="D1791" s="130"/>
      <c r="E1791" s="130"/>
      <c r="F1791" s="130"/>
      <c r="G1791" s="130"/>
      <c r="H1791" s="130"/>
      <c r="I1791" s="130"/>
    </row>
    <row r="1792" spans="2:9">
      <c r="B1792" s="129"/>
      <c r="C1792" s="130"/>
      <c r="D1792" s="130"/>
      <c r="E1792" s="130"/>
      <c r="F1792" s="130"/>
      <c r="G1792" s="130"/>
      <c r="H1792" s="130"/>
      <c r="I1792" s="130"/>
    </row>
    <row r="1793" spans="2:9">
      <c r="B1793" s="129">
        <v>591</v>
      </c>
      <c r="C1793" s="130" t="s">
        <v>5235</v>
      </c>
      <c r="D1793" s="130" t="s">
        <v>5297</v>
      </c>
      <c r="E1793" s="130" t="s">
        <v>5275</v>
      </c>
      <c r="F1793" s="130" t="s">
        <v>5012</v>
      </c>
      <c r="G1793" s="130">
        <v>10000</v>
      </c>
      <c r="H1793" s="130">
        <v>100000</v>
      </c>
      <c r="I1793" s="130" t="s">
        <v>5029</v>
      </c>
    </row>
    <row r="1794" spans="2:9">
      <c r="B1794" s="129"/>
      <c r="C1794" s="130"/>
      <c r="D1794" s="130"/>
      <c r="E1794" s="130"/>
      <c r="F1794" s="130"/>
      <c r="G1794" s="130"/>
      <c r="H1794" s="130"/>
      <c r="I1794" s="130"/>
    </row>
    <row r="1795" spans="2:9">
      <c r="B1795" s="129"/>
      <c r="C1795" s="130"/>
      <c r="D1795" s="130"/>
      <c r="E1795" s="130"/>
      <c r="F1795" s="130"/>
      <c r="G1795" s="130"/>
      <c r="H1795" s="130"/>
      <c r="I1795" s="130"/>
    </row>
    <row r="1796" spans="2:9">
      <c r="B1796" s="129">
        <v>592</v>
      </c>
      <c r="C1796" s="130" t="s">
        <v>5061</v>
      </c>
      <c r="D1796" s="130" t="s">
        <v>5297</v>
      </c>
      <c r="E1796" s="130" t="s">
        <v>5132</v>
      </c>
      <c r="F1796" s="130" t="s">
        <v>5008</v>
      </c>
      <c r="G1796" s="130">
        <v>500</v>
      </c>
      <c r="H1796" s="130" t="s">
        <v>5037</v>
      </c>
      <c r="I1796" s="130" t="s">
        <v>5004</v>
      </c>
    </row>
    <row r="1797" spans="2:9">
      <c r="B1797" s="129"/>
      <c r="C1797" s="130"/>
      <c r="D1797" s="130"/>
      <c r="E1797" s="130"/>
      <c r="F1797" s="130"/>
      <c r="G1797" s="130"/>
      <c r="H1797" s="130"/>
      <c r="I1797" s="130"/>
    </row>
    <row r="1798" spans="2:9">
      <c r="B1798" s="129"/>
      <c r="C1798" s="130"/>
      <c r="D1798" s="130"/>
      <c r="E1798" s="130"/>
      <c r="F1798" s="130"/>
      <c r="G1798" s="130"/>
      <c r="H1798" s="130"/>
      <c r="I1798" s="130"/>
    </row>
    <row r="1799" spans="2:9">
      <c r="B1799" s="129">
        <v>593</v>
      </c>
      <c r="C1799" s="130" t="s">
        <v>5171</v>
      </c>
      <c r="D1799" s="130" t="s">
        <v>5297</v>
      </c>
      <c r="E1799" s="130" t="s">
        <v>5133</v>
      </c>
      <c r="F1799" s="130" t="s">
        <v>5033</v>
      </c>
      <c r="G1799" s="130">
        <v>1000</v>
      </c>
      <c r="H1799" s="130" t="s">
        <v>5037</v>
      </c>
      <c r="I1799" s="130" t="s">
        <v>5004</v>
      </c>
    </row>
    <row r="1800" spans="2:9">
      <c r="B1800" s="129"/>
      <c r="C1800" s="130"/>
      <c r="D1800" s="130"/>
      <c r="E1800" s="130"/>
      <c r="F1800" s="130"/>
      <c r="G1800" s="130"/>
      <c r="H1800" s="130"/>
      <c r="I1800" s="130"/>
    </row>
    <row r="1801" spans="2:9">
      <c r="B1801" s="129"/>
      <c r="C1801" s="130"/>
      <c r="D1801" s="130"/>
      <c r="E1801" s="130"/>
      <c r="F1801" s="130"/>
      <c r="G1801" s="130"/>
      <c r="H1801" s="130"/>
      <c r="I1801" s="130"/>
    </row>
    <row r="1802" spans="2:9">
      <c r="B1802" s="129">
        <v>594</v>
      </c>
      <c r="C1802" s="130" t="s">
        <v>5128</v>
      </c>
      <c r="D1802" s="130" t="s">
        <v>5297</v>
      </c>
      <c r="E1802" s="130" t="s">
        <v>5127</v>
      </c>
      <c r="F1802" s="130" t="s">
        <v>5026</v>
      </c>
      <c r="G1802" s="130">
        <v>10000</v>
      </c>
      <c r="H1802" s="130">
        <v>49999</v>
      </c>
      <c r="I1802" s="130" t="s">
        <v>5004</v>
      </c>
    </row>
    <row r="1803" spans="2:9">
      <c r="B1803" s="129"/>
      <c r="C1803" s="130"/>
      <c r="D1803" s="130"/>
      <c r="E1803" s="130"/>
      <c r="F1803" s="130"/>
      <c r="G1803" s="130"/>
      <c r="H1803" s="130"/>
      <c r="I1803" s="130"/>
    </row>
    <row r="1804" spans="2:9">
      <c r="B1804" s="129"/>
      <c r="C1804" s="130"/>
      <c r="D1804" s="130"/>
      <c r="E1804" s="130"/>
      <c r="F1804" s="130"/>
      <c r="G1804" s="130"/>
      <c r="H1804" s="130"/>
      <c r="I1804" s="130"/>
    </row>
    <row r="1805" spans="2:9">
      <c r="B1805" s="129">
        <v>595</v>
      </c>
      <c r="C1805" s="130" t="s">
        <v>5076</v>
      </c>
      <c r="D1805" s="130" t="s">
        <v>5297</v>
      </c>
      <c r="E1805" s="130" t="s">
        <v>5130</v>
      </c>
      <c r="F1805" s="130" t="s">
        <v>5008</v>
      </c>
      <c r="G1805" s="130">
        <v>20000</v>
      </c>
      <c r="H1805" s="130">
        <v>49999</v>
      </c>
      <c r="I1805" s="130" t="s">
        <v>5004</v>
      </c>
    </row>
    <row r="1806" spans="2:9">
      <c r="B1806" s="129"/>
      <c r="C1806" s="130"/>
      <c r="D1806" s="130"/>
      <c r="E1806" s="130"/>
      <c r="F1806" s="130"/>
      <c r="G1806" s="130"/>
      <c r="H1806" s="130"/>
      <c r="I1806" s="130"/>
    </row>
    <row r="1807" spans="2:9">
      <c r="B1807" s="129"/>
      <c r="C1807" s="130"/>
      <c r="D1807" s="130"/>
      <c r="E1807" s="130"/>
      <c r="F1807" s="130"/>
      <c r="G1807" s="130"/>
      <c r="H1807" s="130"/>
      <c r="I1807" s="130"/>
    </row>
    <row r="1808" spans="2:9">
      <c r="B1808" s="129">
        <v>596</v>
      </c>
      <c r="C1808" s="130" t="s">
        <v>5005</v>
      </c>
      <c r="D1808" s="130" t="s">
        <v>5297</v>
      </c>
      <c r="E1808" s="130" t="s">
        <v>5146</v>
      </c>
      <c r="F1808" s="130" t="s">
        <v>5111</v>
      </c>
      <c r="G1808" s="130">
        <v>3000</v>
      </c>
      <c r="H1808" s="130" t="s">
        <v>5037</v>
      </c>
      <c r="I1808" s="130" t="s">
        <v>5004</v>
      </c>
    </row>
    <row r="1809" spans="2:9">
      <c r="B1809" s="129"/>
      <c r="C1809" s="130"/>
      <c r="D1809" s="130"/>
      <c r="E1809" s="130"/>
      <c r="F1809" s="130"/>
      <c r="G1809" s="130"/>
      <c r="H1809" s="130"/>
      <c r="I1809" s="130"/>
    </row>
    <row r="1810" spans="2:9">
      <c r="B1810" s="129"/>
      <c r="C1810" s="130"/>
      <c r="D1810" s="130"/>
      <c r="E1810" s="130"/>
      <c r="F1810" s="130"/>
      <c r="G1810" s="130"/>
      <c r="H1810" s="130"/>
      <c r="I1810" s="130"/>
    </row>
    <row r="1811" spans="2:9">
      <c r="B1811" s="129">
        <v>597</v>
      </c>
      <c r="C1811" s="130" t="s">
        <v>5095</v>
      </c>
      <c r="D1811" s="130" t="s">
        <v>5297</v>
      </c>
      <c r="E1811" s="130" t="s">
        <v>5248</v>
      </c>
      <c r="F1811" s="130" t="s">
        <v>5033</v>
      </c>
      <c r="G1811" s="130">
        <v>1000</v>
      </c>
      <c r="H1811" s="130">
        <v>49999</v>
      </c>
      <c r="I1811" s="130" t="s">
        <v>5004</v>
      </c>
    </row>
    <row r="1812" spans="2:9">
      <c r="B1812" s="129"/>
      <c r="C1812" s="130"/>
      <c r="D1812" s="130"/>
      <c r="E1812" s="130"/>
      <c r="F1812" s="130"/>
      <c r="G1812" s="130"/>
      <c r="H1812" s="130"/>
      <c r="I1812" s="130"/>
    </row>
    <row r="1813" spans="2:9">
      <c r="B1813" s="129"/>
      <c r="C1813" s="130"/>
      <c r="D1813" s="130"/>
      <c r="E1813" s="130"/>
      <c r="F1813" s="130"/>
      <c r="G1813" s="130"/>
      <c r="H1813" s="130"/>
      <c r="I1813" s="130"/>
    </row>
    <row r="1814" spans="2:9">
      <c r="B1814" s="129">
        <v>598</v>
      </c>
      <c r="C1814" s="130" t="s">
        <v>5095</v>
      </c>
      <c r="D1814" s="130" t="s">
        <v>5297</v>
      </c>
      <c r="E1814" s="130" t="s">
        <v>5205</v>
      </c>
      <c r="F1814" s="130" t="s">
        <v>5008</v>
      </c>
      <c r="G1814" s="130">
        <v>25000</v>
      </c>
      <c r="H1814" s="130">
        <v>49999</v>
      </c>
      <c r="I1814" s="130" t="s">
        <v>5004</v>
      </c>
    </row>
    <row r="1815" spans="2:9">
      <c r="B1815" s="129"/>
      <c r="C1815" s="130"/>
      <c r="D1815" s="130"/>
      <c r="E1815" s="130"/>
      <c r="F1815" s="130"/>
      <c r="G1815" s="130"/>
      <c r="H1815" s="130"/>
      <c r="I1815" s="130"/>
    </row>
    <row r="1816" spans="2:9">
      <c r="B1816" s="129"/>
      <c r="C1816" s="130"/>
      <c r="D1816" s="130"/>
      <c r="E1816" s="130"/>
      <c r="F1816" s="130"/>
      <c r="G1816" s="130"/>
      <c r="H1816" s="130"/>
      <c r="I1816" s="130"/>
    </row>
    <row r="1817" spans="2:9">
      <c r="B1817" s="129">
        <v>599</v>
      </c>
      <c r="C1817" s="130" t="s">
        <v>5095</v>
      </c>
      <c r="D1817" s="130" t="s">
        <v>5297</v>
      </c>
      <c r="E1817" s="130" t="s">
        <v>5205</v>
      </c>
      <c r="F1817" s="130" t="s">
        <v>5050</v>
      </c>
      <c r="G1817" s="130">
        <v>500</v>
      </c>
      <c r="H1817" s="130">
        <v>9999</v>
      </c>
      <c r="I1817" s="130" t="s">
        <v>5004</v>
      </c>
    </row>
    <row r="1818" spans="2:9">
      <c r="B1818" s="129"/>
      <c r="C1818" s="130"/>
      <c r="D1818" s="130"/>
      <c r="E1818" s="130"/>
      <c r="F1818" s="130"/>
      <c r="G1818" s="130"/>
      <c r="H1818" s="130"/>
      <c r="I1818" s="130"/>
    </row>
    <row r="1819" spans="2:9">
      <c r="B1819" s="129"/>
      <c r="C1819" s="130"/>
      <c r="D1819" s="130"/>
      <c r="E1819" s="130"/>
      <c r="F1819" s="130"/>
      <c r="G1819" s="130"/>
      <c r="H1819" s="130"/>
      <c r="I1819" s="130"/>
    </row>
    <row r="1820" spans="2:9">
      <c r="B1820" s="129">
        <v>600</v>
      </c>
      <c r="C1820" s="130" t="s">
        <v>5095</v>
      </c>
      <c r="D1820" s="130" t="s">
        <v>5297</v>
      </c>
      <c r="E1820" s="130" t="s">
        <v>5205</v>
      </c>
      <c r="F1820" s="130" t="s">
        <v>5020</v>
      </c>
      <c r="G1820" s="130">
        <v>500</v>
      </c>
      <c r="H1820" s="130">
        <v>9999</v>
      </c>
      <c r="I1820" s="130" t="s">
        <v>5004</v>
      </c>
    </row>
    <row r="1821" spans="2:9">
      <c r="B1821" s="129"/>
      <c r="C1821" s="130"/>
      <c r="D1821" s="130"/>
      <c r="E1821" s="130"/>
      <c r="F1821" s="130"/>
      <c r="G1821" s="130"/>
      <c r="H1821" s="130"/>
      <c r="I1821" s="130"/>
    </row>
    <row r="1822" spans="2:9">
      <c r="B1822" s="129"/>
      <c r="C1822" s="130"/>
      <c r="D1822" s="130"/>
      <c r="E1822" s="130"/>
      <c r="F1822" s="130"/>
      <c r="G1822" s="130"/>
      <c r="H1822" s="130"/>
      <c r="I1822" s="130"/>
    </row>
    <row r="1823" spans="2:9">
      <c r="B1823" s="129">
        <v>601</v>
      </c>
      <c r="C1823" s="130" t="s">
        <v>5095</v>
      </c>
      <c r="D1823" s="130" t="s">
        <v>5297</v>
      </c>
      <c r="E1823" s="130" t="s">
        <v>5205</v>
      </c>
      <c r="F1823" s="130" t="s">
        <v>5033</v>
      </c>
      <c r="G1823" s="130">
        <v>500</v>
      </c>
      <c r="H1823" s="130">
        <v>9999</v>
      </c>
      <c r="I1823" s="130" t="s">
        <v>5004</v>
      </c>
    </row>
    <row r="1824" spans="2:9">
      <c r="B1824" s="129"/>
      <c r="C1824" s="130"/>
      <c r="D1824" s="130"/>
      <c r="E1824" s="130"/>
      <c r="F1824" s="130"/>
      <c r="G1824" s="130"/>
      <c r="H1824" s="130"/>
      <c r="I1824" s="130"/>
    </row>
    <row r="1825" spans="2:9">
      <c r="B1825" s="129"/>
      <c r="C1825" s="130"/>
      <c r="D1825" s="130"/>
      <c r="E1825" s="130"/>
      <c r="F1825" s="130"/>
      <c r="G1825" s="130"/>
      <c r="H1825" s="130"/>
      <c r="I1825" s="130"/>
    </row>
    <row r="1826" spans="2:9">
      <c r="B1826" s="129">
        <v>602</v>
      </c>
      <c r="C1826" s="130" t="s">
        <v>5253</v>
      </c>
      <c r="D1826" s="130" t="s">
        <v>5297</v>
      </c>
      <c r="E1826" s="130" t="s">
        <v>5291</v>
      </c>
      <c r="F1826" s="130" t="s">
        <v>5031</v>
      </c>
      <c r="G1826" s="130">
        <v>1000</v>
      </c>
      <c r="H1826" s="130">
        <v>20000</v>
      </c>
      <c r="I1826" s="130" t="s">
        <v>5013</v>
      </c>
    </row>
    <row r="1827" spans="2:9">
      <c r="B1827" s="129"/>
      <c r="C1827" s="130"/>
      <c r="D1827" s="130"/>
      <c r="E1827" s="130"/>
      <c r="F1827" s="130"/>
      <c r="G1827" s="130"/>
      <c r="H1827" s="130"/>
      <c r="I1827" s="130"/>
    </row>
    <row r="1828" spans="2:9">
      <c r="B1828" s="129"/>
      <c r="C1828" s="130"/>
      <c r="D1828" s="130"/>
      <c r="E1828" s="130"/>
      <c r="F1828" s="130"/>
      <c r="G1828" s="130"/>
      <c r="H1828" s="130"/>
      <c r="I1828" s="130"/>
    </row>
    <row r="1829" spans="2:9">
      <c r="B1829" s="129">
        <v>603</v>
      </c>
      <c r="C1829" s="130" t="s">
        <v>5253</v>
      </c>
      <c r="D1829" s="130" t="s">
        <v>5297</v>
      </c>
      <c r="E1829" s="130" t="s">
        <v>5282</v>
      </c>
      <c r="F1829" s="130" t="s">
        <v>5008</v>
      </c>
      <c r="G1829" s="130">
        <v>1000</v>
      </c>
      <c r="H1829" s="130" t="s">
        <v>5037</v>
      </c>
      <c r="I1829" s="130" t="s">
        <v>5004</v>
      </c>
    </row>
    <row r="1830" spans="2:9">
      <c r="B1830" s="129"/>
      <c r="C1830" s="130"/>
      <c r="D1830" s="130"/>
      <c r="E1830" s="130"/>
      <c r="F1830" s="130"/>
      <c r="G1830" s="130"/>
      <c r="H1830" s="130"/>
      <c r="I1830" s="130"/>
    </row>
    <row r="1831" spans="2:9">
      <c r="B1831" s="129"/>
      <c r="C1831" s="130"/>
      <c r="D1831" s="130"/>
      <c r="E1831" s="130"/>
      <c r="F1831" s="130"/>
      <c r="G1831" s="130"/>
      <c r="H1831" s="130"/>
      <c r="I1831" s="130"/>
    </row>
    <row r="1832" spans="2:9">
      <c r="B1832" s="129">
        <v>604</v>
      </c>
      <c r="C1832" s="130" t="s">
        <v>5044</v>
      </c>
      <c r="D1832" s="130" t="s">
        <v>5297</v>
      </c>
      <c r="E1832" s="130" t="s">
        <v>5132</v>
      </c>
      <c r="F1832" s="130" t="s">
        <v>5008</v>
      </c>
      <c r="G1832" s="130">
        <v>500</v>
      </c>
      <c r="H1832" s="130" t="s">
        <v>5037</v>
      </c>
      <c r="I1832" s="130" t="s">
        <v>5004</v>
      </c>
    </row>
    <row r="1833" spans="2:9">
      <c r="B1833" s="129"/>
      <c r="C1833" s="130"/>
      <c r="D1833" s="130"/>
      <c r="E1833" s="130"/>
      <c r="F1833" s="130"/>
      <c r="G1833" s="130"/>
      <c r="H1833" s="130"/>
      <c r="I1833" s="130"/>
    </row>
    <row r="1834" spans="2:9">
      <c r="B1834" s="129"/>
      <c r="C1834" s="130"/>
      <c r="D1834" s="130"/>
      <c r="E1834" s="130"/>
      <c r="F1834" s="130"/>
      <c r="G1834" s="130"/>
      <c r="H1834" s="130"/>
      <c r="I1834" s="130"/>
    </row>
    <row r="1835" spans="2:9">
      <c r="B1835" s="129">
        <v>605</v>
      </c>
      <c r="C1835" s="130" t="s">
        <v>5044</v>
      </c>
      <c r="D1835" s="130" t="s">
        <v>5297</v>
      </c>
      <c r="E1835" s="130" t="s">
        <v>5132</v>
      </c>
      <c r="F1835" s="130" t="s">
        <v>5050</v>
      </c>
      <c r="G1835" s="130">
        <v>500</v>
      </c>
      <c r="H1835" s="130" t="s">
        <v>5037</v>
      </c>
      <c r="I1835" s="130" t="s">
        <v>5004</v>
      </c>
    </row>
    <row r="1836" spans="2:9">
      <c r="B1836" s="129"/>
      <c r="C1836" s="130"/>
      <c r="D1836" s="130"/>
      <c r="E1836" s="130"/>
      <c r="F1836" s="130"/>
      <c r="G1836" s="130"/>
      <c r="H1836" s="130"/>
      <c r="I1836" s="130"/>
    </row>
    <row r="1837" spans="2:9">
      <c r="B1837" s="129"/>
      <c r="C1837" s="130"/>
      <c r="D1837" s="130"/>
      <c r="E1837" s="130"/>
      <c r="F1837" s="130"/>
      <c r="G1837" s="130"/>
      <c r="H1837" s="130"/>
      <c r="I1837" s="130"/>
    </row>
    <row r="1838" spans="2:9">
      <c r="B1838" s="129">
        <v>606</v>
      </c>
      <c r="C1838" s="130" t="s">
        <v>5044</v>
      </c>
      <c r="D1838" s="130" t="s">
        <v>5297</v>
      </c>
      <c r="E1838" s="130" t="s">
        <v>5132</v>
      </c>
      <c r="F1838" s="130" t="s">
        <v>5020</v>
      </c>
      <c r="G1838" s="130">
        <v>500</v>
      </c>
      <c r="H1838" s="130" t="s">
        <v>5037</v>
      </c>
      <c r="I1838" s="130" t="s">
        <v>5004</v>
      </c>
    </row>
    <row r="1839" spans="2:9">
      <c r="B1839" s="129"/>
      <c r="C1839" s="130"/>
      <c r="D1839" s="130"/>
      <c r="E1839" s="130"/>
      <c r="F1839" s="130"/>
      <c r="G1839" s="130"/>
      <c r="H1839" s="130"/>
      <c r="I1839" s="130"/>
    </row>
    <row r="1840" spans="2:9">
      <c r="B1840" s="129"/>
      <c r="C1840" s="130"/>
      <c r="D1840" s="130"/>
      <c r="E1840" s="130"/>
      <c r="F1840" s="130"/>
      <c r="G1840" s="130"/>
      <c r="H1840" s="130"/>
      <c r="I1840" s="130"/>
    </row>
    <row r="1841" spans="2:9">
      <c r="B1841" s="129">
        <v>607</v>
      </c>
      <c r="C1841" s="130" t="s">
        <v>5301</v>
      </c>
      <c r="D1841" s="130" t="s">
        <v>5297</v>
      </c>
      <c r="E1841" s="130" t="s">
        <v>5302</v>
      </c>
      <c r="F1841" s="130" t="s">
        <v>5026</v>
      </c>
      <c r="G1841" s="130">
        <v>100000</v>
      </c>
      <c r="H1841" s="130" t="s">
        <v>5037</v>
      </c>
      <c r="I1841" s="130" t="s">
        <v>5004</v>
      </c>
    </row>
    <row r="1842" spans="2:9">
      <c r="B1842" s="129"/>
      <c r="C1842" s="130"/>
      <c r="D1842" s="130"/>
      <c r="E1842" s="130"/>
      <c r="F1842" s="130"/>
      <c r="G1842" s="130"/>
      <c r="H1842" s="130"/>
      <c r="I1842" s="130"/>
    </row>
    <row r="1843" spans="2:9">
      <c r="B1843" s="129"/>
      <c r="C1843" s="130"/>
      <c r="D1843" s="130"/>
      <c r="E1843" s="130"/>
      <c r="F1843" s="130"/>
      <c r="G1843" s="130"/>
      <c r="H1843" s="130"/>
      <c r="I1843" s="130"/>
    </row>
    <row r="1844" spans="2:9">
      <c r="B1844" s="129">
        <v>608</v>
      </c>
      <c r="C1844" s="130" t="s">
        <v>5208</v>
      </c>
      <c r="D1844" s="130" t="s">
        <v>5297</v>
      </c>
      <c r="E1844" s="130" t="s">
        <v>5132</v>
      </c>
      <c r="F1844" s="130" t="s">
        <v>5043</v>
      </c>
      <c r="G1844" s="130">
        <v>50000</v>
      </c>
      <c r="H1844" s="130" t="s">
        <v>5037</v>
      </c>
      <c r="I1844" s="130" t="s">
        <v>5004</v>
      </c>
    </row>
    <row r="1845" spans="2:9">
      <c r="B1845" s="129"/>
      <c r="C1845" s="130"/>
      <c r="D1845" s="130"/>
      <c r="E1845" s="130"/>
      <c r="F1845" s="130"/>
      <c r="G1845" s="130"/>
      <c r="H1845" s="130"/>
      <c r="I1845" s="130"/>
    </row>
    <row r="1846" spans="2:9">
      <c r="B1846" s="129"/>
      <c r="C1846" s="130"/>
      <c r="D1846" s="130"/>
      <c r="E1846" s="130"/>
      <c r="F1846" s="130"/>
      <c r="G1846" s="130"/>
      <c r="H1846" s="130"/>
      <c r="I1846" s="130"/>
    </row>
    <row r="1847" spans="2:9">
      <c r="B1847" s="129">
        <v>609</v>
      </c>
      <c r="C1847" s="130" t="s">
        <v>5034</v>
      </c>
      <c r="D1847" s="130" t="s">
        <v>5297</v>
      </c>
      <c r="E1847" s="130" t="s">
        <v>5036</v>
      </c>
      <c r="F1847" s="130" t="s">
        <v>5003</v>
      </c>
      <c r="G1847" s="130">
        <v>10000</v>
      </c>
      <c r="H1847" s="130" t="s">
        <v>5037</v>
      </c>
      <c r="I1847" s="130" t="s">
        <v>5004</v>
      </c>
    </row>
    <row r="1848" spans="2:9">
      <c r="B1848" s="129"/>
      <c r="C1848" s="130"/>
      <c r="D1848" s="130"/>
      <c r="E1848" s="130"/>
      <c r="F1848" s="130"/>
      <c r="G1848" s="130"/>
      <c r="H1848" s="130"/>
      <c r="I1848" s="130"/>
    </row>
    <row r="1849" spans="2:9">
      <c r="B1849" s="129"/>
      <c r="C1849" s="130"/>
      <c r="D1849" s="130"/>
      <c r="E1849" s="130"/>
      <c r="F1849" s="130"/>
      <c r="G1849" s="130"/>
      <c r="H1849" s="130"/>
      <c r="I1849" s="130"/>
    </row>
    <row r="1850" spans="2:9">
      <c r="B1850" s="129">
        <v>610</v>
      </c>
      <c r="C1850" s="130" t="s">
        <v>5224</v>
      </c>
      <c r="D1850" s="130" t="s">
        <v>5297</v>
      </c>
      <c r="E1850" s="130" t="s">
        <v>5132</v>
      </c>
      <c r="F1850" s="130" t="s">
        <v>5033</v>
      </c>
      <c r="G1850" s="130">
        <v>50</v>
      </c>
      <c r="H1850" s="130" t="s">
        <v>5037</v>
      </c>
      <c r="I1850" s="130" t="s">
        <v>5004</v>
      </c>
    </row>
    <row r="1851" spans="2:9">
      <c r="B1851" s="129"/>
      <c r="C1851" s="130"/>
      <c r="D1851" s="130"/>
      <c r="E1851" s="130"/>
      <c r="F1851" s="130"/>
      <c r="G1851" s="130"/>
      <c r="H1851" s="130"/>
      <c r="I1851" s="130"/>
    </row>
    <row r="1852" spans="2:9">
      <c r="B1852" s="129"/>
      <c r="C1852" s="130"/>
      <c r="D1852" s="130"/>
      <c r="E1852" s="130"/>
      <c r="F1852" s="130"/>
      <c r="G1852" s="130"/>
      <c r="H1852" s="130"/>
      <c r="I1852" s="130"/>
    </row>
    <row r="1853" spans="2:9">
      <c r="B1853" s="129">
        <v>611</v>
      </c>
      <c r="C1853" s="130" t="s">
        <v>5184</v>
      </c>
      <c r="D1853" s="130" t="s">
        <v>5297</v>
      </c>
      <c r="E1853" s="130" t="s">
        <v>5185</v>
      </c>
      <c r="F1853" s="130" t="s">
        <v>5012</v>
      </c>
      <c r="G1853" s="130">
        <v>0</v>
      </c>
      <c r="H1853" s="130">
        <v>49999</v>
      </c>
      <c r="I1853" s="130" t="s">
        <v>5029</v>
      </c>
    </row>
    <row r="1854" spans="2:9">
      <c r="B1854" s="129"/>
      <c r="C1854" s="130"/>
      <c r="D1854" s="130"/>
      <c r="E1854" s="130"/>
      <c r="F1854" s="130"/>
      <c r="G1854" s="130"/>
      <c r="H1854" s="130"/>
      <c r="I1854" s="130"/>
    </row>
    <row r="1855" spans="2:9">
      <c r="B1855" s="129"/>
      <c r="C1855" s="130"/>
      <c r="D1855" s="130"/>
      <c r="E1855" s="130"/>
      <c r="F1855" s="130"/>
      <c r="G1855" s="130"/>
      <c r="H1855" s="130"/>
      <c r="I1855" s="130"/>
    </row>
    <row r="1856" spans="2:9">
      <c r="B1856" s="129">
        <v>612</v>
      </c>
      <c r="C1856" s="130" t="s">
        <v>5112</v>
      </c>
      <c r="D1856" s="130" t="s">
        <v>5297</v>
      </c>
      <c r="E1856" s="130" t="s">
        <v>5260</v>
      </c>
      <c r="F1856" s="130" t="s">
        <v>5012</v>
      </c>
      <c r="G1856" s="130">
        <v>20000</v>
      </c>
      <c r="H1856" s="130">
        <v>49999</v>
      </c>
      <c r="I1856" s="130" t="s">
        <v>5029</v>
      </c>
    </row>
    <row r="1857" spans="2:9">
      <c r="B1857" s="129"/>
      <c r="C1857" s="130"/>
      <c r="D1857" s="130"/>
      <c r="E1857" s="130"/>
      <c r="F1857" s="130"/>
      <c r="G1857" s="130"/>
      <c r="H1857" s="130"/>
      <c r="I1857" s="130"/>
    </row>
    <row r="1858" spans="2:9">
      <c r="B1858" s="129"/>
      <c r="C1858" s="130"/>
      <c r="D1858" s="130"/>
      <c r="E1858" s="130"/>
      <c r="F1858" s="130"/>
      <c r="G1858" s="130"/>
      <c r="H1858" s="130"/>
      <c r="I1858" s="130"/>
    </row>
    <row r="1859" spans="2:9">
      <c r="B1859" s="129">
        <v>613</v>
      </c>
      <c r="C1859" s="130" t="s">
        <v>5218</v>
      </c>
      <c r="D1859" s="130" t="s">
        <v>5297</v>
      </c>
      <c r="E1859" s="130" t="s">
        <v>5075</v>
      </c>
      <c r="F1859" s="130" t="s">
        <v>5012</v>
      </c>
      <c r="G1859" s="130">
        <v>50000</v>
      </c>
      <c r="H1859" s="130">
        <v>99999</v>
      </c>
      <c r="I1859" s="130" t="s">
        <v>5029</v>
      </c>
    </row>
    <row r="1860" spans="2:9">
      <c r="B1860" s="129"/>
      <c r="C1860" s="130"/>
      <c r="D1860" s="130"/>
      <c r="E1860" s="130"/>
      <c r="F1860" s="130"/>
      <c r="G1860" s="130"/>
      <c r="H1860" s="130"/>
      <c r="I1860" s="130"/>
    </row>
    <row r="1861" spans="2:9">
      <c r="B1861" s="129"/>
      <c r="C1861" s="130"/>
      <c r="D1861" s="130"/>
      <c r="E1861" s="130"/>
      <c r="F1861" s="130"/>
      <c r="G1861" s="130"/>
      <c r="H1861" s="130"/>
      <c r="I1861" s="130"/>
    </row>
    <row r="1862" spans="2:9">
      <c r="B1862" s="129">
        <v>614</v>
      </c>
      <c r="C1862" s="130" t="s">
        <v>5218</v>
      </c>
      <c r="D1862" s="130" t="s">
        <v>5297</v>
      </c>
      <c r="E1862" s="130" t="s">
        <v>5278</v>
      </c>
      <c r="F1862" s="130" t="s">
        <v>5012</v>
      </c>
      <c r="G1862" s="130">
        <v>50000</v>
      </c>
      <c r="H1862" s="130">
        <v>99999</v>
      </c>
      <c r="I1862" s="130" t="s">
        <v>5029</v>
      </c>
    </row>
    <row r="1863" spans="2:9">
      <c r="B1863" s="129"/>
      <c r="C1863" s="130"/>
      <c r="D1863" s="130"/>
      <c r="E1863" s="130"/>
      <c r="F1863" s="130"/>
      <c r="G1863" s="130"/>
      <c r="H1863" s="130"/>
      <c r="I1863" s="130"/>
    </row>
    <row r="1864" spans="2:9">
      <c r="B1864" s="129"/>
      <c r="C1864" s="130"/>
      <c r="D1864" s="130"/>
      <c r="E1864" s="130"/>
      <c r="F1864" s="130"/>
      <c r="G1864" s="130"/>
      <c r="H1864" s="130"/>
      <c r="I1864" s="130"/>
    </row>
    <row r="1865" spans="2:9">
      <c r="B1865" s="129">
        <v>615</v>
      </c>
      <c r="C1865" s="130" t="s">
        <v>5218</v>
      </c>
      <c r="D1865" s="130" t="s">
        <v>5303</v>
      </c>
      <c r="E1865" s="130" t="s">
        <v>5298</v>
      </c>
      <c r="F1865" s="130" t="s">
        <v>5290</v>
      </c>
      <c r="G1865" s="130">
        <v>50000</v>
      </c>
      <c r="H1865" s="130">
        <v>100000</v>
      </c>
      <c r="I1865" s="130" t="s">
        <v>5004</v>
      </c>
    </row>
    <row r="1866" spans="2:9">
      <c r="B1866" s="129"/>
      <c r="C1866" s="130"/>
      <c r="D1866" s="130"/>
      <c r="E1866" s="130"/>
      <c r="F1866" s="130"/>
      <c r="G1866" s="130"/>
      <c r="H1866" s="130"/>
      <c r="I1866" s="130"/>
    </row>
    <row r="1867" spans="2:9">
      <c r="B1867" s="129"/>
      <c r="C1867" s="130"/>
      <c r="D1867" s="130"/>
      <c r="E1867" s="130"/>
      <c r="F1867" s="130"/>
      <c r="G1867" s="130"/>
      <c r="H1867" s="130"/>
      <c r="I1867" s="130"/>
    </row>
    <row r="1868" spans="2:9">
      <c r="B1868" s="129">
        <v>616</v>
      </c>
      <c r="C1868" s="130" t="s">
        <v>5218</v>
      </c>
      <c r="D1868" s="130" t="s">
        <v>5303</v>
      </c>
      <c r="E1868" s="130" t="s">
        <v>5296</v>
      </c>
      <c r="F1868" s="130" t="s">
        <v>5288</v>
      </c>
      <c r="G1868" s="130">
        <v>1000</v>
      </c>
      <c r="H1868" s="130">
        <v>50000</v>
      </c>
      <c r="I1868" s="130" t="s">
        <v>5004</v>
      </c>
    </row>
    <row r="1869" spans="2:9">
      <c r="B1869" s="129"/>
      <c r="C1869" s="130"/>
      <c r="D1869" s="130"/>
      <c r="E1869" s="130"/>
      <c r="F1869" s="130"/>
      <c r="G1869" s="130"/>
      <c r="H1869" s="130"/>
      <c r="I1869" s="130"/>
    </row>
    <row r="1870" spans="2:9">
      <c r="B1870" s="129"/>
      <c r="C1870" s="130"/>
      <c r="D1870" s="130"/>
      <c r="E1870" s="130"/>
      <c r="F1870" s="130"/>
      <c r="G1870" s="130"/>
      <c r="H1870" s="130"/>
      <c r="I1870" s="130"/>
    </row>
    <row r="1871" spans="2:9">
      <c r="B1871" s="129">
        <v>617</v>
      </c>
      <c r="C1871" s="130" t="s">
        <v>5238</v>
      </c>
      <c r="D1871" s="130" t="s">
        <v>5303</v>
      </c>
      <c r="E1871" s="130" t="s">
        <v>5240</v>
      </c>
      <c r="F1871" s="130" t="s">
        <v>5050</v>
      </c>
      <c r="G1871" s="130">
        <v>1000</v>
      </c>
      <c r="H1871" s="130">
        <v>20000</v>
      </c>
      <c r="I1871" s="130" t="s">
        <v>5004</v>
      </c>
    </row>
    <row r="1872" spans="2:9">
      <c r="B1872" s="129"/>
      <c r="C1872" s="130"/>
      <c r="D1872" s="130"/>
      <c r="E1872" s="130"/>
      <c r="F1872" s="130"/>
      <c r="G1872" s="130"/>
      <c r="H1872" s="130"/>
      <c r="I1872" s="130"/>
    </row>
    <row r="1873" spans="2:9">
      <c r="B1873" s="129"/>
      <c r="C1873" s="130"/>
      <c r="D1873" s="130"/>
      <c r="E1873" s="130"/>
      <c r="F1873" s="130"/>
      <c r="G1873" s="130"/>
      <c r="H1873" s="130"/>
      <c r="I1873" s="130"/>
    </row>
    <row r="1874" spans="2:9">
      <c r="B1874" s="129">
        <v>618</v>
      </c>
      <c r="C1874" s="130" t="s">
        <v>5301</v>
      </c>
      <c r="D1874" s="130" t="s">
        <v>5303</v>
      </c>
      <c r="E1874" s="130" t="s">
        <v>5302</v>
      </c>
      <c r="F1874" s="130" t="s">
        <v>5033</v>
      </c>
      <c r="G1874" s="130">
        <v>100000</v>
      </c>
      <c r="H1874" s="130" t="s">
        <v>5037</v>
      </c>
      <c r="I1874" s="130" t="s">
        <v>5004</v>
      </c>
    </row>
    <row r="1875" spans="2:9">
      <c r="B1875" s="129"/>
      <c r="C1875" s="130"/>
      <c r="D1875" s="130"/>
      <c r="E1875" s="130"/>
      <c r="F1875" s="130"/>
      <c r="G1875" s="130"/>
      <c r="H1875" s="130"/>
      <c r="I1875" s="130"/>
    </row>
    <row r="1876" spans="2:9">
      <c r="B1876" s="129"/>
      <c r="C1876" s="130"/>
      <c r="D1876" s="130"/>
      <c r="E1876" s="130"/>
      <c r="F1876" s="130"/>
      <c r="G1876" s="130"/>
      <c r="H1876" s="130"/>
      <c r="I1876" s="130"/>
    </row>
    <row r="1877" spans="2:9">
      <c r="B1877" s="129">
        <v>619</v>
      </c>
      <c r="C1877" s="130" t="s">
        <v>5009</v>
      </c>
      <c r="D1877" s="130" t="s">
        <v>5304</v>
      </c>
      <c r="E1877" s="130" t="s">
        <v>5228</v>
      </c>
      <c r="F1877" s="130" t="s">
        <v>5008</v>
      </c>
      <c r="G1877" s="130">
        <v>5000</v>
      </c>
      <c r="H1877" s="130" t="s">
        <v>5037</v>
      </c>
      <c r="I1877" s="130" t="s">
        <v>5013</v>
      </c>
    </row>
    <row r="1878" spans="2:9">
      <c r="B1878" s="129"/>
      <c r="C1878" s="130"/>
      <c r="D1878" s="130"/>
      <c r="E1878" s="130"/>
      <c r="F1878" s="130"/>
      <c r="G1878" s="130"/>
      <c r="H1878" s="130"/>
      <c r="I1878" s="130"/>
    </row>
    <row r="1879" spans="2:9">
      <c r="B1879" s="129"/>
      <c r="C1879" s="130"/>
      <c r="D1879" s="130"/>
      <c r="E1879" s="130"/>
      <c r="F1879" s="130"/>
      <c r="G1879" s="130"/>
      <c r="H1879" s="130"/>
      <c r="I1879" s="130"/>
    </row>
    <row r="1880" spans="2:9">
      <c r="B1880" s="129">
        <v>620</v>
      </c>
      <c r="C1880" s="130" t="s">
        <v>5218</v>
      </c>
      <c r="D1880" s="130" t="s">
        <v>5305</v>
      </c>
      <c r="E1880" s="130" t="s">
        <v>5298</v>
      </c>
      <c r="F1880" s="130" t="s">
        <v>5290</v>
      </c>
      <c r="G1880" s="130">
        <v>1000</v>
      </c>
      <c r="H1880" s="130">
        <v>50000</v>
      </c>
      <c r="I1880" s="130" t="s">
        <v>5004</v>
      </c>
    </row>
    <row r="1881" spans="2:9">
      <c r="B1881" s="129"/>
      <c r="C1881" s="130"/>
      <c r="D1881" s="130"/>
      <c r="E1881" s="130"/>
      <c r="F1881" s="130"/>
      <c r="G1881" s="130"/>
      <c r="H1881" s="130"/>
      <c r="I1881" s="130"/>
    </row>
    <row r="1882" spans="2:9">
      <c r="B1882" s="129"/>
      <c r="C1882" s="130"/>
      <c r="D1882" s="130"/>
      <c r="E1882" s="130"/>
      <c r="F1882" s="130"/>
      <c r="G1882" s="130"/>
      <c r="H1882" s="130"/>
      <c r="I1882" s="130"/>
    </row>
    <row r="1883" spans="2:9">
      <c r="B1883" s="129">
        <v>621</v>
      </c>
      <c r="C1883" s="130" t="s">
        <v>5238</v>
      </c>
      <c r="D1883" s="130" t="s">
        <v>5305</v>
      </c>
      <c r="E1883" s="130" t="s">
        <v>5240</v>
      </c>
      <c r="F1883" s="130" t="s">
        <v>5003</v>
      </c>
      <c r="G1883" s="130">
        <v>20000</v>
      </c>
      <c r="H1883" s="130" t="s">
        <v>5037</v>
      </c>
      <c r="I1883" s="130" t="s">
        <v>5004</v>
      </c>
    </row>
    <row r="1884" spans="2:9">
      <c r="B1884" s="129"/>
      <c r="C1884" s="130"/>
      <c r="D1884" s="130"/>
      <c r="E1884" s="130"/>
      <c r="F1884" s="130"/>
      <c r="G1884" s="130"/>
      <c r="H1884" s="130"/>
      <c r="I1884" s="130"/>
    </row>
    <row r="1885" spans="2:9">
      <c r="B1885" s="129"/>
      <c r="C1885" s="130"/>
      <c r="D1885" s="130"/>
      <c r="E1885" s="130"/>
      <c r="F1885" s="130"/>
      <c r="G1885" s="130"/>
      <c r="H1885" s="130"/>
      <c r="I1885" s="130"/>
    </row>
    <row r="1886" spans="2:9">
      <c r="B1886" s="129">
        <v>622</v>
      </c>
      <c r="C1886" s="130" t="s">
        <v>5188</v>
      </c>
      <c r="D1886" s="130" t="s">
        <v>5305</v>
      </c>
      <c r="E1886" s="130" t="s">
        <v>5213</v>
      </c>
      <c r="F1886" s="130" t="s">
        <v>5008</v>
      </c>
      <c r="G1886" s="130">
        <v>100000</v>
      </c>
      <c r="H1886" s="130" t="s">
        <v>5037</v>
      </c>
      <c r="I1886" s="130" t="s">
        <v>5004</v>
      </c>
    </row>
    <row r="1887" spans="2:9">
      <c r="B1887" s="129"/>
      <c r="C1887" s="130"/>
      <c r="D1887" s="130"/>
      <c r="E1887" s="130"/>
      <c r="F1887" s="130"/>
      <c r="G1887" s="130"/>
      <c r="H1887" s="130"/>
      <c r="I1887" s="130"/>
    </row>
    <row r="1888" spans="2:9">
      <c r="B1888" s="129"/>
      <c r="C1888" s="130"/>
      <c r="D1888" s="130"/>
      <c r="E1888" s="130"/>
      <c r="F1888" s="130"/>
      <c r="G1888" s="130"/>
      <c r="H1888" s="130"/>
      <c r="I1888" s="130"/>
    </row>
    <row r="1889" spans="2:9">
      <c r="B1889" s="129">
        <v>623</v>
      </c>
      <c r="C1889" s="130" t="s">
        <v>5125</v>
      </c>
      <c r="D1889" s="130" t="s">
        <v>5305</v>
      </c>
      <c r="E1889" s="130" t="s">
        <v>5198</v>
      </c>
      <c r="F1889" s="130" t="s">
        <v>5003</v>
      </c>
      <c r="G1889" s="130">
        <v>500000</v>
      </c>
      <c r="H1889" s="130" t="s">
        <v>5037</v>
      </c>
      <c r="I1889" s="130" t="s">
        <v>5004</v>
      </c>
    </row>
    <row r="1890" spans="2:9">
      <c r="B1890" s="129"/>
      <c r="C1890" s="130"/>
      <c r="D1890" s="130"/>
      <c r="E1890" s="130"/>
      <c r="F1890" s="130"/>
      <c r="G1890" s="130"/>
      <c r="H1890" s="130"/>
      <c r="I1890" s="130"/>
    </row>
    <row r="1891" spans="2:9">
      <c r="B1891" s="129"/>
      <c r="C1891" s="130"/>
      <c r="D1891" s="130"/>
      <c r="E1891" s="130"/>
      <c r="F1891" s="130"/>
      <c r="G1891" s="130"/>
      <c r="H1891" s="130"/>
      <c r="I1891" s="130"/>
    </row>
    <row r="1892" spans="2:9">
      <c r="B1892" s="129">
        <v>624</v>
      </c>
      <c r="C1892" s="130" t="s">
        <v>5125</v>
      </c>
      <c r="D1892" s="130" t="s">
        <v>5305</v>
      </c>
      <c r="E1892" s="130" t="s">
        <v>5198</v>
      </c>
      <c r="F1892" s="130" t="s">
        <v>5008</v>
      </c>
      <c r="G1892" s="130">
        <v>500000</v>
      </c>
      <c r="H1892" s="130" t="s">
        <v>5037</v>
      </c>
      <c r="I1892" s="130" t="s">
        <v>5004</v>
      </c>
    </row>
    <row r="1893" spans="2:9">
      <c r="B1893" s="129"/>
      <c r="C1893" s="130"/>
      <c r="D1893" s="130"/>
      <c r="E1893" s="130"/>
      <c r="F1893" s="130"/>
      <c r="G1893" s="130"/>
      <c r="H1893" s="130"/>
      <c r="I1893" s="130"/>
    </row>
    <row r="1894" spans="2:9">
      <c r="B1894" s="129"/>
      <c r="C1894" s="130"/>
      <c r="D1894" s="130"/>
      <c r="E1894" s="130"/>
      <c r="F1894" s="130"/>
      <c r="G1894" s="130"/>
      <c r="H1894" s="130"/>
      <c r="I1894" s="130"/>
    </row>
    <row r="1895" spans="2:9">
      <c r="B1895" s="129">
        <v>625</v>
      </c>
      <c r="C1895" s="130" t="s">
        <v>5102</v>
      </c>
      <c r="D1895" s="130" t="s">
        <v>5305</v>
      </c>
      <c r="E1895" s="130" t="s">
        <v>5132</v>
      </c>
      <c r="F1895" s="130" t="s">
        <v>5003</v>
      </c>
      <c r="G1895" s="130">
        <v>1000</v>
      </c>
      <c r="H1895" s="130" t="s">
        <v>5037</v>
      </c>
      <c r="I1895" s="130" t="s">
        <v>5004</v>
      </c>
    </row>
    <row r="1896" spans="2:9">
      <c r="B1896" s="129"/>
      <c r="C1896" s="130"/>
      <c r="D1896" s="130"/>
      <c r="E1896" s="130"/>
      <c r="F1896" s="130"/>
      <c r="G1896" s="130"/>
      <c r="H1896" s="130"/>
      <c r="I1896" s="130"/>
    </row>
    <row r="1897" spans="2:9">
      <c r="B1897" s="129"/>
      <c r="C1897" s="130"/>
      <c r="D1897" s="130"/>
      <c r="E1897" s="130"/>
      <c r="F1897" s="130"/>
      <c r="G1897" s="130"/>
      <c r="H1897" s="130"/>
      <c r="I1897" s="130"/>
    </row>
    <row r="1898" spans="2:9">
      <c r="B1898" s="129">
        <v>626</v>
      </c>
      <c r="C1898" s="130" t="s">
        <v>5128</v>
      </c>
      <c r="D1898" s="130" t="s">
        <v>5305</v>
      </c>
      <c r="E1898" s="130" t="s">
        <v>5127</v>
      </c>
      <c r="F1898" s="130" t="s">
        <v>5033</v>
      </c>
      <c r="G1898" s="130">
        <v>50000</v>
      </c>
      <c r="H1898" s="130" t="s">
        <v>5037</v>
      </c>
      <c r="I1898" s="130" t="s">
        <v>5004</v>
      </c>
    </row>
    <row r="1899" spans="2:9">
      <c r="B1899" s="129"/>
      <c r="C1899" s="130"/>
      <c r="D1899" s="130"/>
      <c r="E1899" s="130"/>
      <c r="F1899" s="130"/>
      <c r="G1899" s="130"/>
      <c r="H1899" s="130"/>
      <c r="I1899" s="130"/>
    </row>
    <row r="1900" spans="2:9">
      <c r="B1900" s="129"/>
      <c r="C1900" s="130"/>
      <c r="D1900" s="130"/>
      <c r="E1900" s="130"/>
      <c r="F1900" s="130"/>
      <c r="G1900" s="130"/>
      <c r="H1900" s="130"/>
      <c r="I1900" s="130"/>
    </row>
    <row r="1901" spans="2:9">
      <c r="B1901" s="129">
        <v>627</v>
      </c>
      <c r="C1901" s="130" t="s">
        <v>5128</v>
      </c>
      <c r="D1901" s="130" t="s">
        <v>5305</v>
      </c>
      <c r="E1901" s="130" t="s">
        <v>5127</v>
      </c>
      <c r="F1901" s="130" t="s">
        <v>5117</v>
      </c>
      <c r="G1901" s="130">
        <v>1000</v>
      </c>
      <c r="H1901" s="130">
        <v>9999</v>
      </c>
      <c r="I1901" s="130" t="s">
        <v>5004</v>
      </c>
    </row>
    <row r="1902" spans="2:9">
      <c r="B1902" s="129"/>
      <c r="C1902" s="130"/>
      <c r="D1902" s="130"/>
      <c r="E1902" s="130"/>
      <c r="F1902" s="130"/>
      <c r="G1902" s="130"/>
      <c r="H1902" s="130"/>
      <c r="I1902" s="130"/>
    </row>
    <row r="1903" spans="2:9">
      <c r="B1903" s="129"/>
      <c r="C1903" s="130"/>
      <c r="D1903" s="130"/>
      <c r="E1903" s="130"/>
      <c r="F1903" s="130"/>
      <c r="G1903" s="130"/>
      <c r="H1903" s="130"/>
      <c r="I1903" s="130"/>
    </row>
    <row r="1904" spans="2:9">
      <c r="B1904" s="129">
        <v>628</v>
      </c>
      <c r="C1904" s="130" t="s">
        <v>5128</v>
      </c>
      <c r="D1904" s="130" t="s">
        <v>5305</v>
      </c>
      <c r="E1904" s="130" t="s">
        <v>5127</v>
      </c>
      <c r="F1904" s="130" t="s">
        <v>5043</v>
      </c>
      <c r="G1904" s="130">
        <v>1000</v>
      </c>
      <c r="H1904" s="130">
        <v>9999</v>
      </c>
      <c r="I1904" s="130" t="s">
        <v>5004</v>
      </c>
    </row>
    <row r="1905" spans="2:9">
      <c r="B1905" s="129"/>
      <c r="C1905" s="130"/>
      <c r="D1905" s="130"/>
      <c r="E1905" s="130"/>
      <c r="F1905" s="130"/>
      <c r="G1905" s="130"/>
      <c r="H1905" s="130"/>
      <c r="I1905" s="130"/>
    </row>
    <row r="1906" spans="2:9">
      <c r="B1906" s="129"/>
      <c r="C1906" s="130"/>
      <c r="D1906" s="130"/>
      <c r="E1906" s="130"/>
      <c r="F1906" s="130"/>
      <c r="G1906" s="130"/>
      <c r="H1906" s="130"/>
      <c r="I1906" s="130"/>
    </row>
    <row r="1907" spans="2:9">
      <c r="B1907" s="129">
        <v>629</v>
      </c>
      <c r="C1907" s="130" t="s">
        <v>5128</v>
      </c>
      <c r="D1907" s="130" t="s">
        <v>5305</v>
      </c>
      <c r="E1907" s="130" t="s">
        <v>5127</v>
      </c>
      <c r="F1907" s="130" t="s">
        <v>5085</v>
      </c>
      <c r="G1907" s="130">
        <v>1000</v>
      </c>
      <c r="H1907" s="130">
        <v>9999</v>
      </c>
      <c r="I1907" s="130" t="s">
        <v>5004</v>
      </c>
    </row>
    <row r="1908" spans="2:9">
      <c r="B1908" s="129"/>
      <c r="C1908" s="130"/>
      <c r="D1908" s="130"/>
      <c r="E1908" s="130"/>
      <c r="F1908" s="130"/>
      <c r="G1908" s="130"/>
      <c r="H1908" s="130"/>
      <c r="I1908" s="130"/>
    </row>
    <row r="1909" spans="2:9">
      <c r="B1909" s="129"/>
      <c r="C1909" s="130"/>
      <c r="D1909" s="130"/>
      <c r="E1909" s="130"/>
      <c r="F1909" s="130"/>
      <c r="G1909" s="130"/>
      <c r="H1909" s="130"/>
      <c r="I1909" s="130"/>
    </row>
    <row r="1910" spans="2:9">
      <c r="B1910" s="129">
        <v>630</v>
      </c>
      <c r="C1910" s="130" t="s">
        <v>5095</v>
      </c>
      <c r="D1910" s="130" t="s">
        <v>5305</v>
      </c>
      <c r="E1910" s="130" t="s">
        <v>5205</v>
      </c>
      <c r="F1910" s="130" t="s">
        <v>5008</v>
      </c>
      <c r="G1910" s="130">
        <v>10000</v>
      </c>
      <c r="H1910" s="130">
        <v>24999</v>
      </c>
      <c r="I1910" s="130" t="s">
        <v>5004</v>
      </c>
    </row>
    <row r="1911" spans="2:9">
      <c r="B1911" s="129"/>
      <c r="C1911" s="130"/>
      <c r="D1911" s="130"/>
      <c r="E1911" s="130"/>
      <c r="F1911" s="130"/>
      <c r="G1911" s="130"/>
      <c r="H1911" s="130"/>
      <c r="I1911" s="130"/>
    </row>
    <row r="1912" spans="2:9">
      <c r="B1912" s="129"/>
      <c r="C1912" s="130"/>
      <c r="D1912" s="130"/>
      <c r="E1912" s="130"/>
      <c r="F1912" s="130"/>
      <c r="G1912" s="130"/>
      <c r="H1912" s="130"/>
      <c r="I1912" s="130"/>
    </row>
    <row r="1913" spans="2:9">
      <c r="B1913" s="129">
        <v>631</v>
      </c>
      <c r="C1913" s="130" t="s">
        <v>5253</v>
      </c>
      <c r="D1913" s="130" t="s">
        <v>5305</v>
      </c>
      <c r="E1913" s="130" t="s">
        <v>5291</v>
      </c>
      <c r="F1913" s="130" t="s">
        <v>5033</v>
      </c>
      <c r="G1913" s="130">
        <v>1000</v>
      </c>
      <c r="H1913" s="130">
        <v>20000</v>
      </c>
      <c r="I1913" s="130" t="s">
        <v>5013</v>
      </c>
    </row>
    <row r="1914" spans="2:9">
      <c r="B1914" s="129"/>
      <c r="C1914" s="130"/>
      <c r="D1914" s="130"/>
      <c r="E1914" s="130"/>
      <c r="F1914" s="130"/>
      <c r="G1914" s="130"/>
      <c r="H1914" s="130"/>
      <c r="I1914" s="130"/>
    </row>
    <row r="1915" spans="2:9">
      <c r="B1915" s="129"/>
      <c r="C1915" s="130"/>
      <c r="D1915" s="130"/>
      <c r="E1915" s="130"/>
      <c r="F1915" s="130"/>
      <c r="G1915" s="130"/>
      <c r="H1915" s="130"/>
      <c r="I1915" s="130"/>
    </row>
    <row r="1916" spans="2:9">
      <c r="B1916" s="129">
        <v>632</v>
      </c>
      <c r="C1916" s="130" t="s">
        <v>5253</v>
      </c>
      <c r="D1916" s="130" t="s">
        <v>5305</v>
      </c>
      <c r="E1916" s="130" t="s">
        <v>5132</v>
      </c>
      <c r="F1916" s="130" t="s">
        <v>5026</v>
      </c>
      <c r="G1916" s="130">
        <v>1000</v>
      </c>
      <c r="H1916" s="130" t="s">
        <v>5037</v>
      </c>
      <c r="I1916" s="130" t="s">
        <v>5004</v>
      </c>
    </row>
    <row r="1917" spans="2:9">
      <c r="B1917" s="129"/>
      <c r="C1917" s="130"/>
      <c r="D1917" s="130"/>
      <c r="E1917" s="130"/>
      <c r="F1917" s="130"/>
      <c r="G1917" s="130"/>
      <c r="H1917" s="130"/>
      <c r="I1917" s="130"/>
    </row>
    <row r="1918" spans="2:9">
      <c r="B1918" s="129"/>
      <c r="C1918" s="130"/>
      <c r="D1918" s="130"/>
      <c r="E1918" s="130"/>
      <c r="F1918" s="130"/>
      <c r="G1918" s="130"/>
      <c r="H1918" s="130"/>
      <c r="I1918" s="130"/>
    </row>
    <row r="1919" spans="2:9">
      <c r="B1919" s="129">
        <v>633</v>
      </c>
      <c r="C1919" s="130" t="s">
        <v>5253</v>
      </c>
      <c r="D1919" s="130" t="s">
        <v>5305</v>
      </c>
      <c r="E1919" s="130" t="s">
        <v>5132</v>
      </c>
      <c r="F1919" s="130" t="s">
        <v>5026</v>
      </c>
      <c r="G1919" s="130">
        <v>1000</v>
      </c>
      <c r="H1919" s="130" t="s">
        <v>5037</v>
      </c>
      <c r="I1919" s="130" t="s">
        <v>5004</v>
      </c>
    </row>
    <row r="1920" spans="2:9">
      <c r="B1920" s="129"/>
      <c r="C1920" s="130"/>
      <c r="D1920" s="130"/>
      <c r="E1920" s="130"/>
      <c r="F1920" s="130"/>
      <c r="G1920" s="130"/>
      <c r="H1920" s="130"/>
      <c r="I1920" s="130"/>
    </row>
    <row r="1921" spans="2:9">
      <c r="B1921" s="129"/>
      <c r="C1921" s="130"/>
      <c r="D1921" s="130"/>
      <c r="E1921" s="130"/>
      <c r="F1921" s="130"/>
      <c r="G1921" s="130"/>
      <c r="H1921" s="130"/>
      <c r="I1921" s="130"/>
    </row>
    <row r="1922" spans="2:9">
      <c r="B1922" s="129">
        <v>634</v>
      </c>
      <c r="C1922" s="130" t="s">
        <v>5253</v>
      </c>
      <c r="D1922" s="130" t="s">
        <v>5305</v>
      </c>
      <c r="E1922" s="130" t="s">
        <v>5282</v>
      </c>
      <c r="F1922" s="130" t="s">
        <v>5003</v>
      </c>
      <c r="G1922" s="130">
        <v>1000</v>
      </c>
      <c r="H1922" s="130" t="s">
        <v>5037</v>
      </c>
      <c r="I1922" s="130" t="s">
        <v>5004</v>
      </c>
    </row>
    <row r="1923" spans="2:9">
      <c r="B1923" s="129"/>
      <c r="C1923" s="130"/>
      <c r="D1923" s="130"/>
      <c r="E1923" s="130"/>
      <c r="F1923" s="130"/>
      <c r="G1923" s="130"/>
      <c r="H1923" s="130"/>
      <c r="I1923" s="130"/>
    </row>
    <row r="1924" spans="2:9">
      <c r="B1924" s="129"/>
      <c r="C1924" s="130"/>
      <c r="D1924" s="130"/>
      <c r="E1924" s="130"/>
      <c r="F1924" s="130"/>
      <c r="G1924" s="130"/>
      <c r="H1924" s="130"/>
      <c r="I1924" s="130"/>
    </row>
    <row r="1925" spans="2:9">
      <c r="B1925" s="129">
        <v>635</v>
      </c>
      <c r="C1925" s="130" t="s">
        <v>5256</v>
      </c>
      <c r="D1925" s="130" t="s">
        <v>5305</v>
      </c>
      <c r="E1925" s="130" t="s">
        <v>5306</v>
      </c>
      <c r="F1925" s="130" t="s">
        <v>5026</v>
      </c>
      <c r="G1925" s="130">
        <v>3000</v>
      </c>
      <c r="H1925" s="130" t="s">
        <v>5037</v>
      </c>
      <c r="I1925" s="130" t="s">
        <v>5004</v>
      </c>
    </row>
    <row r="1926" spans="2:9">
      <c r="B1926" s="129"/>
      <c r="C1926" s="130"/>
      <c r="D1926" s="130"/>
      <c r="E1926" s="130"/>
      <c r="F1926" s="130"/>
      <c r="G1926" s="130"/>
      <c r="H1926" s="130"/>
      <c r="I1926" s="130"/>
    </row>
    <row r="1927" spans="2:9">
      <c r="B1927" s="129"/>
      <c r="C1927" s="130"/>
      <c r="D1927" s="130"/>
      <c r="E1927" s="130"/>
      <c r="F1927" s="130"/>
      <c r="G1927" s="130"/>
      <c r="H1927" s="130"/>
      <c r="I1927" s="130"/>
    </row>
    <row r="1928" spans="2:9">
      <c r="B1928" s="129">
        <v>636</v>
      </c>
      <c r="C1928" s="130" t="s">
        <v>5301</v>
      </c>
      <c r="D1928" s="130" t="s">
        <v>5305</v>
      </c>
      <c r="E1928" s="130" t="s">
        <v>5302</v>
      </c>
      <c r="F1928" s="130" t="s">
        <v>5050</v>
      </c>
      <c r="G1928" s="130">
        <v>100000</v>
      </c>
      <c r="H1928" s="130" t="s">
        <v>5037</v>
      </c>
      <c r="I1928" s="130" t="s">
        <v>5004</v>
      </c>
    </row>
    <row r="1929" spans="2:9">
      <c r="B1929" s="129"/>
      <c r="C1929" s="130"/>
      <c r="D1929" s="130"/>
      <c r="E1929" s="130"/>
      <c r="F1929" s="130"/>
      <c r="G1929" s="130"/>
      <c r="H1929" s="130"/>
      <c r="I1929" s="130"/>
    </row>
    <row r="1930" spans="2:9">
      <c r="B1930" s="129"/>
      <c r="C1930" s="130"/>
      <c r="D1930" s="130"/>
      <c r="E1930" s="130"/>
      <c r="F1930" s="130"/>
      <c r="G1930" s="130"/>
      <c r="H1930" s="130"/>
      <c r="I1930" s="130"/>
    </row>
    <row r="1931" spans="2:9">
      <c r="B1931" s="129">
        <v>637</v>
      </c>
      <c r="C1931" s="130" t="s">
        <v>5034</v>
      </c>
      <c r="D1931" s="130" t="s">
        <v>5305</v>
      </c>
      <c r="E1931" s="130" t="s">
        <v>5036</v>
      </c>
      <c r="F1931" s="130" t="s">
        <v>5111</v>
      </c>
      <c r="G1931" s="130">
        <v>10000</v>
      </c>
      <c r="H1931" s="130" t="s">
        <v>5037</v>
      </c>
      <c r="I1931" s="130" t="s">
        <v>5004</v>
      </c>
    </row>
    <row r="1932" spans="2:9">
      <c r="B1932" s="129"/>
      <c r="C1932" s="130"/>
      <c r="D1932" s="130"/>
      <c r="E1932" s="130"/>
      <c r="F1932" s="130"/>
      <c r="G1932" s="130"/>
      <c r="H1932" s="130"/>
      <c r="I1932" s="130"/>
    </row>
    <row r="1933" spans="2:9">
      <c r="B1933" s="129"/>
      <c r="C1933" s="130"/>
      <c r="D1933" s="130"/>
      <c r="E1933" s="130"/>
      <c r="F1933" s="130"/>
      <c r="G1933" s="130"/>
      <c r="H1933" s="130"/>
      <c r="I1933" s="130"/>
    </row>
    <row r="1934" spans="2:9">
      <c r="B1934" s="129">
        <v>638</v>
      </c>
      <c r="C1934" s="130" t="s">
        <v>5238</v>
      </c>
      <c r="D1934" s="130" t="s">
        <v>5307</v>
      </c>
      <c r="E1934" s="130" t="s">
        <v>5240</v>
      </c>
      <c r="F1934" s="130" t="s">
        <v>5008</v>
      </c>
      <c r="G1934" s="130">
        <v>1000</v>
      </c>
      <c r="H1934" s="130">
        <v>20000</v>
      </c>
      <c r="I1934" s="130" t="s">
        <v>5004</v>
      </c>
    </row>
    <row r="1935" spans="2:9">
      <c r="B1935" s="129"/>
      <c r="C1935" s="130"/>
      <c r="D1935" s="130"/>
      <c r="E1935" s="130"/>
      <c r="F1935" s="130"/>
      <c r="G1935" s="130"/>
      <c r="H1935" s="130"/>
      <c r="I1935" s="130"/>
    </row>
    <row r="1936" spans="2:9">
      <c r="B1936" s="129"/>
      <c r="C1936" s="130"/>
      <c r="D1936" s="130"/>
      <c r="E1936" s="130"/>
      <c r="F1936" s="130"/>
      <c r="G1936" s="130"/>
      <c r="H1936" s="130"/>
      <c r="I1936" s="130"/>
    </row>
    <row r="1937" spans="2:9">
      <c r="B1937" s="129">
        <v>639</v>
      </c>
      <c r="C1937" s="130" t="s">
        <v>5125</v>
      </c>
      <c r="D1937" s="130" t="s">
        <v>5307</v>
      </c>
      <c r="E1937" s="130" t="s">
        <v>5198</v>
      </c>
      <c r="F1937" s="130" t="s">
        <v>5003</v>
      </c>
      <c r="G1937" s="130">
        <v>100000</v>
      </c>
      <c r="H1937" s="130">
        <v>500000</v>
      </c>
      <c r="I1937" s="130" t="s">
        <v>5004</v>
      </c>
    </row>
    <row r="1938" spans="2:9">
      <c r="B1938" s="129"/>
      <c r="C1938" s="130"/>
      <c r="D1938" s="130"/>
      <c r="E1938" s="130"/>
      <c r="F1938" s="130"/>
      <c r="G1938" s="130"/>
      <c r="H1938" s="130"/>
      <c r="I1938" s="130"/>
    </row>
    <row r="1939" spans="2:9">
      <c r="B1939" s="129"/>
      <c r="C1939" s="130"/>
      <c r="D1939" s="130"/>
      <c r="E1939" s="130"/>
      <c r="F1939" s="130"/>
      <c r="G1939" s="130"/>
      <c r="H1939" s="130"/>
      <c r="I1939" s="130"/>
    </row>
    <row r="1940" spans="2:9">
      <c r="B1940" s="129">
        <v>640</v>
      </c>
      <c r="C1940" s="130" t="s">
        <v>5125</v>
      </c>
      <c r="D1940" s="130" t="s">
        <v>5307</v>
      </c>
      <c r="E1940" s="130" t="s">
        <v>5198</v>
      </c>
      <c r="F1940" s="130" t="s">
        <v>5008</v>
      </c>
      <c r="G1940" s="130">
        <v>100000</v>
      </c>
      <c r="H1940" s="130">
        <v>500000</v>
      </c>
      <c r="I1940" s="130" t="s">
        <v>5004</v>
      </c>
    </row>
    <row r="1941" spans="2:9">
      <c r="B1941" s="129"/>
      <c r="C1941" s="130"/>
      <c r="D1941" s="130"/>
      <c r="E1941" s="130"/>
      <c r="F1941" s="130"/>
      <c r="G1941" s="130"/>
      <c r="H1941" s="130"/>
      <c r="I1941" s="130"/>
    </row>
    <row r="1942" spans="2:9">
      <c r="B1942" s="129"/>
      <c r="C1942" s="130"/>
      <c r="D1942" s="130"/>
      <c r="E1942" s="130"/>
      <c r="F1942" s="130"/>
      <c r="G1942" s="130"/>
      <c r="H1942" s="130"/>
      <c r="I1942" s="130"/>
    </row>
    <row r="1943" spans="2:9">
      <c r="B1943" s="129">
        <v>641</v>
      </c>
      <c r="C1943" s="130" t="s">
        <v>5301</v>
      </c>
      <c r="D1943" s="130" t="s">
        <v>5307</v>
      </c>
      <c r="E1943" s="130" t="s">
        <v>5302</v>
      </c>
      <c r="F1943" s="130" t="s">
        <v>5008</v>
      </c>
      <c r="G1943" s="130">
        <v>100000</v>
      </c>
      <c r="H1943" s="130" t="s">
        <v>5037</v>
      </c>
      <c r="I1943" s="130" t="s">
        <v>5004</v>
      </c>
    </row>
    <row r="1944" spans="2:9">
      <c r="B1944" s="129"/>
      <c r="C1944" s="130"/>
      <c r="D1944" s="130"/>
      <c r="E1944" s="130"/>
      <c r="F1944" s="130"/>
      <c r="G1944" s="130"/>
      <c r="H1944" s="130"/>
      <c r="I1944" s="130"/>
    </row>
    <row r="1945" spans="2:9">
      <c r="B1945" s="129"/>
      <c r="C1945" s="130"/>
      <c r="D1945" s="130"/>
      <c r="E1945" s="130"/>
      <c r="F1945" s="130"/>
      <c r="G1945" s="130"/>
      <c r="H1945" s="130"/>
      <c r="I1945" s="130"/>
    </row>
    <row r="1946" spans="2:9">
      <c r="B1946" s="129">
        <v>642</v>
      </c>
      <c r="C1946" s="130" t="s">
        <v>5208</v>
      </c>
      <c r="D1946" s="130" t="s">
        <v>5307</v>
      </c>
      <c r="E1946" s="130" t="s">
        <v>5308</v>
      </c>
      <c r="F1946" s="130" t="s">
        <v>5026</v>
      </c>
      <c r="G1946" s="130">
        <v>1000</v>
      </c>
      <c r="H1946" s="130" t="s">
        <v>5037</v>
      </c>
      <c r="I1946" s="130" t="s">
        <v>5004</v>
      </c>
    </row>
    <row r="1947" spans="2:9">
      <c r="B1947" s="129"/>
      <c r="C1947" s="130"/>
      <c r="D1947" s="130"/>
      <c r="E1947" s="130"/>
      <c r="F1947" s="130"/>
      <c r="G1947" s="130"/>
      <c r="H1947" s="130"/>
      <c r="I1947" s="130"/>
    </row>
    <row r="1948" spans="2:9">
      <c r="B1948" s="129"/>
      <c r="C1948" s="130"/>
      <c r="D1948" s="130"/>
      <c r="E1948" s="130"/>
      <c r="F1948" s="130"/>
      <c r="G1948" s="130"/>
      <c r="H1948" s="130"/>
      <c r="I1948" s="130"/>
    </row>
    <row r="1949" spans="2:9">
      <c r="B1949" s="129">
        <v>643</v>
      </c>
      <c r="C1949" s="130" t="s">
        <v>5208</v>
      </c>
      <c r="D1949" s="130" t="s">
        <v>5307</v>
      </c>
      <c r="E1949" s="130" t="s">
        <v>5132</v>
      </c>
      <c r="F1949" s="130" t="s">
        <v>5026</v>
      </c>
      <c r="G1949" s="130">
        <v>50000</v>
      </c>
      <c r="H1949" s="130" t="s">
        <v>5037</v>
      </c>
      <c r="I1949" s="130" t="s">
        <v>5004</v>
      </c>
    </row>
    <row r="1950" spans="2:9">
      <c r="B1950" s="129"/>
      <c r="C1950" s="130"/>
      <c r="D1950" s="130"/>
      <c r="E1950" s="130"/>
      <c r="F1950" s="130"/>
      <c r="G1950" s="130"/>
      <c r="H1950" s="130"/>
      <c r="I1950" s="130"/>
    </row>
    <row r="1951" spans="2:9">
      <c r="B1951" s="129"/>
      <c r="C1951" s="130"/>
      <c r="D1951" s="130"/>
      <c r="E1951" s="130"/>
      <c r="F1951" s="130"/>
      <c r="G1951" s="130"/>
      <c r="H1951" s="130"/>
      <c r="I1951" s="130"/>
    </row>
    <row r="1952" spans="2:9">
      <c r="B1952" s="129">
        <v>644</v>
      </c>
      <c r="C1952" s="130" t="s">
        <v>5188</v>
      </c>
      <c r="D1952" s="130" t="s">
        <v>5309</v>
      </c>
      <c r="E1952" s="130" t="s">
        <v>5213</v>
      </c>
      <c r="F1952" s="130" t="s">
        <v>5008</v>
      </c>
      <c r="G1952" s="130">
        <v>30000</v>
      </c>
      <c r="H1952" s="130">
        <v>100000</v>
      </c>
      <c r="I1952" s="130" t="s">
        <v>5004</v>
      </c>
    </row>
    <row r="1953" spans="2:9">
      <c r="B1953" s="129"/>
      <c r="C1953" s="130"/>
      <c r="D1953" s="130"/>
      <c r="E1953" s="130"/>
      <c r="F1953" s="130"/>
      <c r="G1953" s="130"/>
      <c r="H1953" s="130"/>
      <c r="I1953" s="130"/>
    </row>
    <row r="1954" spans="2:9">
      <c r="B1954" s="129"/>
      <c r="C1954" s="130"/>
      <c r="D1954" s="130"/>
      <c r="E1954" s="130"/>
      <c r="F1954" s="130"/>
      <c r="G1954" s="130"/>
      <c r="H1954" s="130"/>
      <c r="I1954" s="130"/>
    </row>
    <row r="1955" spans="2:9">
      <c r="B1955" s="129">
        <v>645</v>
      </c>
      <c r="C1955" s="130" t="s">
        <v>5102</v>
      </c>
      <c r="D1955" s="130" t="s">
        <v>5309</v>
      </c>
      <c r="E1955" s="130" t="s">
        <v>5132</v>
      </c>
      <c r="F1955" s="130" t="s">
        <v>5111</v>
      </c>
      <c r="G1955" s="130">
        <v>1000</v>
      </c>
      <c r="H1955" s="130">
        <v>10000</v>
      </c>
      <c r="I1955" s="130" t="s">
        <v>5004</v>
      </c>
    </row>
    <row r="1956" spans="2:9">
      <c r="B1956" s="129"/>
      <c r="C1956" s="130"/>
      <c r="D1956" s="130"/>
      <c r="E1956" s="130"/>
      <c r="F1956" s="130"/>
      <c r="G1956" s="130"/>
      <c r="H1956" s="130"/>
      <c r="I1956" s="130"/>
    </row>
    <row r="1957" spans="2:9">
      <c r="B1957" s="129"/>
      <c r="C1957" s="130"/>
      <c r="D1957" s="130"/>
      <c r="E1957" s="130"/>
      <c r="F1957" s="130"/>
      <c r="G1957" s="130"/>
      <c r="H1957" s="130"/>
      <c r="I1957" s="130"/>
    </row>
    <row r="1958" spans="2:9">
      <c r="B1958" s="129">
        <v>646</v>
      </c>
      <c r="C1958" s="130" t="s">
        <v>5128</v>
      </c>
      <c r="D1958" s="130" t="s">
        <v>5309</v>
      </c>
      <c r="E1958" s="130" t="s">
        <v>5129</v>
      </c>
      <c r="F1958" s="130" t="s">
        <v>5288</v>
      </c>
      <c r="G1958" s="130">
        <v>1000</v>
      </c>
      <c r="H1958" s="130" t="s">
        <v>5037</v>
      </c>
      <c r="I1958" s="130" t="s">
        <v>5004</v>
      </c>
    </row>
    <row r="1959" spans="2:9">
      <c r="B1959" s="129"/>
      <c r="C1959" s="130"/>
      <c r="D1959" s="130"/>
      <c r="E1959" s="130"/>
      <c r="F1959" s="130"/>
      <c r="G1959" s="130"/>
      <c r="H1959" s="130"/>
      <c r="I1959" s="130"/>
    </row>
    <row r="1960" spans="2:9">
      <c r="B1960" s="129"/>
      <c r="C1960" s="130"/>
      <c r="D1960" s="130"/>
      <c r="E1960" s="130"/>
      <c r="F1960" s="130"/>
      <c r="G1960" s="130"/>
      <c r="H1960" s="130"/>
      <c r="I1960" s="130"/>
    </row>
    <row r="1961" spans="2:9">
      <c r="B1961" s="129">
        <v>647</v>
      </c>
      <c r="C1961" s="130" t="s">
        <v>5128</v>
      </c>
      <c r="D1961" s="130" t="s">
        <v>5309</v>
      </c>
      <c r="E1961" s="130" t="s">
        <v>5127</v>
      </c>
      <c r="F1961" s="130" t="s">
        <v>5026</v>
      </c>
      <c r="G1961" s="130">
        <v>1000</v>
      </c>
      <c r="H1961" s="130">
        <v>9999</v>
      </c>
      <c r="I1961" s="130" t="s">
        <v>5004</v>
      </c>
    </row>
    <row r="1962" spans="2:9">
      <c r="B1962" s="129"/>
      <c r="C1962" s="130"/>
      <c r="D1962" s="130"/>
      <c r="E1962" s="130"/>
      <c r="F1962" s="130"/>
      <c r="G1962" s="130"/>
      <c r="H1962" s="130"/>
      <c r="I1962" s="130"/>
    </row>
    <row r="1963" spans="2:9">
      <c r="B1963" s="129"/>
      <c r="C1963" s="130"/>
      <c r="D1963" s="130"/>
      <c r="E1963" s="130"/>
      <c r="F1963" s="130"/>
      <c r="G1963" s="130"/>
      <c r="H1963" s="130"/>
      <c r="I1963" s="130"/>
    </row>
    <row r="1964" spans="2:9">
      <c r="B1964" s="129">
        <v>648</v>
      </c>
      <c r="C1964" s="130" t="s">
        <v>5128</v>
      </c>
      <c r="D1964" s="130" t="s">
        <v>5309</v>
      </c>
      <c r="E1964" s="130" t="s">
        <v>5149</v>
      </c>
      <c r="F1964" s="130" t="s">
        <v>5111</v>
      </c>
      <c r="G1964" s="130">
        <v>1000</v>
      </c>
      <c r="H1964" s="130" t="s">
        <v>5037</v>
      </c>
      <c r="I1964" s="130" t="s">
        <v>5004</v>
      </c>
    </row>
    <row r="1965" spans="2:9">
      <c r="B1965" s="129"/>
      <c r="C1965" s="130"/>
      <c r="D1965" s="130"/>
      <c r="E1965" s="130"/>
      <c r="F1965" s="130"/>
      <c r="G1965" s="130"/>
      <c r="H1965" s="130"/>
      <c r="I1965" s="130"/>
    </row>
    <row r="1966" spans="2:9">
      <c r="B1966" s="129"/>
      <c r="C1966" s="130"/>
      <c r="D1966" s="130"/>
      <c r="E1966" s="130"/>
      <c r="F1966" s="130"/>
      <c r="G1966" s="130"/>
      <c r="H1966" s="130"/>
      <c r="I1966" s="130"/>
    </row>
    <row r="1967" spans="2:9">
      <c r="B1967" s="129">
        <v>649</v>
      </c>
      <c r="C1967" s="130" t="s">
        <v>5095</v>
      </c>
      <c r="D1967" s="130" t="s">
        <v>5309</v>
      </c>
      <c r="E1967" s="130" t="s">
        <v>5204</v>
      </c>
      <c r="F1967" s="130" t="s">
        <v>5310</v>
      </c>
      <c r="G1967" s="130">
        <v>500</v>
      </c>
      <c r="H1967" s="130" t="s">
        <v>5037</v>
      </c>
      <c r="I1967" s="130" t="s">
        <v>5004</v>
      </c>
    </row>
    <row r="1968" spans="2:9">
      <c r="B1968" s="129"/>
      <c r="C1968" s="130"/>
      <c r="D1968" s="130"/>
      <c r="E1968" s="130"/>
      <c r="F1968" s="130"/>
      <c r="G1968" s="130"/>
      <c r="H1968" s="130"/>
      <c r="I1968" s="130"/>
    </row>
    <row r="1969" spans="2:9">
      <c r="B1969" s="129"/>
      <c r="C1969" s="130"/>
      <c r="D1969" s="130"/>
      <c r="E1969" s="130"/>
      <c r="F1969" s="130"/>
      <c r="G1969" s="130"/>
      <c r="H1969" s="130"/>
      <c r="I1969" s="130"/>
    </row>
    <row r="1970" spans="2:9">
      <c r="B1970" s="129">
        <v>650</v>
      </c>
      <c r="C1970" s="130" t="s">
        <v>5095</v>
      </c>
      <c r="D1970" s="130" t="s">
        <v>5309</v>
      </c>
      <c r="E1970" s="130" t="s">
        <v>5204</v>
      </c>
      <c r="F1970" s="130" t="s">
        <v>5311</v>
      </c>
      <c r="G1970" s="130">
        <v>500</v>
      </c>
      <c r="H1970" s="130" t="s">
        <v>5037</v>
      </c>
      <c r="I1970" s="130" t="s">
        <v>5004</v>
      </c>
    </row>
    <row r="1971" spans="2:9">
      <c r="B1971" s="129"/>
      <c r="C1971" s="130"/>
      <c r="D1971" s="130"/>
      <c r="E1971" s="130"/>
      <c r="F1971" s="130"/>
      <c r="G1971" s="130"/>
      <c r="H1971" s="130"/>
      <c r="I1971" s="130"/>
    </row>
    <row r="1972" spans="2:9">
      <c r="B1972" s="129"/>
      <c r="C1972" s="130"/>
      <c r="D1972" s="130"/>
      <c r="E1972" s="130"/>
      <c r="F1972" s="130"/>
      <c r="G1972" s="130"/>
      <c r="H1972" s="130"/>
      <c r="I1972" s="130"/>
    </row>
    <row r="1973" spans="2:9">
      <c r="B1973" s="129">
        <v>651</v>
      </c>
      <c r="C1973" s="130" t="s">
        <v>5095</v>
      </c>
      <c r="D1973" s="130" t="s">
        <v>5309</v>
      </c>
      <c r="E1973" s="130" t="s">
        <v>5204</v>
      </c>
      <c r="F1973" s="130" t="s">
        <v>5111</v>
      </c>
      <c r="G1973" s="130">
        <v>500</v>
      </c>
      <c r="H1973" s="130" t="s">
        <v>5037</v>
      </c>
      <c r="I1973" s="130" t="s">
        <v>5004</v>
      </c>
    </row>
    <row r="1974" spans="2:9">
      <c r="B1974" s="129"/>
      <c r="C1974" s="130"/>
      <c r="D1974" s="130"/>
      <c r="E1974" s="130"/>
      <c r="F1974" s="130"/>
      <c r="G1974" s="130"/>
      <c r="H1974" s="130"/>
      <c r="I1974" s="130"/>
    </row>
    <row r="1975" spans="2:9">
      <c r="B1975" s="129"/>
      <c r="C1975" s="130"/>
      <c r="D1975" s="130"/>
      <c r="E1975" s="130"/>
      <c r="F1975" s="130"/>
      <c r="G1975" s="130"/>
      <c r="H1975" s="130"/>
      <c r="I1975" s="130"/>
    </row>
    <row r="1976" spans="2:9">
      <c r="B1976" s="129">
        <v>652</v>
      </c>
      <c r="C1976" s="130" t="s">
        <v>5095</v>
      </c>
      <c r="D1976" s="130" t="s">
        <v>5309</v>
      </c>
      <c r="E1976" s="130" t="s">
        <v>5205</v>
      </c>
      <c r="F1976" s="130" t="s">
        <v>5003</v>
      </c>
      <c r="G1976" s="130">
        <v>50000</v>
      </c>
      <c r="H1976" s="130" t="s">
        <v>5037</v>
      </c>
      <c r="I1976" s="130" t="s">
        <v>5004</v>
      </c>
    </row>
    <row r="1977" spans="2:9">
      <c r="B1977" s="129"/>
      <c r="C1977" s="130"/>
      <c r="D1977" s="130"/>
      <c r="E1977" s="130"/>
      <c r="F1977" s="130"/>
      <c r="G1977" s="130"/>
      <c r="H1977" s="130"/>
      <c r="I1977" s="130"/>
    </row>
    <row r="1978" spans="2:9">
      <c r="B1978" s="129"/>
      <c r="C1978" s="130"/>
      <c r="D1978" s="130"/>
      <c r="E1978" s="130"/>
      <c r="F1978" s="130"/>
      <c r="G1978" s="130"/>
      <c r="H1978" s="130"/>
      <c r="I1978" s="130"/>
    </row>
    <row r="1979" spans="2:9">
      <c r="B1979" s="129">
        <v>653</v>
      </c>
      <c r="C1979" s="130" t="s">
        <v>5095</v>
      </c>
      <c r="D1979" s="130" t="s">
        <v>5309</v>
      </c>
      <c r="E1979" s="130" t="s">
        <v>5205</v>
      </c>
      <c r="F1979" s="130" t="s">
        <v>5008</v>
      </c>
      <c r="G1979" s="130">
        <v>500</v>
      </c>
      <c r="H1979" s="130">
        <v>9999</v>
      </c>
      <c r="I1979" s="130" t="s">
        <v>5004</v>
      </c>
    </row>
    <row r="1980" spans="2:9">
      <c r="B1980" s="129"/>
      <c r="C1980" s="130"/>
      <c r="D1980" s="130"/>
      <c r="E1980" s="130"/>
      <c r="F1980" s="130"/>
      <c r="G1980" s="130"/>
      <c r="H1980" s="130"/>
      <c r="I1980" s="130"/>
    </row>
    <row r="1981" spans="2:9">
      <c r="B1981" s="129"/>
      <c r="C1981" s="130"/>
      <c r="D1981" s="130"/>
      <c r="E1981" s="130"/>
      <c r="F1981" s="130"/>
      <c r="G1981" s="130"/>
      <c r="H1981" s="130"/>
      <c r="I1981" s="130"/>
    </row>
    <row r="1982" spans="2:9">
      <c r="B1982" s="129">
        <v>654</v>
      </c>
      <c r="C1982" s="130" t="s">
        <v>5253</v>
      </c>
      <c r="D1982" s="130" t="s">
        <v>5309</v>
      </c>
      <c r="E1982" s="130" t="s">
        <v>5282</v>
      </c>
      <c r="F1982" s="130" t="s">
        <v>5196</v>
      </c>
      <c r="G1982" s="130">
        <v>1000</v>
      </c>
      <c r="H1982" s="130" t="s">
        <v>5037</v>
      </c>
      <c r="I1982" s="130" t="s">
        <v>5004</v>
      </c>
    </row>
    <row r="1983" spans="2:9">
      <c r="B1983" s="129"/>
      <c r="C1983" s="130"/>
      <c r="D1983" s="130"/>
      <c r="E1983" s="130"/>
      <c r="F1983" s="130"/>
      <c r="G1983" s="130"/>
      <c r="H1983" s="130"/>
      <c r="I1983" s="130"/>
    </row>
    <row r="1984" spans="2:9">
      <c r="B1984" s="129"/>
      <c r="C1984" s="130"/>
      <c r="D1984" s="130"/>
      <c r="E1984" s="130"/>
      <c r="F1984" s="130"/>
      <c r="G1984" s="130"/>
      <c r="H1984" s="130"/>
      <c r="I1984" s="130"/>
    </row>
    <row r="1985" spans="2:9">
      <c r="B1985" s="129">
        <v>655</v>
      </c>
      <c r="C1985" s="130" t="s">
        <v>5256</v>
      </c>
      <c r="D1985" s="130" t="s">
        <v>5309</v>
      </c>
      <c r="E1985" s="130" t="s">
        <v>5257</v>
      </c>
      <c r="F1985" s="130" t="s">
        <v>5111</v>
      </c>
      <c r="G1985" s="130">
        <v>5000</v>
      </c>
      <c r="H1985" s="130" t="s">
        <v>5037</v>
      </c>
      <c r="I1985" s="130" t="s">
        <v>5004</v>
      </c>
    </row>
    <row r="1986" spans="2:9">
      <c r="B1986" s="129"/>
      <c r="C1986" s="130"/>
      <c r="D1986" s="130"/>
      <c r="E1986" s="130"/>
      <c r="F1986" s="130"/>
      <c r="G1986" s="130"/>
      <c r="H1986" s="130"/>
      <c r="I1986" s="130"/>
    </row>
    <row r="1987" spans="2:9">
      <c r="B1987" s="129"/>
      <c r="C1987" s="130"/>
      <c r="D1987" s="130"/>
      <c r="E1987" s="130"/>
      <c r="F1987" s="130"/>
      <c r="G1987" s="130"/>
      <c r="H1987" s="130"/>
      <c r="I1987" s="130"/>
    </row>
    <row r="1988" spans="2:9">
      <c r="B1988" s="129">
        <v>656</v>
      </c>
      <c r="C1988" s="130" t="s">
        <v>5256</v>
      </c>
      <c r="D1988" s="130" t="s">
        <v>5309</v>
      </c>
      <c r="E1988" s="130" t="s">
        <v>5312</v>
      </c>
      <c r="F1988" s="130" t="s">
        <v>5043</v>
      </c>
      <c r="G1988" s="130">
        <v>500</v>
      </c>
      <c r="H1988" s="130" t="s">
        <v>5037</v>
      </c>
      <c r="I1988" s="130" t="s">
        <v>5004</v>
      </c>
    </row>
    <row r="1989" spans="2:9">
      <c r="B1989" s="129"/>
      <c r="C1989" s="130"/>
      <c r="D1989" s="130"/>
      <c r="E1989" s="130"/>
      <c r="F1989" s="130"/>
      <c r="G1989" s="130"/>
      <c r="H1989" s="130"/>
      <c r="I1989" s="130"/>
    </row>
    <row r="1990" spans="2:9">
      <c r="B1990" s="129"/>
      <c r="C1990" s="130"/>
      <c r="D1990" s="130"/>
      <c r="E1990" s="130"/>
      <c r="F1990" s="130"/>
      <c r="G1990" s="130"/>
      <c r="H1990" s="130"/>
      <c r="I1990" s="130"/>
    </row>
    <row r="1991" spans="2:9">
      <c r="B1991" s="129">
        <v>657</v>
      </c>
      <c r="C1991" s="130" t="s">
        <v>5256</v>
      </c>
      <c r="D1991" s="130" t="s">
        <v>5309</v>
      </c>
      <c r="E1991" s="130" t="s">
        <v>5258</v>
      </c>
      <c r="F1991" s="130" t="s">
        <v>5111</v>
      </c>
      <c r="G1991" s="130">
        <v>20000</v>
      </c>
      <c r="H1991" s="130" t="s">
        <v>5037</v>
      </c>
      <c r="I1991" s="130" t="s">
        <v>5004</v>
      </c>
    </row>
    <row r="1992" spans="2:9">
      <c r="B1992" s="129"/>
      <c r="C1992" s="130"/>
      <c r="D1992" s="130"/>
      <c r="E1992" s="130"/>
      <c r="F1992" s="130"/>
      <c r="G1992" s="130"/>
      <c r="H1992" s="130"/>
      <c r="I1992" s="130"/>
    </row>
    <row r="1993" spans="2:9">
      <c r="B1993" s="129"/>
      <c r="C1993" s="130"/>
      <c r="D1993" s="130"/>
      <c r="E1993" s="130"/>
      <c r="F1993" s="130"/>
      <c r="G1993" s="130"/>
      <c r="H1993" s="130"/>
      <c r="I1993" s="130"/>
    </row>
    <row r="1994" spans="2:9">
      <c r="B1994" s="129">
        <v>658</v>
      </c>
      <c r="C1994" s="130" t="s">
        <v>5256</v>
      </c>
      <c r="D1994" s="130" t="s">
        <v>5309</v>
      </c>
      <c r="E1994" s="130" t="s">
        <v>5306</v>
      </c>
      <c r="F1994" s="130" t="s">
        <v>5031</v>
      </c>
      <c r="G1994" s="130">
        <v>3000</v>
      </c>
      <c r="H1994" s="130" t="s">
        <v>5037</v>
      </c>
      <c r="I1994" s="130" t="s">
        <v>5004</v>
      </c>
    </row>
    <row r="1995" spans="2:9">
      <c r="B1995" s="129"/>
      <c r="C1995" s="130"/>
      <c r="D1995" s="130"/>
      <c r="E1995" s="130"/>
      <c r="F1995" s="130"/>
      <c r="G1995" s="130"/>
      <c r="H1995" s="130"/>
      <c r="I1995" s="130"/>
    </row>
    <row r="1996" spans="2:9">
      <c r="B1996" s="129"/>
      <c r="C1996" s="130"/>
      <c r="D1996" s="130"/>
      <c r="E1996" s="130"/>
      <c r="F1996" s="130"/>
      <c r="G1996" s="130"/>
      <c r="H1996" s="130"/>
      <c r="I1996" s="130"/>
    </row>
    <row r="1997" spans="2:9">
      <c r="B1997" s="129">
        <v>659</v>
      </c>
      <c r="C1997" s="130" t="s">
        <v>5107</v>
      </c>
      <c r="D1997" s="130" t="s">
        <v>5309</v>
      </c>
      <c r="E1997" s="130" t="s">
        <v>5132</v>
      </c>
      <c r="F1997" s="130" t="s">
        <v>5003</v>
      </c>
      <c r="G1997" s="130">
        <v>100000</v>
      </c>
      <c r="H1997" s="130" t="s">
        <v>5037</v>
      </c>
      <c r="I1997" s="130" t="s">
        <v>5004</v>
      </c>
    </row>
    <row r="1998" spans="2:9">
      <c r="B1998" s="129"/>
      <c r="C1998" s="130"/>
      <c r="D1998" s="130"/>
      <c r="E1998" s="130"/>
      <c r="F1998" s="130"/>
      <c r="G1998" s="130"/>
      <c r="H1998" s="130"/>
      <c r="I1998" s="130"/>
    </row>
    <row r="1999" spans="2:9">
      <c r="B1999" s="129"/>
      <c r="C1999" s="130"/>
      <c r="D1999" s="130"/>
      <c r="E1999" s="130"/>
      <c r="F1999" s="130"/>
      <c r="G1999" s="130"/>
      <c r="H1999" s="130"/>
      <c r="I1999" s="130"/>
    </row>
    <row r="2000" spans="2:9">
      <c r="B2000" s="129">
        <v>660</v>
      </c>
      <c r="C2000" s="130" t="s">
        <v>5107</v>
      </c>
      <c r="D2000" s="130" t="s">
        <v>5309</v>
      </c>
      <c r="E2000" s="130" t="s">
        <v>5132</v>
      </c>
      <c r="F2000" s="130" t="s">
        <v>5008</v>
      </c>
      <c r="G2000" s="130">
        <v>3000</v>
      </c>
      <c r="H2000" s="130">
        <v>49999</v>
      </c>
      <c r="I2000" s="130" t="s">
        <v>5004</v>
      </c>
    </row>
    <row r="2001" spans="2:9">
      <c r="B2001" s="129"/>
      <c r="C2001" s="130"/>
      <c r="D2001" s="130"/>
      <c r="E2001" s="130"/>
      <c r="F2001" s="130"/>
      <c r="G2001" s="130"/>
      <c r="H2001" s="130"/>
      <c r="I2001" s="130"/>
    </row>
    <row r="2002" spans="2:9">
      <c r="B2002" s="129"/>
      <c r="C2002" s="130"/>
      <c r="D2002" s="130"/>
      <c r="E2002" s="130"/>
      <c r="F2002" s="130"/>
      <c r="G2002" s="130"/>
      <c r="H2002" s="130"/>
      <c r="I2002" s="130"/>
    </row>
    <row r="2003" spans="2:9">
      <c r="B2003" s="129">
        <v>661</v>
      </c>
      <c r="C2003" s="130" t="s">
        <v>5224</v>
      </c>
      <c r="D2003" s="130" t="s">
        <v>5309</v>
      </c>
      <c r="E2003" s="130" t="s">
        <v>5132</v>
      </c>
      <c r="F2003" s="130" t="s">
        <v>5008</v>
      </c>
      <c r="G2003" s="130">
        <v>50</v>
      </c>
      <c r="H2003" s="130" t="s">
        <v>5037</v>
      </c>
      <c r="I2003" s="130" t="s">
        <v>5004</v>
      </c>
    </row>
    <row r="2004" spans="2:9">
      <c r="B2004" s="129"/>
      <c r="C2004" s="130"/>
      <c r="D2004" s="130"/>
      <c r="E2004" s="130"/>
      <c r="F2004" s="130"/>
      <c r="G2004" s="130"/>
      <c r="H2004" s="130"/>
      <c r="I2004" s="130"/>
    </row>
    <row r="2005" spans="2:9">
      <c r="B2005" s="129"/>
      <c r="C2005" s="130"/>
      <c r="D2005" s="130"/>
      <c r="E2005" s="130"/>
      <c r="F2005" s="130"/>
      <c r="G2005" s="130"/>
      <c r="H2005" s="130"/>
      <c r="I2005" s="130"/>
    </row>
    <row r="2006" spans="2:9">
      <c r="B2006" s="129">
        <v>662</v>
      </c>
      <c r="C2006" s="130" t="s">
        <v>5112</v>
      </c>
      <c r="D2006" s="130" t="s">
        <v>5309</v>
      </c>
      <c r="E2006" s="130" t="s">
        <v>5260</v>
      </c>
      <c r="F2006" s="130" t="s">
        <v>5012</v>
      </c>
      <c r="G2006" s="130">
        <v>10000</v>
      </c>
      <c r="H2006" s="130">
        <v>19999</v>
      </c>
      <c r="I2006" s="130" t="s">
        <v>5029</v>
      </c>
    </row>
    <row r="2007" spans="2:9">
      <c r="B2007" s="129"/>
      <c r="C2007" s="130"/>
      <c r="D2007" s="130"/>
      <c r="E2007" s="130"/>
      <c r="F2007" s="130"/>
      <c r="G2007" s="130"/>
      <c r="H2007" s="130"/>
      <c r="I2007" s="130"/>
    </row>
    <row r="2008" spans="2:9">
      <c r="B2008" s="129"/>
      <c r="C2008" s="130"/>
      <c r="D2008" s="130"/>
      <c r="E2008" s="130"/>
      <c r="F2008" s="130"/>
      <c r="G2008" s="130"/>
      <c r="H2008" s="130"/>
      <c r="I2008" s="130"/>
    </row>
    <row r="2009" spans="2:9">
      <c r="B2009" s="129">
        <v>663</v>
      </c>
      <c r="C2009" s="130" t="s">
        <v>5175</v>
      </c>
      <c r="D2009" s="130" t="s">
        <v>5313</v>
      </c>
      <c r="E2009" s="130" t="s">
        <v>5133</v>
      </c>
      <c r="F2009" s="130" t="s">
        <v>5043</v>
      </c>
      <c r="G2009" s="130">
        <v>1000</v>
      </c>
      <c r="H2009" s="130" t="s">
        <v>5037</v>
      </c>
      <c r="I2009" s="130" t="s">
        <v>5004</v>
      </c>
    </row>
    <row r="2010" spans="2:9">
      <c r="B2010" s="129"/>
      <c r="C2010" s="130"/>
      <c r="D2010" s="130"/>
      <c r="E2010" s="130"/>
      <c r="F2010" s="130"/>
      <c r="G2010" s="130"/>
      <c r="H2010" s="130"/>
      <c r="I2010" s="130"/>
    </row>
    <row r="2011" spans="2:9">
      <c r="B2011" s="129"/>
      <c r="C2011" s="130"/>
      <c r="D2011" s="130"/>
      <c r="E2011" s="130"/>
      <c r="F2011" s="130"/>
      <c r="G2011" s="130"/>
      <c r="H2011" s="130"/>
      <c r="I2011" s="130"/>
    </row>
    <row r="2012" spans="2:9">
      <c r="B2012" s="129">
        <v>664</v>
      </c>
      <c r="C2012" s="130" t="s">
        <v>5218</v>
      </c>
      <c r="D2012" s="130" t="s">
        <v>5313</v>
      </c>
      <c r="E2012" s="130" t="s">
        <v>5219</v>
      </c>
      <c r="F2012" s="130" t="s">
        <v>5008</v>
      </c>
      <c r="G2012" s="130">
        <v>5000</v>
      </c>
      <c r="H2012" s="130">
        <v>20000</v>
      </c>
      <c r="I2012" s="130" t="s">
        <v>5004</v>
      </c>
    </row>
    <row r="2013" spans="2:9">
      <c r="B2013" s="129"/>
      <c r="C2013" s="130"/>
      <c r="D2013" s="130"/>
      <c r="E2013" s="130"/>
      <c r="F2013" s="130"/>
      <c r="G2013" s="130"/>
      <c r="H2013" s="130"/>
      <c r="I2013" s="130"/>
    </row>
    <row r="2014" spans="2:9">
      <c r="B2014" s="129"/>
      <c r="C2014" s="130"/>
      <c r="D2014" s="130"/>
      <c r="E2014" s="130"/>
      <c r="F2014" s="130"/>
      <c r="G2014" s="130"/>
      <c r="H2014" s="130"/>
      <c r="I2014" s="130"/>
    </row>
    <row r="2015" spans="2:9">
      <c r="B2015" s="129">
        <v>665</v>
      </c>
      <c r="C2015" s="130" t="s">
        <v>5218</v>
      </c>
      <c r="D2015" s="130" t="s">
        <v>5313</v>
      </c>
      <c r="E2015" s="130" t="s">
        <v>5219</v>
      </c>
      <c r="F2015" s="130" t="s">
        <v>5033</v>
      </c>
      <c r="G2015" s="130">
        <v>5000</v>
      </c>
      <c r="H2015" s="130">
        <v>20000</v>
      </c>
      <c r="I2015" s="130" t="s">
        <v>5004</v>
      </c>
    </row>
    <row r="2016" spans="2:9">
      <c r="B2016" s="129"/>
      <c r="C2016" s="130"/>
      <c r="D2016" s="130"/>
      <c r="E2016" s="130"/>
      <c r="F2016" s="130"/>
      <c r="G2016" s="130"/>
      <c r="H2016" s="130"/>
      <c r="I2016" s="130"/>
    </row>
    <row r="2017" spans="2:9">
      <c r="B2017" s="129"/>
      <c r="C2017" s="130"/>
      <c r="D2017" s="130"/>
      <c r="E2017" s="130"/>
      <c r="F2017" s="130"/>
      <c r="G2017" s="130"/>
      <c r="H2017" s="130"/>
      <c r="I2017" s="130"/>
    </row>
    <row r="2018" spans="2:9">
      <c r="B2018" s="129">
        <v>666</v>
      </c>
      <c r="C2018" s="130" t="s">
        <v>5218</v>
      </c>
      <c r="D2018" s="130" t="s">
        <v>5313</v>
      </c>
      <c r="E2018" s="130" t="s">
        <v>5299</v>
      </c>
      <c r="F2018" s="130" t="s">
        <v>5111</v>
      </c>
      <c r="G2018" s="130">
        <v>20000</v>
      </c>
      <c r="H2018" s="130">
        <v>50000</v>
      </c>
      <c r="I2018" s="130" t="s">
        <v>5004</v>
      </c>
    </row>
    <row r="2019" spans="2:9">
      <c r="B2019" s="129"/>
      <c r="C2019" s="130"/>
      <c r="D2019" s="130"/>
      <c r="E2019" s="130"/>
      <c r="F2019" s="130"/>
      <c r="G2019" s="130"/>
      <c r="H2019" s="130"/>
      <c r="I2019" s="130"/>
    </row>
    <row r="2020" spans="2:9">
      <c r="B2020" s="129"/>
      <c r="C2020" s="130"/>
      <c r="D2020" s="130"/>
      <c r="E2020" s="130"/>
      <c r="F2020" s="130"/>
      <c r="G2020" s="130"/>
      <c r="H2020" s="130"/>
      <c r="I2020" s="130"/>
    </row>
    <row r="2021" spans="2:9">
      <c r="B2021" s="129">
        <v>667</v>
      </c>
      <c r="C2021" s="130" t="s">
        <v>5238</v>
      </c>
      <c r="D2021" s="130" t="s">
        <v>5313</v>
      </c>
      <c r="E2021" s="130" t="s">
        <v>5240</v>
      </c>
      <c r="F2021" s="130" t="s">
        <v>5031</v>
      </c>
      <c r="G2021" s="130">
        <v>1000</v>
      </c>
      <c r="H2021" s="130">
        <v>20000</v>
      </c>
      <c r="I2021" s="130" t="s">
        <v>5004</v>
      </c>
    </row>
    <row r="2022" spans="2:9">
      <c r="B2022" s="129"/>
      <c r="C2022" s="130"/>
      <c r="D2022" s="130"/>
      <c r="E2022" s="130"/>
      <c r="F2022" s="130"/>
      <c r="G2022" s="130"/>
      <c r="H2022" s="130"/>
      <c r="I2022" s="130"/>
    </row>
    <row r="2023" spans="2:9">
      <c r="B2023" s="129"/>
      <c r="C2023" s="130"/>
      <c r="D2023" s="130"/>
      <c r="E2023" s="130"/>
      <c r="F2023" s="130"/>
      <c r="G2023" s="130"/>
      <c r="H2023" s="130"/>
      <c r="I2023" s="130"/>
    </row>
    <row r="2024" spans="2:9">
      <c r="B2024" s="129">
        <v>668</v>
      </c>
      <c r="C2024" s="130" t="s">
        <v>5125</v>
      </c>
      <c r="D2024" s="130" t="s">
        <v>5313</v>
      </c>
      <c r="E2024" s="130" t="s">
        <v>5198</v>
      </c>
      <c r="F2024" s="130" t="s">
        <v>5003</v>
      </c>
      <c r="G2024" s="130">
        <v>1000</v>
      </c>
      <c r="H2024" s="130">
        <v>100000</v>
      </c>
      <c r="I2024" s="130" t="s">
        <v>5004</v>
      </c>
    </row>
    <row r="2025" spans="2:9">
      <c r="B2025" s="129"/>
      <c r="C2025" s="130"/>
      <c r="D2025" s="130"/>
      <c r="E2025" s="130"/>
      <c r="F2025" s="130"/>
      <c r="G2025" s="130"/>
      <c r="H2025" s="130"/>
      <c r="I2025" s="130"/>
    </row>
    <row r="2026" spans="2:9">
      <c r="B2026" s="129"/>
      <c r="C2026" s="130"/>
      <c r="D2026" s="130"/>
      <c r="E2026" s="130"/>
      <c r="F2026" s="130"/>
      <c r="G2026" s="130"/>
      <c r="H2026" s="130"/>
      <c r="I2026" s="130"/>
    </row>
    <row r="2027" spans="2:9">
      <c r="B2027" s="129">
        <v>669</v>
      </c>
      <c r="C2027" s="130" t="s">
        <v>5125</v>
      </c>
      <c r="D2027" s="130" t="s">
        <v>5313</v>
      </c>
      <c r="E2027" s="130" t="s">
        <v>5198</v>
      </c>
      <c r="F2027" s="130" t="s">
        <v>5008</v>
      </c>
      <c r="G2027" s="130">
        <v>1000</v>
      </c>
      <c r="H2027" s="130">
        <v>100000</v>
      </c>
      <c r="I2027" s="130" t="s">
        <v>5004</v>
      </c>
    </row>
    <row r="2028" spans="2:9">
      <c r="B2028" s="129"/>
      <c r="C2028" s="130"/>
      <c r="D2028" s="130"/>
      <c r="E2028" s="130"/>
      <c r="F2028" s="130"/>
      <c r="G2028" s="130"/>
      <c r="H2028" s="130"/>
      <c r="I2028" s="130"/>
    </row>
    <row r="2029" spans="2:9">
      <c r="B2029" s="129"/>
      <c r="C2029" s="130"/>
      <c r="D2029" s="130"/>
      <c r="E2029" s="130"/>
      <c r="F2029" s="130"/>
      <c r="G2029" s="130"/>
      <c r="H2029" s="130"/>
      <c r="I2029" s="130"/>
    </row>
    <row r="2030" spans="2:9">
      <c r="B2030" s="129">
        <v>670</v>
      </c>
      <c r="C2030" s="130" t="s">
        <v>5009</v>
      </c>
      <c r="D2030" s="130" t="s">
        <v>5313</v>
      </c>
      <c r="E2030" s="130" t="s">
        <v>5079</v>
      </c>
      <c r="F2030" s="130" t="s">
        <v>5033</v>
      </c>
      <c r="G2030" s="130">
        <v>2000</v>
      </c>
      <c r="H2030" s="130" t="s">
        <v>5037</v>
      </c>
      <c r="I2030" s="130" t="s">
        <v>5004</v>
      </c>
    </row>
    <row r="2031" spans="2:9">
      <c r="B2031" s="129"/>
      <c r="C2031" s="130"/>
      <c r="D2031" s="130"/>
      <c r="E2031" s="130"/>
      <c r="F2031" s="130"/>
      <c r="G2031" s="130"/>
      <c r="H2031" s="130"/>
      <c r="I2031" s="130"/>
    </row>
    <row r="2032" spans="2:9">
      <c r="B2032" s="129"/>
      <c r="C2032" s="130"/>
      <c r="D2032" s="130"/>
      <c r="E2032" s="130"/>
      <c r="F2032" s="130"/>
      <c r="G2032" s="130"/>
      <c r="H2032" s="130"/>
      <c r="I2032" s="130"/>
    </row>
    <row r="2033" spans="2:9">
      <c r="B2033" s="129">
        <v>671</v>
      </c>
      <c r="C2033" s="130" t="s">
        <v>5076</v>
      </c>
      <c r="D2033" s="130" t="s">
        <v>5313</v>
      </c>
      <c r="E2033" s="130" t="s">
        <v>5130</v>
      </c>
      <c r="F2033" s="130" t="s">
        <v>5008</v>
      </c>
      <c r="G2033" s="130">
        <v>1000</v>
      </c>
      <c r="H2033" s="130">
        <v>19999</v>
      </c>
      <c r="I2033" s="130" t="s">
        <v>5004</v>
      </c>
    </row>
    <row r="2034" spans="2:9">
      <c r="B2034" s="129"/>
      <c r="C2034" s="130"/>
      <c r="D2034" s="130"/>
      <c r="E2034" s="130"/>
      <c r="F2034" s="130"/>
      <c r="G2034" s="130"/>
      <c r="H2034" s="130"/>
      <c r="I2034" s="130"/>
    </row>
    <row r="2035" spans="2:9">
      <c r="B2035" s="129"/>
      <c r="C2035" s="130"/>
      <c r="D2035" s="130"/>
      <c r="E2035" s="130"/>
      <c r="F2035" s="130"/>
      <c r="G2035" s="130"/>
      <c r="H2035" s="130"/>
      <c r="I2035" s="130"/>
    </row>
    <row r="2036" spans="2:9">
      <c r="B2036" s="129">
        <v>672</v>
      </c>
      <c r="C2036" s="130" t="s">
        <v>5076</v>
      </c>
      <c r="D2036" s="130" t="s">
        <v>5313</v>
      </c>
      <c r="E2036" s="130" t="s">
        <v>5130</v>
      </c>
      <c r="F2036" s="130" t="s">
        <v>5111</v>
      </c>
      <c r="G2036" s="130">
        <v>50000</v>
      </c>
      <c r="H2036" s="130">
        <v>99999</v>
      </c>
      <c r="I2036" s="130" t="s">
        <v>5004</v>
      </c>
    </row>
    <row r="2037" spans="2:9">
      <c r="B2037" s="129"/>
      <c r="C2037" s="130"/>
      <c r="D2037" s="130"/>
      <c r="E2037" s="130"/>
      <c r="F2037" s="130"/>
      <c r="G2037" s="130"/>
      <c r="H2037" s="130"/>
      <c r="I2037" s="130"/>
    </row>
    <row r="2038" spans="2:9">
      <c r="B2038" s="129"/>
      <c r="C2038" s="130"/>
      <c r="D2038" s="130"/>
      <c r="E2038" s="130"/>
      <c r="F2038" s="130"/>
      <c r="G2038" s="130"/>
      <c r="H2038" s="130"/>
      <c r="I2038" s="130"/>
    </row>
    <row r="2039" spans="2:9">
      <c r="B2039" s="129">
        <v>673</v>
      </c>
      <c r="C2039" s="130" t="s">
        <v>5076</v>
      </c>
      <c r="D2039" s="130" t="s">
        <v>5313</v>
      </c>
      <c r="E2039" s="130" t="s">
        <v>5130</v>
      </c>
      <c r="F2039" s="130" t="s">
        <v>5111</v>
      </c>
      <c r="G2039" s="130">
        <v>100000</v>
      </c>
      <c r="H2039" s="130" t="s">
        <v>5037</v>
      </c>
      <c r="I2039" s="130" t="s">
        <v>5004</v>
      </c>
    </row>
    <row r="2040" spans="2:9">
      <c r="B2040" s="129"/>
      <c r="C2040" s="130"/>
      <c r="D2040" s="130"/>
      <c r="E2040" s="130"/>
      <c r="F2040" s="130"/>
      <c r="G2040" s="130"/>
      <c r="H2040" s="130"/>
      <c r="I2040" s="130"/>
    </row>
    <row r="2041" spans="2:9">
      <c r="B2041" s="129"/>
      <c r="C2041" s="130"/>
      <c r="D2041" s="130"/>
      <c r="E2041" s="130"/>
      <c r="F2041" s="130"/>
      <c r="G2041" s="130"/>
      <c r="H2041" s="130"/>
      <c r="I2041" s="130"/>
    </row>
    <row r="2042" spans="2:9">
      <c r="B2042" s="129">
        <v>674</v>
      </c>
      <c r="C2042" s="130" t="s">
        <v>5095</v>
      </c>
      <c r="D2042" s="130" t="s">
        <v>5313</v>
      </c>
      <c r="E2042" s="130" t="s">
        <v>5248</v>
      </c>
      <c r="F2042" s="130" t="s">
        <v>5008</v>
      </c>
      <c r="G2042" s="130">
        <v>1000</v>
      </c>
      <c r="H2042" s="130">
        <v>49999</v>
      </c>
      <c r="I2042" s="130" t="s">
        <v>5004</v>
      </c>
    </row>
    <row r="2043" spans="2:9">
      <c r="B2043" s="129"/>
      <c r="C2043" s="130"/>
      <c r="D2043" s="130"/>
      <c r="E2043" s="130"/>
      <c r="F2043" s="130"/>
      <c r="G2043" s="130"/>
      <c r="H2043" s="130"/>
      <c r="I2043" s="130"/>
    </row>
    <row r="2044" spans="2:9">
      <c r="B2044" s="129"/>
      <c r="C2044" s="130"/>
      <c r="D2044" s="130"/>
      <c r="E2044" s="130"/>
      <c r="F2044" s="130"/>
      <c r="G2044" s="130"/>
      <c r="H2044" s="130"/>
      <c r="I2044" s="130"/>
    </row>
    <row r="2045" spans="2:9">
      <c r="B2045" s="129">
        <v>675</v>
      </c>
      <c r="C2045" s="130" t="s">
        <v>5017</v>
      </c>
      <c r="D2045" s="130" t="s">
        <v>5313</v>
      </c>
      <c r="E2045" s="130" t="s">
        <v>5133</v>
      </c>
      <c r="F2045" s="130" t="s">
        <v>5111</v>
      </c>
      <c r="G2045" s="130">
        <v>100000</v>
      </c>
      <c r="H2045" s="130" t="s">
        <v>5037</v>
      </c>
      <c r="I2045" s="130" t="s">
        <v>5004</v>
      </c>
    </row>
    <row r="2046" spans="2:9">
      <c r="B2046" s="129"/>
      <c r="C2046" s="130"/>
      <c r="D2046" s="130"/>
      <c r="E2046" s="130"/>
      <c r="F2046" s="130"/>
      <c r="G2046" s="130"/>
      <c r="H2046" s="130"/>
      <c r="I2046" s="130"/>
    </row>
    <row r="2047" spans="2:9">
      <c r="B2047" s="129"/>
      <c r="C2047" s="130"/>
      <c r="D2047" s="130"/>
      <c r="E2047" s="130"/>
      <c r="F2047" s="130"/>
      <c r="G2047" s="130"/>
      <c r="H2047" s="130"/>
      <c r="I2047" s="130"/>
    </row>
    <row r="2048" spans="2:9">
      <c r="B2048" s="129">
        <v>676</v>
      </c>
      <c r="C2048" s="130" t="s">
        <v>5034</v>
      </c>
      <c r="D2048" s="130" t="s">
        <v>5313</v>
      </c>
      <c r="E2048" s="130" t="s">
        <v>5036</v>
      </c>
      <c r="F2048" s="130" t="s">
        <v>5003</v>
      </c>
      <c r="G2048" s="130">
        <v>1000</v>
      </c>
      <c r="H2048" s="130">
        <v>9999</v>
      </c>
      <c r="I2048" s="130" t="s">
        <v>5004</v>
      </c>
    </row>
    <row r="2049" spans="2:9">
      <c r="B2049" s="129"/>
      <c r="C2049" s="130"/>
      <c r="D2049" s="130"/>
      <c r="E2049" s="130"/>
      <c r="F2049" s="130"/>
      <c r="G2049" s="130"/>
      <c r="H2049" s="130"/>
      <c r="I2049" s="130"/>
    </row>
    <row r="2050" spans="2:9">
      <c r="B2050" s="129"/>
      <c r="C2050" s="130"/>
      <c r="D2050" s="130"/>
      <c r="E2050" s="130"/>
      <c r="F2050" s="130"/>
      <c r="G2050" s="130"/>
      <c r="H2050" s="130"/>
      <c r="I2050" s="130"/>
    </row>
    <row r="2051" spans="2:9">
      <c r="B2051" s="129">
        <v>677</v>
      </c>
      <c r="C2051" s="130" t="s">
        <v>5218</v>
      </c>
      <c r="D2051" s="130" t="s">
        <v>5313</v>
      </c>
      <c r="E2051" s="130" t="s">
        <v>5314</v>
      </c>
      <c r="F2051" s="130" t="s">
        <v>5012</v>
      </c>
      <c r="G2051" s="130">
        <v>0</v>
      </c>
      <c r="H2051" s="130">
        <v>49999</v>
      </c>
      <c r="I2051" s="130" t="s">
        <v>5029</v>
      </c>
    </row>
    <row r="2052" spans="2:9">
      <c r="B2052" s="129"/>
      <c r="C2052" s="130"/>
      <c r="D2052" s="130"/>
      <c r="E2052" s="130"/>
      <c r="F2052" s="130"/>
      <c r="G2052" s="130"/>
      <c r="H2052" s="130"/>
      <c r="I2052" s="130"/>
    </row>
    <row r="2053" spans="2:9">
      <c r="B2053" s="129"/>
      <c r="C2053" s="130"/>
      <c r="D2053" s="130"/>
      <c r="E2053" s="130"/>
      <c r="F2053" s="130"/>
      <c r="G2053" s="130"/>
      <c r="H2053" s="130"/>
      <c r="I2053" s="130"/>
    </row>
    <row r="2054" spans="2:9">
      <c r="B2054" s="129">
        <v>678</v>
      </c>
      <c r="C2054" s="130" t="s">
        <v>5218</v>
      </c>
      <c r="D2054" s="130" t="s">
        <v>5313</v>
      </c>
      <c r="E2054" s="130" t="s">
        <v>5278</v>
      </c>
      <c r="F2054" s="130" t="s">
        <v>5012</v>
      </c>
      <c r="G2054" s="130">
        <v>0</v>
      </c>
      <c r="H2054" s="130">
        <v>49999</v>
      </c>
      <c r="I2054" s="130" t="s">
        <v>5029</v>
      </c>
    </row>
    <row r="2055" spans="2:9">
      <c r="B2055" s="129"/>
      <c r="C2055" s="130"/>
      <c r="D2055" s="130"/>
      <c r="E2055" s="130"/>
      <c r="F2055" s="130"/>
      <c r="G2055" s="130"/>
      <c r="H2055" s="130"/>
      <c r="I2055" s="130"/>
    </row>
    <row r="2056" spans="2:9">
      <c r="B2056" s="129"/>
      <c r="C2056" s="130"/>
      <c r="D2056" s="130"/>
      <c r="E2056" s="130"/>
      <c r="F2056" s="130"/>
      <c r="G2056" s="130"/>
      <c r="H2056" s="130"/>
      <c r="I2056" s="130"/>
    </row>
    <row r="2057" spans="2:9">
      <c r="B2057" s="129">
        <v>679</v>
      </c>
      <c r="C2057" s="130" t="s">
        <v>5238</v>
      </c>
      <c r="D2057" s="130" t="s">
        <v>5315</v>
      </c>
      <c r="E2057" s="130" t="s">
        <v>5240</v>
      </c>
      <c r="F2057" s="130" t="s">
        <v>5111</v>
      </c>
      <c r="G2057" s="130">
        <v>20000</v>
      </c>
      <c r="H2057" s="130" t="s">
        <v>5037</v>
      </c>
      <c r="I2057" s="130" t="s">
        <v>5004</v>
      </c>
    </row>
    <row r="2058" spans="2:9">
      <c r="B2058" s="129"/>
      <c r="C2058" s="130"/>
      <c r="D2058" s="130"/>
      <c r="E2058" s="130"/>
      <c r="F2058" s="130"/>
      <c r="G2058" s="130"/>
      <c r="H2058" s="130"/>
      <c r="I2058" s="130"/>
    </row>
    <row r="2059" spans="2:9">
      <c r="B2059" s="129"/>
      <c r="C2059" s="130"/>
      <c r="D2059" s="130"/>
      <c r="E2059" s="130"/>
      <c r="F2059" s="130"/>
      <c r="G2059" s="130"/>
      <c r="H2059" s="130"/>
      <c r="I2059" s="130"/>
    </row>
    <row r="2060" spans="2:9">
      <c r="B2060" s="129">
        <v>680</v>
      </c>
      <c r="C2060" s="130" t="s">
        <v>5238</v>
      </c>
      <c r="D2060" s="130" t="s">
        <v>5315</v>
      </c>
      <c r="E2060" s="130" t="s">
        <v>5240</v>
      </c>
      <c r="F2060" s="130" t="s">
        <v>5033</v>
      </c>
      <c r="G2060" s="130">
        <v>20000</v>
      </c>
      <c r="H2060" s="130" t="s">
        <v>5037</v>
      </c>
      <c r="I2060" s="130" t="s">
        <v>5004</v>
      </c>
    </row>
    <row r="2061" spans="2:9">
      <c r="B2061" s="129"/>
      <c r="C2061" s="130"/>
      <c r="D2061" s="130"/>
      <c r="E2061" s="130"/>
      <c r="F2061" s="130"/>
      <c r="G2061" s="130"/>
      <c r="H2061" s="130"/>
      <c r="I2061" s="130"/>
    </row>
    <row r="2062" spans="2:9">
      <c r="B2062" s="129"/>
      <c r="C2062" s="130"/>
      <c r="D2062" s="130"/>
      <c r="E2062" s="130"/>
      <c r="F2062" s="130"/>
      <c r="G2062" s="130"/>
      <c r="H2062" s="130"/>
      <c r="I2062" s="130"/>
    </row>
    <row r="2063" spans="2:9">
      <c r="B2063" s="129">
        <v>681</v>
      </c>
      <c r="C2063" s="130" t="s">
        <v>5188</v>
      </c>
      <c r="D2063" s="130" t="s">
        <v>5315</v>
      </c>
      <c r="E2063" s="130" t="s">
        <v>5213</v>
      </c>
      <c r="F2063" s="130" t="s">
        <v>5008</v>
      </c>
      <c r="G2063" s="130">
        <v>10000</v>
      </c>
      <c r="H2063" s="130">
        <v>30000</v>
      </c>
      <c r="I2063" s="130" t="s">
        <v>5004</v>
      </c>
    </row>
    <row r="2064" spans="2:9">
      <c r="B2064" s="129"/>
      <c r="C2064" s="130"/>
      <c r="D2064" s="130"/>
      <c r="E2064" s="130"/>
      <c r="F2064" s="130"/>
      <c r="G2064" s="130"/>
      <c r="H2064" s="130"/>
      <c r="I2064" s="130"/>
    </row>
    <row r="2065" spans="2:9">
      <c r="B2065" s="129"/>
      <c r="C2065" s="130"/>
      <c r="D2065" s="130"/>
      <c r="E2065" s="130"/>
      <c r="F2065" s="130"/>
      <c r="G2065" s="130"/>
      <c r="H2065" s="130"/>
      <c r="I2065" s="130"/>
    </row>
    <row r="2066" spans="2:9">
      <c r="B2066" s="129">
        <v>682</v>
      </c>
      <c r="C2066" s="130" t="s">
        <v>5235</v>
      </c>
      <c r="D2066" s="130" t="s">
        <v>5315</v>
      </c>
      <c r="E2066" s="130" t="s">
        <v>5251</v>
      </c>
      <c r="F2066" s="130" t="s">
        <v>5310</v>
      </c>
      <c r="G2066" s="130">
        <v>20000</v>
      </c>
      <c r="H2066" s="130" t="s">
        <v>5037</v>
      </c>
      <c r="I2066" s="130" t="s">
        <v>5004</v>
      </c>
    </row>
    <row r="2067" spans="2:9">
      <c r="B2067" s="129"/>
      <c r="C2067" s="130"/>
      <c r="D2067" s="130"/>
      <c r="E2067" s="130"/>
      <c r="F2067" s="130"/>
      <c r="G2067" s="130"/>
      <c r="H2067" s="130"/>
      <c r="I2067" s="130"/>
    </row>
    <row r="2068" spans="2:9">
      <c r="B2068" s="129"/>
      <c r="C2068" s="130"/>
      <c r="D2068" s="130"/>
      <c r="E2068" s="130"/>
      <c r="F2068" s="130"/>
      <c r="G2068" s="130"/>
      <c r="H2068" s="130"/>
      <c r="I2068" s="130"/>
    </row>
    <row r="2069" spans="2:9">
      <c r="B2069" s="129">
        <v>683</v>
      </c>
      <c r="C2069" s="130" t="s">
        <v>5235</v>
      </c>
      <c r="D2069" s="130" t="s">
        <v>5315</v>
      </c>
      <c r="E2069" s="130" t="s">
        <v>5251</v>
      </c>
      <c r="F2069" s="130" t="s">
        <v>5311</v>
      </c>
      <c r="G2069" s="130">
        <v>20000</v>
      </c>
      <c r="H2069" s="130" t="s">
        <v>5037</v>
      </c>
      <c r="I2069" s="130" t="s">
        <v>5004</v>
      </c>
    </row>
    <row r="2070" spans="2:9">
      <c r="B2070" s="129"/>
      <c r="C2070" s="130"/>
      <c r="D2070" s="130"/>
      <c r="E2070" s="130"/>
      <c r="F2070" s="130"/>
      <c r="G2070" s="130"/>
      <c r="H2070" s="130"/>
      <c r="I2070" s="130"/>
    </row>
    <row r="2071" spans="2:9">
      <c r="B2071" s="129"/>
      <c r="C2071" s="130"/>
      <c r="D2071" s="130"/>
      <c r="E2071" s="130"/>
      <c r="F2071" s="130"/>
      <c r="G2071" s="130"/>
      <c r="H2071" s="130"/>
      <c r="I2071" s="130"/>
    </row>
    <row r="2072" spans="2:9">
      <c r="B2072" s="129">
        <v>684</v>
      </c>
      <c r="C2072" s="130" t="s">
        <v>5235</v>
      </c>
      <c r="D2072" s="130" t="s">
        <v>5315</v>
      </c>
      <c r="E2072" s="130" t="s">
        <v>5251</v>
      </c>
      <c r="F2072" s="130" t="s">
        <v>5111</v>
      </c>
      <c r="G2072" s="130">
        <v>20000</v>
      </c>
      <c r="H2072" s="130" t="s">
        <v>5037</v>
      </c>
      <c r="I2072" s="130" t="s">
        <v>5004</v>
      </c>
    </row>
    <row r="2073" spans="2:9">
      <c r="B2073" s="129"/>
      <c r="C2073" s="130"/>
      <c r="D2073" s="130"/>
      <c r="E2073" s="130"/>
      <c r="F2073" s="130"/>
      <c r="G2073" s="130"/>
      <c r="H2073" s="130"/>
      <c r="I2073" s="130"/>
    </row>
    <row r="2074" spans="2:9">
      <c r="B2074" s="129"/>
      <c r="C2074" s="130"/>
      <c r="D2074" s="130"/>
      <c r="E2074" s="130"/>
      <c r="F2074" s="130"/>
      <c r="G2074" s="130"/>
      <c r="H2074" s="130"/>
      <c r="I2074" s="130"/>
    </row>
    <row r="2075" spans="2:9">
      <c r="B2075" s="129">
        <v>685</v>
      </c>
      <c r="C2075" s="130" t="s">
        <v>5235</v>
      </c>
      <c r="D2075" s="130" t="s">
        <v>5315</v>
      </c>
      <c r="E2075" s="130" t="s">
        <v>5252</v>
      </c>
      <c r="F2075" s="130" t="s">
        <v>5310</v>
      </c>
      <c r="G2075" s="130">
        <v>1000</v>
      </c>
      <c r="H2075" s="130" t="s">
        <v>5037</v>
      </c>
      <c r="I2075" s="130" t="s">
        <v>5004</v>
      </c>
    </row>
    <row r="2076" spans="2:9">
      <c r="B2076" s="129"/>
      <c r="C2076" s="130"/>
      <c r="D2076" s="130"/>
      <c r="E2076" s="130"/>
      <c r="F2076" s="130"/>
      <c r="G2076" s="130"/>
      <c r="H2076" s="130"/>
      <c r="I2076" s="130"/>
    </row>
    <row r="2077" spans="2:9">
      <c r="B2077" s="129"/>
      <c r="C2077" s="130"/>
      <c r="D2077" s="130"/>
      <c r="E2077" s="130"/>
      <c r="F2077" s="130"/>
      <c r="G2077" s="130"/>
      <c r="H2077" s="130"/>
      <c r="I2077" s="130"/>
    </row>
    <row r="2078" spans="2:9">
      <c r="B2078" s="129">
        <v>686</v>
      </c>
      <c r="C2078" s="130" t="s">
        <v>5235</v>
      </c>
      <c r="D2078" s="130" t="s">
        <v>5315</v>
      </c>
      <c r="E2078" s="130" t="s">
        <v>5252</v>
      </c>
      <c r="F2078" s="130" t="s">
        <v>5311</v>
      </c>
      <c r="G2078" s="130">
        <v>1000</v>
      </c>
      <c r="H2078" s="130" t="s">
        <v>5037</v>
      </c>
      <c r="I2078" s="130" t="s">
        <v>5004</v>
      </c>
    </row>
    <row r="2079" spans="2:9">
      <c r="B2079" s="129"/>
      <c r="C2079" s="130"/>
      <c r="D2079" s="130"/>
      <c r="E2079" s="130"/>
      <c r="F2079" s="130"/>
      <c r="G2079" s="130"/>
      <c r="H2079" s="130"/>
      <c r="I2079" s="130"/>
    </row>
    <row r="2080" spans="2:9">
      <c r="B2080" s="129"/>
      <c r="C2080" s="130"/>
      <c r="D2080" s="130"/>
      <c r="E2080" s="130"/>
      <c r="F2080" s="130"/>
      <c r="G2080" s="130"/>
      <c r="H2080" s="130"/>
      <c r="I2080" s="130"/>
    </row>
    <row r="2081" spans="2:9">
      <c r="B2081" s="129">
        <v>687</v>
      </c>
      <c r="C2081" s="130" t="s">
        <v>5235</v>
      </c>
      <c r="D2081" s="130" t="s">
        <v>5315</v>
      </c>
      <c r="E2081" s="130" t="s">
        <v>5252</v>
      </c>
      <c r="F2081" s="130" t="s">
        <v>5111</v>
      </c>
      <c r="G2081" s="130">
        <v>1000</v>
      </c>
      <c r="H2081" s="130" t="s">
        <v>5037</v>
      </c>
      <c r="I2081" s="130" t="s">
        <v>5004</v>
      </c>
    </row>
    <row r="2082" spans="2:9">
      <c r="B2082" s="129"/>
      <c r="C2082" s="130"/>
      <c r="D2082" s="130"/>
      <c r="E2082" s="130"/>
      <c r="F2082" s="130"/>
      <c r="G2082" s="130"/>
      <c r="H2082" s="130"/>
      <c r="I2082" s="130"/>
    </row>
    <row r="2083" spans="2:9">
      <c r="B2083" s="129"/>
      <c r="C2083" s="130"/>
      <c r="D2083" s="130"/>
      <c r="E2083" s="130"/>
      <c r="F2083" s="130"/>
      <c r="G2083" s="130"/>
      <c r="H2083" s="130"/>
      <c r="I2083" s="130"/>
    </row>
    <row r="2084" spans="2:9">
      <c r="B2084" s="129">
        <v>688</v>
      </c>
      <c r="C2084" s="130" t="s">
        <v>5102</v>
      </c>
      <c r="D2084" s="130" t="s">
        <v>5315</v>
      </c>
      <c r="E2084" s="130" t="s">
        <v>5132</v>
      </c>
      <c r="F2084" s="130" t="s">
        <v>5111</v>
      </c>
      <c r="G2084" s="130">
        <v>1000</v>
      </c>
      <c r="H2084" s="130" t="s">
        <v>5037</v>
      </c>
      <c r="I2084" s="130" t="s">
        <v>5004</v>
      </c>
    </row>
    <row r="2085" spans="2:9">
      <c r="B2085" s="129"/>
      <c r="C2085" s="130"/>
      <c r="D2085" s="130"/>
      <c r="E2085" s="130"/>
      <c r="F2085" s="130"/>
      <c r="G2085" s="130"/>
      <c r="H2085" s="130"/>
      <c r="I2085" s="130"/>
    </row>
    <row r="2086" spans="2:9">
      <c r="B2086" s="129"/>
      <c r="C2086" s="130"/>
      <c r="D2086" s="130"/>
      <c r="E2086" s="130"/>
      <c r="F2086" s="130"/>
      <c r="G2086" s="130"/>
      <c r="H2086" s="130"/>
      <c r="I2086" s="130"/>
    </row>
    <row r="2087" spans="2:9">
      <c r="B2087" s="129">
        <v>689</v>
      </c>
      <c r="C2087" s="130" t="s">
        <v>5128</v>
      </c>
      <c r="D2087" s="130" t="s">
        <v>5315</v>
      </c>
      <c r="E2087" s="130" t="s">
        <v>5127</v>
      </c>
      <c r="F2087" s="130" t="s">
        <v>5008</v>
      </c>
      <c r="G2087" s="130">
        <v>50000</v>
      </c>
      <c r="H2087" s="130" t="s">
        <v>5037</v>
      </c>
      <c r="I2087" s="130" t="s">
        <v>5004</v>
      </c>
    </row>
    <row r="2088" spans="2:9">
      <c r="B2088" s="129"/>
      <c r="C2088" s="130"/>
      <c r="D2088" s="130"/>
      <c r="E2088" s="130"/>
      <c r="F2088" s="130"/>
      <c r="G2088" s="130"/>
      <c r="H2088" s="130"/>
      <c r="I2088" s="130"/>
    </row>
    <row r="2089" spans="2:9">
      <c r="B2089" s="129"/>
      <c r="C2089" s="130"/>
      <c r="D2089" s="130"/>
      <c r="E2089" s="130"/>
      <c r="F2089" s="130"/>
      <c r="G2089" s="130"/>
      <c r="H2089" s="130"/>
      <c r="I2089" s="130"/>
    </row>
    <row r="2090" spans="2:9">
      <c r="B2090" s="129">
        <v>690</v>
      </c>
      <c r="C2090" s="130" t="s">
        <v>5076</v>
      </c>
      <c r="D2090" s="130" t="s">
        <v>5315</v>
      </c>
      <c r="E2090" s="130" t="s">
        <v>5130</v>
      </c>
      <c r="F2090" s="130" t="s">
        <v>5111</v>
      </c>
      <c r="G2090" s="130">
        <v>20000</v>
      </c>
      <c r="H2090" s="130">
        <v>49999</v>
      </c>
      <c r="I2090" s="130" t="s">
        <v>5004</v>
      </c>
    </row>
    <row r="2091" spans="2:9">
      <c r="B2091" s="129"/>
      <c r="C2091" s="130"/>
      <c r="D2091" s="130"/>
      <c r="E2091" s="130"/>
      <c r="F2091" s="130"/>
      <c r="G2091" s="130"/>
      <c r="H2091" s="130"/>
      <c r="I2091" s="130"/>
    </row>
    <row r="2092" spans="2:9">
      <c r="B2092" s="129"/>
      <c r="C2092" s="130"/>
      <c r="D2092" s="130"/>
      <c r="E2092" s="130"/>
      <c r="F2092" s="130"/>
      <c r="G2092" s="130"/>
      <c r="H2092" s="130"/>
      <c r="I2092" s="130"/>
    </row>
    <row r="2093" spans="2:9">
      <c r="B2093" s="129">
        <v>691</v>
      </c>
      <c r="C2093" s="130" t="s">
        <v>5095</v>
      </c>
      <c r="D2093" s="130" t="s">
        <v>5315</v>
      </c>
      <c r="E2093" s="130" t="s">
        <v>5205</v>
      </c>
      <c r="F2093" s="130" t="s">
        <v>5003</v>
      </c>
      <c r="G2093" s="130">
        <v>25000</v>
      </c>
      <c r="H2093" s="130">
        <v>49999</v>
      </c>
      <c r="I2093" s="130" t="s">
        <v>5004</v>
      </c>
    </row>
    <row r="2094" spans="2:9">
      <c r="B2094" s="129"/>
      <c r="C2094" s="130"/>
      <c r="D2094" s="130"/>
      <c r="E2094" s="130"/>
      <c r="F2094" s="130"/>
      <c r="G2094" s="130"/>
      <c r="H2094" s="130"/>
      <c r="I2094" s="130"/>
    </row>
    <row r="2095" spans="2:9">
      <c r="B2095" s="129"/>
      <c r="C2095" s="130"/>
      <c r="D2095" s="130"/>
      <c r="E2095" s="130"/>
      <c r="F2095" s="130"/>
      <c r="G2095" s="130"/>
      <c r="H2095" s="130"/>
      <c r="I2095" s="130"/>
    </row>
    <row r="2096" spans="2:9">
      <c r="B2096" s="129">
        <v>692</v>
      </c>
      <c r="C2096" s="130" t="s">
        <v>5253</v>
      </c>
      <c r="D2096" s="130" t="s">
        <v>5315</v>
      </c>
      <c r="E2096" s="130" t="s">
        <v>5291</v>
      </c>
      <c r="F2096" s="130" t="s">
        <v>5008</v>
      </c>
      <c r="G2096" s="130">
        <v>1000</v>
      </c>
      <c r="H2096" s="130">
        <v>21000</v>
      </c>
      <c r="I2096" s="130" t="s">
        <v>5013</v>
      </c>
    </row>
    <row r="2097" spans="2:9">
      <c r="B2097" s="129"/>
      <c r="C2097" s="130"/>
      <c r="D2097" s="130"/>
      <c r="E2097" s="130"/>
      <c r="F2097" s="130"/>
      <c r="G2097" s="130"/>
      <c r="H2097" s="130"/>
      <c r="I2097" s="130"/>
    </row>
    <row r="2098" spans="2:9">
      <c r="B2098" s="129"/>
      <c r="C2098" s="130"/>
      <c r="D2098" s="130"/>
      <c r="E2098" s="130"/>
      <c r="F2098" s="130"/>
      <c r="G2098" s="130"/>
      <c r="H2098" s="130"/>
      <c r="I2098" s="130"/>
    </row>
    <row r="2099" spans="2:9">
      <c r="B2099" s="129">
        <v>693</v>
      </c>
      <c r="C2099" s="130" t="s">
        <v>5253</v>
      </c>
      <c r="D2099" s="130" t="s">
        <v>5315</v>
      </c>
      <c r="E2099" s="130" t="s">
        <v>5132</v>
      </c>
      <c r="F2099" s="130" t="s">
        <v>5033</v>
      </c>
      <c r="G2099" s="130">
        <v>1000</v>
      </c>
      <c r="H2099" s="130" t="s">
        <v>5037</v>
      </c>
      <c r="I2099" s="130" t="s">
        <v>5004</v>
      </c>
    </row>
    <row r="2100" spans="2:9">
      <c r="B2100" s="129"/>
      <c r="C2100" s="130"/>
      <c r="D2100" s="130"/>
      <c r="E2100" s="130"/>
      <c r="F2100" s="130"/>
      <c r="G2100" s="130"/>
      <c r="H2100" s="130"/>
      <c r="I2100" s="130"/>
    </row>
    <row r="2101" spans="2:9">
      <c r="B2101" s="129"/>
      <c r="C2101" s="130"/>
      <c r="D2101" s="130"/>
      <c r="E2101" s="130"/>
      <c r="F2101" s="130"/>
      <c r="G2101" s="130"/>
      <c r="H2101" s="130"/>
      <c r="I2101" s="130"/>
    </row>
    <row r="2102" spans="2:9">
      <c r="B2102" s="129">
        <v>694</v>
      </c>
      <c r="C2102" s="130" t="s">
        <v>5253</v>
      </c>
      <c r="D2102" s="130" t="s">
        <v>5315</v>
      </c>
      <c r="E2102" s="130" t="s">
        <v>5282</v>
      </c>
      <c r="F2102" s="130" t="s">
        <v>5111</v>
      </c>
      <c r="G2102" s="130">
        <v>1000</v>
      </c>
      <c r="H2102" s="130" t="s">
        <v>5037</v>
      </c>
      <c r="I2102" s="130" t="s">
        <v>5004</v>
      </c>
    </row>
    <row r="2103" spans="2:9">
      <c r="B2103" s="129"/>
      <c r="C2103" s="130"/>
      <c r="D2103" s="130"/>
      <c r="E2103" s="130"/>
      <c r="F2103" s="130"/>
      <c r="G2103" s="130"/>
      <c r="H2103" s="130"/>
      <c r="I2103" s="130"/>
    </row>
    <row r="2104" spans="2:9">
      <c r="B2104" s="129"/>
      <c r="C2104" s="130"/>
      <c r="D2104" s="130"/>
      <c r="E2104" s="130"/>
      <c r="F2104" s="130"/>
      <c r="G2104" s="130"/>
      <c r="H2104" s="130"/>
      <c r="I2104" s="130"/>
    </row>
    <row r="2105" spans="2:9">
      <c r="B2105" s="129">
        <v>695</v>
      </c>
      <c r="C2105" s="130" t="s">
        <v>5256</v>
      </c>
      <c r="D2105" s="130" t="s">
        <v>5315</v>
      </c>
      <c r="E2105" s="130" t="s">
        <v>5312</v>
      </c>
      <c r="F2105" s="130" t="s">
        <v>5026</v>
      </c>
      <c r="G2105" s="130">
        <v>500</v>
      </c>
      <c r="H2105" s="130" t="s">
        <v>5037</v>
      </c>
      <c r="I2105" s="130" t="s">
        <v>5004</v>
      </c>
    </row>
    <row r="2106" spans="2:9">
      <c r="B2106" s="129"/>
      <c r="C2106" s="130"/>
      <c r="D2106" s="130"/>
      <c r="E2106" s="130"/>
      <c r="F2106" s="130"/>
      <c r="G2106" s="130"/>
      <c r="H2106" s="130"/>
      <c r="I2106" s="130"/>
    </row>
    <row r="2107" spans="2:9">
      <c r="B2107" s="129"/>
      <c r="C2107" s="130"/>
      <c r="D2107" s="130"/>
      <c r="E2107" s="130"/>
      <c r="F2107" s="130"/>
      <c r="G2107" s="130"/>
      <c r="H2107" s="130"/>
      <c r="I2107" s="130"/>
    </row>
    <row r="2108" spans="2:9">
      <c r="B2108" s="129">
        <v>696</v>
      </c>
      <c r="C2108" s="130" t="s">
        <v>5256</v>
      </c>
      <c r="D2108" s="130" t="s">
        <v>5315</v>
      </c>
      <c r="E2108" s="130" t="s">
        <v>5258</v>
      </c>
      <c r="F2108" s="130" t="s">
        <v>5111</v>
      </c>
      <c r="G2108" s="130">
        <v>500</v>
      </c>
      <c r="H2108" s="130">
        <v>20000</v>
      </c>
      <c r="I2108" s="130" t="s">
        <v>5004</v>
      </c>
    </row>
    <row r="2109" spans="2:9">
      <c r="B2109" s="129"/>
      <c r="C2109" s="130"/>
      <c r="D2109" s="130"/>
      <c r="E2109" s="130"/>
      <c r="F2109" s="130"/>
      <c r="G2109" s="130"/>
      <c r="H2109" s="130"/>
      <c r="I2109" s="130"/>
    </row>
    <row r="2110" spans="2:9">
      <c r="B2110" s="129"/>
      <c r="C2110" s="130"/>
      <c r="D2110" s="130"/>
      <c r="E2110" s="130"/>
      <c r="F2110" s="130"/>
      <c r="G2110" s="130"/>
      <c r="H2110" s="130"/>
      <c r="I2110" s="130"/>
    </row>
    <row r="2111" spans="2:9">
      <c r="B2111" s="129">
        <v>697</v>
      </c>
      <c r="C2111" s="130" t="s">
        <v>5256</v>
      </c>
      <c r="D2111" s="130" t="s">
        <v>5315</v>
      </c>
      <c r="E2111" s="130" t="s">
        <v>5306</v>
      </c>
      <c r="F2111" s="130" t="s">
        <v>5033</v>
      </c>
      <c r="G2111" s="130">
        <v>3000</v>
      </c>
      <c r="H2111" s="130" t="s">
        <v>5037</v>
      </c>
      <c r="I2111" s="130" t="s">
        <v>5004</v>
      </c>
    </row>
    <row r="2112" spans="2:9">
      <c r="B2112" s="129"/>
      <c r="C2112" s="130"/>
      <c r="D2112" s="130"/>
      <c r="E2112" s="130"/>
      <c r="F2112" s="130"/>
      <c r="G2112" s="130"/>
      <c r="H2112" s="130"/>
      <c r="I2112" s="130"/>
    </row>
    <row r="2113" spans="2:9">
      <c r="B2113" s="129"/>
      <c r="C2113" s="130"/>
      <c r="D2113" s="130"/>
      <c r="E2113" s="130"/>
      <c r="F2113" s="130"/>
      <c r="G2113" s="130"/>
      <c r="H2113" s="130"/>
      <c r="I2113" s="130"/>
    </row>
    <row r="2114" spans="2:9">
      <c r="B2114" s="129">
        <v>698</v>
      </c>
      <c r="C2114" s="130" t="s">
        <v>5034</v>
      </c>
      <c r="D2114" s="130" t="s">
        <v>5315</v>
      </c>
      <c r="E2114" s="130" t="s">
        <v>5036</v>
      </c>
      <c r="F2114" s="130" t="s">
        <v>5111</v>
      </c>
      <c r="G2114" s="130">
        <v>1000</v>
      </c>
      <c r="H2114" s="130">
        <v>9999</v>
      </c>
      <c r="I2114" s="130" t="s">
        <v>5004</v>
      </c>
    </row>
    <row r="2115" spans="2:9">
      <c r="B2115" s="129"/>
      <c r="C2115" s="130"/>
      <c r="D2115" s="130"/>
      <c r="E2115" s="130"/>
      <c r="F2115" s="130"/>
      <c r="G2115" s="130"/>
      <c r="H2115" s="130"/>
      <c r="I2115" s="130"/>
    </row>
    <row r="2116" spans="2:9">
      <c r="B2116" s="129"/>
      <c r="C2116" s="130"/>
      <c r="D2116" s="130"/>
      <c r="E2116" s="130"/>
      <c r="F2116" s="130"/>
      <c r="G2116" s="130"/>
      <c r="H2116" s="130"/>
      <c r="I2116" s="130"/>
    </row>
    <row r="2117" spans="2:9">
      <c r="B2117" s="129">
        <v>699</v>
      </c>
      <c r="C2117" s="130" t="s">
        <v>5224</v>
      </c>
      <c r="D2117" s="130" t="s">
        <v>5315</v>
      </c>
      <c r="E2117" s="130" t="s">
        <v>5132</v>
      </c>
      <c r="F2117" s="130" t="s">
        <v>5003</v>
      </c>
      <c r="G2117" s="130">
        <v>50</v>
      </c>
      <c r="H2117" s="130" t="s">
        <v>5037</v>
      </c>
      <c r="I2117" s="130" t="s">
        <v>5004</v>
      </c>
    </row>
    <row r="2118" spans="2:9">
      <c r="B2118" s="129"/>
      <c r="C2118" s="130"/>
      <c r="D2118" s="130"/>
      <c r="E2118" s="130"/>
      <c r="F2118" s="130"/>
      <c r="G2118" s="130"/>
      <c r="H2118" s="130"/>
      <c r="I2118" s="130"/>
    </row>
    <row r="2119" spans="2:9">
      <c r="B2119" s="129"/>
      <c r="C2119" s="130"/>
      <c r="D2119" s="130"/>
      <c r="E2119" s="130"/>
      <c r="F2119" s="130"/>
      <c r="G2119" s="130"/>
      <c r="H2119" s="130"/>
      <c r="I2119" s="130"/>
    </row>
    <row r="2120" spans="2:9">
      <c r="B2120" s="129">
        <v>700</v>
      </c>
      <c r="C2120" s="130" t="s">
        <v>5238</v>
      </c>
      <c r="D2120" s="130" t="s">
        <v>5316</v>
      </c>
      <c r="E2120" s="130" t="s">
        <v>5240</v>
      </c>
      <c r="F2120" s="130" t="s">
        <v>5020</v>
      </c>
      <c r="G2120" s="130">
        <v>20000</v>
      </c>
      <c r="H2120" s="130" t="s">
        <v>5037</v>
      </c>
      <c r="I2120" s="130" t="s">
        <v>5004</v>
      </c>
    </row>
    <row r="2121" spans="2:9">
      <c r="B2121" s="129"/>
      <c r="C2121" s="130"/>
      <c r="D2121" s="130"/>
      <c r="E2121" s="130"/>
      <c r="F2121" s="130"/>
      <c r="G2121" s="130"/>
      <c r="H2121" s="130"/>
      <c r="I2121" s="130"/>
    </row>
    <row r="2122" spans="2:9">
      <c r="B2122" s="129"/>
      <c r="C2122" s="130"/>
      <c r="D2122" s="130"/>
      <c r="E2122" s="130"/>
      <c r="F2122" s="130"/>
      <c r="G2122" s="130"/>
      <c r="H2122" s="130"/>
      <c r="I2122" s="130"/>
    </row>
    <row r="2123" spans="2:9">
      <c r="B2123" s="129">
        <v>701</v>
      </c>
      <c r="C2123" s="130" t="s">
        <v>5256</v>
      </c>
      <c r="D2123" s="130" t="s">
        <v>5316</v>
      </c>
      <c r="E2123" s="130" t="s">
        <v>5312</v>
      </c>
      <c r="F2123" s="130" t="s">
        <v>5033</v>
      </c>
      <c r="G2123" s="130">
        <v>500</v>
      </c>
      <c r="H2123" s="130" t="s">
        <v>5037</v>
      </c>
      <c r="I2123" s="130" t="s">
        <v>5004</v>
      </c>
    </row>
    <row r="2124" spans="2:9">
      <c r="B2124" s="129"/>
      <c r="C2124" s="130"/>
      <c r="D2124" s="130"/>
      <c r="E2124" s="130"/>
      <c r="F2124" s="130"/>
      <c r="G2124" s="130"/>
      <c r="H2124" s="130"/>
      <c r="I2124" s="130"/>
    </row>
    <row r="2125" spans="2:9">
      <c r="B2125" s="129"/>
      <c r="C2125" s="130"/>
      <c r="D2125" s="130"/>
      <c r="E2125" s="130"/>
      <c r="F2125" s="130"/>
      <c r="G2125" s="130"/>
      <c r="H2125" s="130"/>
      <c r="I2125" s="130"/>
    </row>
    <row r="2126" spans="2:9">
      <c r="B2126" s="129">
        <v>702</v>
      </c>
      <c r="C2126" s="130" t="s">
        <v>5224</v>
      </c>
      <c r="D2126" s="130" t="s">
        <v>5316</v>
      </c>
      <c r="E2126" s="130" t="s">
        <v>5132</v>
      </c>
      <c r="F2126" s="130" t="s">
        <v>5111</v>
      </c>
      <c r="G2126" s="130">
        <v>50</v>
      </c>
      <c r="H2126" s="130" t="s">
        <v>5037</v>
      </c>
      <c r="I2126" s="130" t="s">
        <v>5004</v>
      </c>
    </row>
    <row r="2127" spans="2:9">
      <c r="B2127" s="129"/>
      <c r="C2127" s="130"/>
      <c r="D2127" s="130"/>
      <c r="E2127" s="130"/>
      <c r="F2127" s="130"/>
      <c r="G2127" s="130"/>
      <c r="H2127" s="130"/>
      <c r="I2127" s="130"/>
    </row>
    <row r="2128" spans="2:9">
      <c r="B2128" s="129"/>
      <c r="C2128" s="130"/>
      <c r="D2128" s="130"/>
      <c r="E2128" s="130"/>
      <c r="F2128" s="130"/>
      <c r="G2128" s="130"/>
      <c r="H2128" s="130"/>
      <c r="I2128" s="130"/>
    </row>
    <row r="2129" spans="2:9">
      <c r="B2129" s="129">
        <v>703</v>
      </c>
      <c r="C2129" s="130" t="s">
        <v>5238</v>
      </c>
      <c r="D2129" s="130" t="s">
        <v>5317</v>
      </c>
      <c r="E2129" s="130" t="s">
        <v>5240</v>
      </c>
      <c r="F2129" s="130" t="s">
        <v>5003</v>
      </c>
      <c r="G2129" s="130">
        <v>1000</v>
      </c>
      <c r="H2129" s="130">
        <v>20000</v>
      </c>
      <c r="I2129" s="130" t="s">
        <v>5004</v>
      </c>
    </row>
    <row r="2130" spans="2:9">
      <c r="B2130" s="129"/>
      <c r="C2130" s="130"/>
      <c r="D2130" s="130"/>
      <c r="E2130" s="130"/>
      <c r="F2130" s="130"/>
      <c r="G2130" s="130"/>
      <c r="H2130" s="130"/>
      <c r="I2130" s="130"/>
    </row>
    <row r="2131" spans="2:9">
      <c r="B2131" s="129"/>
      <c r="C2131" s="130"/>
      <c r="D2131" s="130"/>
      <c r="E2131" s="130"/>
      <c r="F2131" s="130"/>
      <c r="G2131" s="130"/>
      <c r="H2131" s="130"/>
      <c r="I2131" s="130"/>
    </row>
    <row r="2132" spans="2:9">
      <c r="B2132" s="129">
        <v>704</v>
      </c>
      <c r="C2132" s="130" t="s">
        <v>5238</v>
      </c>
      <c r="D2132" s="130" t="s">
        <v>5317</v>
      </c>
      <c r="E2132" s="130" t="s">
        <v>5240</v>
      </c>
      <c r="F2132" s="130" t="s">
        <v>5008</v>
      </c>
      <c r="G2132" s="130">
        <v>20000</v>
      </c>
      <c r="H2132" s="130" t="s">
        <v>5037</v>
      </c>
      <c r="I2132" s="130" t="s">
        <v>5004</v>
      </c>
    </row>
    <row r="2133" spans="2:9">
      <c r="B2133" s="129"/>
      <c r="C2133" s="130"/>
      <c r="D2133" s="130"/>
      <c r="E2133" s="130"/>
      <c r="F2133" s="130"/>
      <c r="G2133" s="130"/>
      <c r="H2133" s="130"/>
      <c r="I2133" s="130"/>
    </row>
    <row r="2134" spans="2:9">
      <c r="B2134" s="129"/>
      <c r="C2134" s="130"/>
      <c r="D2134" s="130"/>
      <c r="E2134" s="130"/>
      <c r="F2134" s="130"/>
      <c r="G2134" s="130"/>
      <c r="H2134" s="130"/>
      <c r="I2134" s="130"/>
    </row>
    <row r="2135" spans="2:9">
      <c r="B2135" s="129">
        <v>705</v>
      </c>
      <c r="C2135" s="130" t="s">
        <v>5238</v>
      </c>
      <c r="D2135" s="130" t="s">
        <v>5317</v>
      </c>
      <c r="E2135" s="130" t="s">
        <v>5240</v>
      </c>
      <c r="F2135" s="130" t="s">
        <v>5050</v>
      </c>
      <c r="G2135" s="130">
        <v>20000</v>
      </c>
      <c r="H2135" s="130" t="s">
        <v>5037</v>
      </c>
      <c r="I2135" s="130" t="s">
        <v>5004</v>
      </c>
    </row>
    <row r="2136" spans="2:9">
      <c r="B2136" s="129"/>
      <c r="C2136" s="130"/>
      <c r="D2136" s="130"/>
      <c r="E2136" s="130"/>
      <c r="F2136" s="130"/>
      <c r="G2136" s="130"/>
      <c r="H2136" s="130"/>
      <c r="I2136" s="130"/>
    </row>
    <row r="2137" spans="2:9">
      <c r="B2137" s="129"/>
      <c r="C2137" s="130"/>
      <c r="D2137" s="130"/>
      <c r="E2137" s="130"/>
      <c r="F2137" s="130"/>
      <c r="G2137" s="130"/>
      <c r="H2137" s="130"/>
      <c r="I2137" s="130"/>
    </row>
    <row r="2138" spans="2:9">
      <c r="B2138" s="129">
        <v>706</v>
      </c>
      <c r="C2138" s="130" t="s">
        <v>5128</v>
      </c>
      <c r="D2138" s="130" t="s">
        <v>5317</v>
      </c>
      <c r="E2138" s="130" t="s">
        <v>5127</v>
      </c>
      <c r="F2138" s="130" t="s">
        <v>5003</v>
      </c>
      <c r="G2138" s="130">
        <v>50000</v>
      </c>
      <c r="H2138" s="130" t="s">
        <v>5037</v>
      </c>
      <c r="I2138" s="130" t="s">
        <v>5013</v>
      </c>
    </row>
    <row r="2139" spans="2:9">
      <c r="B2139" s="129"/>
      <c r="C2139" s="130"/>
      <c r="D2139" s="130"/>
      <c r="E2139" s="130"/>
      <c r="F2139" s="130"/>
      <c r="G2139" s="130"/>
      <c r="H2139" s="130"/>
      <c r="I2139" s="130"/>
    </row>
    <row r="2140" spans="2:9">
      <c r="B2140" s="129"/>
      <c r="C2140" s="130"/>
      <c r="D2140" s="130"/>
      <c r="E2140" s="130"/>
      <c r="F2140" s="130"/>
      <c r="G2140" s="130"/>
      <c r="H2140" s="130"/>
      <c r="I2140" s="130"/>
    </row>
    <row r="2141" spans="2:9">
      <c r="B2141" s="129">
        <v>707</v>
      </c>
      <c r="C2141" s="130" t="s">
        <v>5128</v>
      </c>
      <c r="D2141" s="130" t="s">
        <v>5317</v>
      </c>
      <c r="E2141" s="130" t="s">
        <v>5127</v>
      </c>
      <c r="F2141" s="130" t="s">
        <v>5008</v>
      </c>
      <c r="G2141" s="130">
        <v>10000</v>
      </c>
      <c r="H2141" s="130">
        <v>49999</v>
      </c>
      <c r="I2141" s="130" t="s">
        <v>5004</v>
      </c>
    </row>
    <row r="2142" spans="2:9">
      <c r="B2142" s="129"/>
      <c r="C2142" s="130"/>
      <c r="D2142" s="130"/>
      <c r="E2142" s="130"/>
      <c r="F2142" s="130"/>
      <c r="G2142" s="130"/>
      <c r="H2142" s="130"/>
      <c r="I2142" s="130"/>
    </row>
    <row r="2143" spans="2:9">
      <c r="B2143" s="129"/>
      <c r="C2143" s="130"/>
      <c r="D2143" s="130"/>
      <c r="E2143" s="130"/>
      <c r="F2143" s="130"/>
      <c r="G2143" s="130"/>
      <c r="H2143" s="130"/>
      <c r="I2143" s="130"/>
    </row>
    <row r="2144" spans="2:9">
      <c r="B2144" s="129">
        <v>708</v>
      </c>
      <c r="C2144" s="130" t="s">
        <v>5128</v>
      </c>
      <c r="D2144" s="130" t="s">
        <v>5317</v>
      </c>
      <c r="E2144" s="130" t="s">
        <v>5127</v>
      </c>
      <c r="F2144" s="130" t="s">
        <v>5033</v>
      </c>
      <c r="G2144" s="130">
        <v>10000</v>
      </c>
      <c r="H2144" s="130">
        <v>49999</v>
      </c>
      <c r="I2144" s="130" t="s">
        <v>5004</v>
      </c>
    </row>
    <row r="2145" spans="2:9">
      <c r="B2145" s="129"/>
      <c r="C2145" s="130"/>
      <c r="D2145" s="130"/>
      <c r="E2145" s="130"/>
      <c r="F2145" s="130"/>
      <c r="G2145" s="130"/>
      <c r="H2145" s="130"/>
      <c r="I2145" s="130"/>
    </row>
    <row r="2146" spans="2:9">
      <c r="B2146" s="129"/>
      <c r="C2146" s="130"/>
      <c r="D2146" s="130"/>
      <c r="E2146" s="130"/>
      <c r="F2146" s="130"/>
      <c r="G2146" s="130"/>
      <c r="H2146" s="130"/>
      <c r="I2146" s="130"/>
    </row>
    <row r="2147" spans="2:9">
      <c r="B2147" s="129">
        <v>709</v>
      </c>
      <c r="C2147" s="130" t="s">
        <v>5095</v>
      </c>
      <c r="D2147" s="130" t="s">
        <v>5317</v>
      </c>
      <c r="E2147" s="130" t="s">
        <v>5205</v>
      </c>
      <c r="F2147" s="130" t="s">
        <v>5003</v>
      </c>
      <c r="G2147" s="130">
        <v>10000</v>
      </c>
      <c r="H2147" s="130">
        <v>24999</v>
      </c>
      <c r="I2147" s="130" t="s">
        <v>5004</v>
      </c>
    </row>
    <row r="2148" spans="2:9">
      <c r="B2148" s="129"/>
      <c r="C2148" s="130"/>
      <c r="D2148" s="130"/>
      <c r="E2148" s="130"/>
      <c r="F2148" s="130"/>
      <c r="G2148" s="130"/>
      <c r="H2148" s="130"/>
      <c r="I2148" s="130"/>
    </row>
    <row r="2149" spans="2:9">
      <c r="B2149" s="129"/>
      <c r="C2149" s="130"/>
      <c r="D2149" s="130"/>
      <c r="E2149" s="130"/>
      <c r="F2149" s="130"/>
      <c r="G2149" s="130"/>
      <c r="H2149" s="130"/>
      <c r="I2149" s="130"/>
    </row>
    <row r="2150" spans="2:9">
      <c r="B2150" s="129">
        <v>710</v>
      </c>
      <c r="C2150" s="130" t="s">
        <v>5253</v>
      </c>
      <c r="D2150" s="130" t="s">
        <v>5317</v>
      </c>
      <c r="E2150" s="130" t="s">
        <v>5132</v>
      </c>
      <c r="F2150" s="130" t="s">
        <v>5050</v>
      </c>
      <c r="G2150" s="130">
        <v>1000</v>
      </c>
      <c r="H2150" s="130" t="s">
        <v>5037</v>
      </c>
      <c r="I2150" s="130" t="s">
        <v>5004</v>
      </c>
    </row>
    <row r="2151" spans="2:9">
      <c r="B2151" s="129"/>
      <c r="C2151" s="130"/>
      <c r="D2151" s="130"/>
      <c r="E2151" s="130"/>
      <c r="F2151" s="130"/>
      <c r="G2151" s="130"/>
      <c r="H2151" s="130"/>
      <c r="I2151" s="130"/>
    </row>
    <row r="2152" spans="2:9">
      <c r="B2152" s="129"/>
      <c r="C2152" s="130"/>
      <c r="D2152" s="130"/>
      <c r="E2152" s="130"/>
      <c r="F2152" s="130"/>
      <c r="G2152" s="130"/>
      <c r="H2152" s="130"/>
      <c r="I2152" s="130"/>
    </row>
    <row r="2153" spans="2:9">
      <c r="B2153" s="129">
        <v>711</v>
      </c>
      <c r="C2153" s="130" t="s">
        <v>5256</v>
      </c>
      <c r="D2153" s="130" t="s">
        <v>5317</v>
      </c>
      <c r="E2153" s="130" t="s">
        <v>5312</v>
      </c>
      <c r="F2153" s="130" t="s">
        <v>5008</v>
      </c>
      <c r="G2153" s="130">
        <v>500</v>
      </c>
      <c r="H2153" s="130" t="s">
        <v>5037</v>
      </c>
      <c r="I2153" s="130" t="s">
        <v>5004</v>
      </c>
    </row>
    <row r="2154" spans="2:9">
      <c r="B2154" s="129"/>
      <c r="C2154" s="130"/>
      <c r="D2154" s="130"/>
      <c r="E2154" s="130"/>
      <c r="F2154" s="130"/>
      <c r="G2154" s="130"/>
      <c r="H2154" s="130"/>
      <c r="I2154" s="130"/>
    </row>
    <row r="2155" spans="2:9">
      <c r="B2155" s="129"/>
      <c r="C2155" s="130"/>
      <c r="D2155" s="130"/>
      <c r="E2155" s="130"/>
      <c r="F2155" s="130"/>
      <c r="G2155" s="130"/>
      <c r="H2155" s="130"/>
      <c r="I2155" s="130"/>
    </row>
    <row r="2156" spans="2:9">
      <c r="B2156" s="129">
        <v>712</v>
      </c>
      <c r="C2156" s="130" t="s">
        <v>5301</v>
      </c>
      <c r="D2156" s="130" t="s">
        <v>5317</v>
      </c>
      <c r="E2156" s="130" t="s">
        <v>5302</v>
      </c>
      <c r="F2156" s="130" t="s">
        <v>5026</v>
      </c>
      <c r="G2156" s="130">
        <v>50000</v>
      </c>
      <c r="H2156" s="130">
        <v>99999</v>
      </c>
      <c r="I2156" s="130" t="s">
        <v>5004</v>
      </c>
    </row>
    <row r="2157" spans="2:9">
      <c r="B2157" s="129"/>
      <c r="C2157" s="130"/>
      <c r="D2157" s="130"/>
      <c r="E2157" s="130"/>
      <c r="F2157" s="130"/>
      <c r="G2157" s="130"/>
      <c r="H2157" s="130"/>
      <c r="I2157" s="130"/>
    </row>
    <row r="2158" spans="2:9">
      <c r="B2158" s="129"/>
      <c r="C2158" s="130"/>
      <c r="D2158" s="130"/>
      <c r="E2158" s="130"/>
      <c r="F2158" s="130"/>
      <c r="G2158" s="130"/>
      <c r="H2158" s="130"/>
      <c r="I2158" s="130"/>
    </row>
    <row r="2159" spans="2:9">
      <c r="B2159" s="129">
        <v>713</v>
      </c>
      <c r="C2159" s="130" t="s">
        <v>5107</v>
      </c>
      <c r="D2159" s="130" t="s">
        <v>5317</v>
      </c>
      <c r="E2159" s="130" t="s">
        <v>5132</v>
      </c>
      <c r="F2159" s="130" t="s">
        <v>5111</v>
      </c>
      <c r="G2159" s="130">
        <v>100000</v>
      </c>
      <c r="H2159" s="130" t="s">
        <v>5037</v>
      </c>
      <c r="I2159" s="130" t="s">
        <v>5004</v>
      </c>
    </row>
    <row r="2160" spans="2:9">
      <c r="B2160" s="129"/>
      <c r="C2160" s="130"/>
      <c r="D2160" s="130"/>
      <c r="E2160" s="130"/>
      <c r="F2160" s="130"/>
      <c r="G2160" s="130"/>
      <c r="H2160" s="130"/>
      <c r="I2160" s="130"/>
    </row>
    <row r="2161" spans="2:9">
      <c r="B2161" s="129"/>
      <c r="C2161" s="130"/>
      <c r="D2161" s="130"/>
      <c r="E2161" s="130"/>
      <c r="F2161" s="130"/>
      <c r="G2161" s="130"/>
      <c r="H2161" s="130"/>
      <c r="I2161" s="130"/>
    </row>
    <row r="2162" spans="2:9">
      <c r="B2162" s="129">
        <v>714</v>
      </c>
      <c r="C2162" s="130" t="s">
        <v>5112</v>
      </c>
      <c r="D2162" s="130" t="s">
        <v>5317</v>
      </c>
      <c r="E2162" s="130" t="s">
        <v>5260</v>
      </c>
      <c r="F2162" s="130" t="s">
        <v>5012</v>
      </c>
      <c r="G2162" s="130">
        <v>0</v>
      </c>
      <c r="H2162" s="130">
        <v>9999</v>
      </c>
      <c r="I2162" s="130" t="s">
        <v>5029</v>
      </c>
    </row>
    <row r="2163" spans="2:9">
      <c r="B2163" s="129"/>
      <c r="C2163" s="130"/>
      <c r="D2163" s="130"/>
      <c r="E2163" s="130"/>
      <c r="F2163" s="130"/>
      <c r="G2163" s="130"/>
      <c r="H2163" s="130"/>
      <c r="I2163" s="130"/>
    </row>
    <row r="2164" spans="2:9">
      <c r="B2164" s="129"/>
      <c r="C2164" s="130"/>
      <c r="D2164" s="130"/>
      <c r="E2164" s="130"/>
      <c r="F2164" s="130"/>
      <c r="G2164" s="130"/>
      <c r="H2164" s="130"/>
      <c r="I2164" s="130"/>
    </row>
    <row r="2165" spans="2:9">
      <c r="B2165" s="129">
        <v>715</v>
      </c>
      <c r="C2165" s="130" t="s">
        <v>5238</v>
      </c>
      <c r="D2165" s="130" t="s">
        <v>5318</v>
      </c>
      <c r="E2165" s="130" t="s">
        <v>5240</v>
      </c>
      <c r="F2165" s="130" t="s">
        <v>5310</v>
      </c>
      <c r="G2165" s="130">
        <v>20000</v>
      </c>
      <c r="H2165" s="130" t="s">
        <v>5037</v>
      </c>
      <c r="I2165" s="130" t="s">
        <v>5004</v>
      </c>
    </row>
    <row r="2166" spans="2:9">
      <c r="B2166" s="129"/>
      <c r="C2166" s="130"/>
      <c r="D2166" s="130"/>
      <c r="E2166" s="130"/>
      <c r="F2166" s="130"/>
      <c r="G2166" s="130"/>
      <c r="H2166" s="130"/>
      <c r="I2166" s="130"/>
    </row>
    <row r="2167" spans="2:9">
      <c r="B2167" s="129"/>
      <c r="C2167" s="130"/>
      <c r="D2167" s="130"/>
      <c r="E2167" s="130"/>
      <c r="F2167" s="130"/>
      <c r="G2167" s="130"/>
      <c r="H2167" s="130"/>
      <c r="I2167" s="130"/>
    </row>
    <row r="2168" spans="2:9">
      <c r="B2168" s="129">
        <v>716</v>
      </c>
      <c r="C2168" s="130" t="s">
        <v>5256</v>
      </c>
      <c r="D2168" s="130" t="s">
        <v>5318</v>
      </c>
      <c r="E2168" s="130" t="s">
        <v>5312</v>
      </c>
      <c r="F2168" s="130" t="s">
        <v>5003</v>
      </c>
      <c r="G2168" s="130">
        <v>500</v>
      </c>
      <c r="H2168" s="130" t="s">
        <v>5037</v>
      </c>
      <c r="I2168" s="130" t="s">
        <v>5004</v>
      </c>
    </row>
    <row r="2169" spans="2:9">
      <c r="B2169" s="129"/>
      <c r="C2169" s="130"/>
      <c r="D2169" s="130"/>
      <c r="E2169" s="130"/>
      <c r="F2169" s="130"/>
      <c r="G2169" s="130"/>
      <c r="H2169" s="130"/>
      <c r="I2169" s="130"/>
    </row>
    <row r="2170" spans="2:9">
      <c r="B2170" s="129"/>
      <c r="C2170" s="130"/>
      <c r="D2170" s="130"/>
      <c r="E2170" s="130"/>
      <c r="F2170" s="130"/>
      <c r="G2170" s="130"/>
      <c r="H2170" s="130"/>
      <c r="I2170" s="130"/>
    </row>
    <row r="2171" spans="2:9">
      <c r="B2171" s="129">
        <v>717</v>
      </c>
      <c r="C2171" s="130" t="s">
        <v>5301</v>
      </c>
      <c r="D2171" s="130" t="s">
        <v>5318</v>
      </c>
      <c r="E2171" s="130" t="s">
        <v>5302</v>
      </c>
      <c r="F2171" s="130" t="s">
        <v>5033</v>
      </c>
      <c r="G2171" s="130">
        <v>50000</v>
      </c>
      <c r="H2171" s="130">
        <v>99999</v>
      </c>
      <c r="I2171" s="130" t="s">
        <v>5004</v>
      </c>
    </row>
    <row r="2172" spans="2:9">
      <c r="B2172" s="129"/>
      <c r="C2172" s="130"/>
      <c r="D2172" s="130"/>
      <c r="E2172" s="130"/>
      <c r="F2172" s="130"/>
      <c r="G2172" s="130"/>
      <c r="H2172" s="130"/>
      <c r="I2172" s="130"/>
    </row>
    <row r="2173" spans="2:9">
      <c r="B2173" s="129"/>
      <c r="C2173" s="130"/>
      <c r="D2173" s="130"/>
      <c r="E2173" s="130"/>
      <c r="F2173" s="130"/>
      <c r="G2173" s="130"/>
      <c r="H2173" s="130"/>
      <c r="I2173" s="130"/>
    </row>
    <row r="2174" spans="2:9">
      <c r="B2174" s="129">
        <v>718</v>
      </c>
      <c r="C2174" s="130" t="s">
        <v>5208</v>
      </c>
      <c r="D2174" s="130" t="s">
        <v>5318</v>
      </c>
      <c r="E2174" s="130" t="s">
        <v>5132</v>
      </c>
      <c r="F2174" s="130" t="s">
        <v>5085</v>
      </c>
      <c r="G2174" s="130">
        <v>10000</v>
      </c>
      <c r="H2174" s="130">
        <v>49999</v>
      </c>
      <c r="I2174" s="130" t="s">
        <v>5004</v>
      </c>
    </row>
    <row r="2175" spans="2:9">
      <c r="B2175" s="129"/>
      <c r="C2175" s="130"/>
      <c r="D2175" s="130"/>
      <c r="E2175" s="130"/>
      <c r="F2175" s="130"/>
      <c r="G2175" s="130"/>
      <c r="H2175" s="130"/>
      <c r="I2175" s="130"/>
    </row>
    <row r="2176" spans="2:9">
      <c r="B2176" s="129"/>
      <c r="C2176" s="130"/>
      <c r="D2176" s="130"/>
      <c r="E2176" s="130"/>
      <c r="F2176" s="130"/>
      <c r="G2176" s="130"/>
      <c r="H2176" s="130"/>
      <c r="I2176" s="130"/>
    </row>
    <row r="2177" spans="2:9">
      <c r="B2177" s="129">
        <v>719</v>
      </c>
      <c r="C2177" s="130" t="s">
        <v>5184</v>
      </c>
      <c r="D2177" s="130" t="s">
        <v>5319</v>
      </c>
      <c r="E2177" s="130" t="s">
        <v>5271</v>
      </c>
      <c r="F2177" s="130" t="s">
        <v>5196</v>
      </c>
      <c r="G2177" s="130">
        <v>5000</v>
      </c>
      <c r="H2177" s="130" t="s">
        <v>5037</v>
      </c>
      <c r="I2177" s="130" t="s">
        <v>5013</v>
      </c>
    </row>
    <row r="2178" spans="2:9">
      <c r="B2178" s="129"/>
      <c r="C2178" s="130"/>
      <c r="D2178" s="130"/>
      <c r="E2178" s="130"/>
      <c r="F2178" s="130"/>
      <c r="G2178" s="130"/>
      <c r="H2178" s="130"/>
      <c r="I2178" s="130"/>
    </row>
    <row r="2179" spans="2:9">
      <c r="B2179" s="129"/>
      <c r="C2179" s="130"/>
      <c r="D2179" s="130"/>
      <c r="E2179" s="130"/>
      <c r="F2179" s="130"/>
      <c r="G2179" s="130"/>
      <c r="H2179" s="130"/>
      <c r="I2179" s="130"/>
    </row>
    <row r="2180" spans="2:9">
      <c r="B2180" s="129">
        <v>720</v>
      </c>
      <c r="C2180" s="130" t="s">
        <v>5081</v>
      </c>
      <c r="D2180" s="130" t="s">
        <v>5319</v>
      </c>
      <c r="E2180" s="130" t="s">
        <v>5177</v>
      </c>
      <c r="F2180" s="130" t="s">
        <v>5226</v>
      </c>
      <c r="G2180" s="130">
        <v>500</v>
      </c>
      <c r="H2180" s="130" t="s">
        <v>5037</v>
      </c>
      <c r="I2180" s="130" t="s">
        <v>5004</v>
      </c>
    </row>
    <row r="2181" spans="2:9">
      <c r="B2181" s="129"/>
      <c r="C2181" s="130"/>
      <c r="D2181" s="130"/>
      <c r="E2181" s="130"/>
      <c r="F2181" s="130"/>
      <c r="G2181" s="130"/>
      <c r="H2181" s="130"/>
      <c r="I2181" s="130"/>
    </row>
    <row r="2182" spans="2:9">
      <c r="B2182" s="129"/>
      <c r="C2182" s="130"/>
      <c r="D2182" s="130"/>
      <c r="E2182" s="130"/>
      <c r="F2182" s="130"/>
      <c r="G2182" s="130"/>
      <c r="H2182" s="130"/>
      <c r="I2182" s="130"/>
    </row>
    <row r="2183" spans="2:9">
      <c r="B2183" s="129">
        <v>721</v>
      </c>
      <c r="C2183" s="130" t="s">
        <v>5218</v>
      </c>
      <c r="D2183" s="130" t="s">
        <v>5319</v>
      </c>
      <c r="E2183" s="130" t="s">
        <v>5299</v>
      </c>
      <c r="F2183" s="130" t="s">
        <v>5111</v>
      </c>
      <c r="G2183" s="130">
        <v>10000</v>
      </c>
      <c r="H2183" s="130">
        <v>20000</v>
      </c>
      <c r="I2183" s="130" t="s">
        <v>5004</v>
      </c>
    </row>
    <row r="2184" spans="2:9">
      <c r="B2184" s="129"/>
      <c r="C2184" s="130"/>
      <c r="D2184" s="130"/>
      <c r="E2184" s="130"/>
      <c r="F2184" s="130"/>
      <c r="G2184" s="130"/>
      <c r="H2184" s="130"/>
      <c r="I2184" s="130"/>
    </row>
    <row r="2185" spans="2:9">
      <c r="B2185" s="129"/>
      <c r="C2185" s="130"/>
      <c r="D2185" s="130"/>
      <c r="E2185" s="130"/>
      <c r="F2185" s="130"/>
      <c r="G2185" s="130"/>
      <c r="H2185" s="130"/>
      <c r="I2185" s="130"/>
    </row>
    <row r="2186" spans="2:9">
      <c r="B2186" s="129">
        <v>722</v>
      </c>
      <c r="C2186" s="130" t="s">
        <v>5188</v>
      </c>
      <c r="D2186" s="130" t="s">
        <v>5319</v>
      </c>
      <c r="E2186" s="130" t="s">
        <v>5213</v>
      </c>
      <c r="F2186" s="130" t="s">
        <v>5008</v>
      </c>
      <c r="G2186" s="130">
        <v>500</v>
      </c>
      <c r="H2186" s="130">
        <v>10000</v>
      </c>
      <c r="I2186" s="130" t="s">
        <v>5004</v>
      </c>
    </row>
    <row r="2187" spans="2:9">
      <c r="B2187" s="129"/>
      <c r="C2187" s="130"/>
      <c r="D2187" s="130"/>
      <c r="E2187" s="130"/>
      <c r="F2187" s="130"/>
      <c r="G2187" s="130"/>
      <c r="H2187" s="130"/>
      <c r="I2187" s="130"/>
    </row>
    <row r="2188" spans="2:9">
      <c r="B2188" s="129"/>
      <c r="C2188" s="130"/>
      <c r="D2188" s="130"/>
      <c r="E2188" s="130"/>
      <c r="F2188" s="130"/>
      <c r="G2188" s="130"/>
      <c r="H2188" s="130"/>
      <c r="I2188" s="130"/>
    </row>
    <row r="2189" spans="2:9">
      <c r="B2189" s="129">
        <v>723</v>
      </c>
      <c r="C2189" s="130" t="s">
        <v>5071</v>
      </c>
      <c r="D2189" s="130" t="s">
        <v>5319</v>
      </c>
      <c r="E2189" s="130" t="s">
        <v>5300</v>
      </c>
      <c r="F2189" s="130" t="s">
        <v>5111</v>
      </c>
      <c r="G2189" s="130">
        <v>2000</v>
      </c>
      <c r="H2189" s="130" t="s">
        <v>5037</v>
      </c>
      <c r="I2189" s="130" t="s">
        <v>5004</v>
      </c>
    </row>
    <row r="2190" spans="2:9">
      <c r="B2190" s="129"/>
      <c r="C2190" s="130"/>
      <c r="D2190" s="130"/>
      <c r="E2190" s="130"/>
      <c r="F2190" s="130"/>
      <c r="G2190" s="130"/>
      <c r="H2190" s="130"/>
      <c r="I2190" s="130"/>
    </row>
    <row r="2191" spans="2:9">
      <c r="B2191" s="129"/>
      <c r="C2191" s="130"/>
      <c r="D2191" s="130"/>
      <c r="E2191" s="130"/>
      <c r="F2191" s="130"/>
      <c r="G2191" s="130"/>
      <c r="H2191" s="130"/>
      <c r="I2191" s="130"/>
    </row>
    <row r="2192" spans="2:9">
      <c r="B2192" s="129">
        <v>724</v>
      </c>
      <c r="C2192" s="130" t="s">
        <v>5071</v>
      </c>
      <c r="D2192" s="130" t="s">
        <v>5319</v>
      </c>
      <c r="E2192" s="130" t="s">
        <v>5320</v>
      </c>
      <c r="F2192" s="130" t="s">
        <v>5026</v>
      </c>
      <c r="G2192" s="130">
        <v>35000</v>
      </c>
      <c r="H2192" s="130" t="s">
        <v>5037</v>
      </c>
      <c r="I2192" s="130" t="s">
        <v>5004</v>
      </c>
    </row>
    <row r="2193" spans="2:9">
      <c r="B2193" s="129"/>
      <c r="C2193" s="130"/>
      <c r="D2193" s="130"/>
      <c r="E2193" s="130"/>
      <c r="F2193" s="130"/>
      <c r="G2193" s="130"/>
      <c r="H2193" s="130"/>
      <c r="I2193" s="130"/>
    </row>
    <row r="2194" spans="2:9">
      <c r="B2194" s="129"/>
      <c r="C2194" s="130"/>
      <c r="D2194" s="130"/>
      <c r="E2194" s="130"/>
      <c r="F2194" s="130"/>
      <c r="G2194" s="130"/>
      <c r="H2194" s="130"/>
      <c r="I2194" s="130"/>
    </row>
    <row r="2195" spans="2:9">
      <c r="B2195" s="129">
        <v>725</v>
      </c>
      <c r="C2195" s="130" t="s">
        <v>5071</v>
      </c>
      <c r="D2195" s="130" t="s">
        <v>5319</v>
      </c>
      <c r="E2195" s="130" t="s">
        <v>5320</v>
      </c>
      <c r="F2195" s="130" t="s">
        <v>5026</v>
      </c>
      <c r="G2195" s="130">
        <v>35000</v>
      </c>
      <c r="H2195" s="130" t="s">
        <v>5037</v>
      </c>
      <c r="I2195" s="130" t="s">
        <v>5004</v>
      </c>
    </row>
    <row r="2196" spans="2:9">
      <c r="B2196" s="129"/>
      <c r="C2196" s="130"/>
      <c r="D2196" s="130"/>
      <c r="E2196" s="130"/>
      <c r="F2196" s="130"/>
      <c r="G2196" s="130"/>
      <c r="H2196" s="130"/>
      <c r="I2196" s="130"/>
    </row>
    <row r="2197" spans="2:9">
      <c r="B2197" s="129"/>
      <c r="C2197" s="130"/>
      <c r="D2197" s="130"/>
      <c r="E2197" s="130"/>
      <c r="F2197" s="130"/>
      <c r="G2197" s="130"/>
      <c r="H2197" s="130"/>
      <c r="I2197" s="130"/>
    </row>
    <row r="2198" spans="2:9">
      <c r="B2198" s="129">
        <v>726</v>
      </c>
      <c r="C2198" s="130" t="s">
        <v>5125</v>
      </c>
      <c r="D2198" s="130" t="s">
        <v>5319</v>
      </c>
      <c r="E2198" s="130" t="s">
        <v>5198</v>
      </c>
      <c r="F2198" s="130" t="s">
        <v>5226</v>
      </c>
      <c r="G2198" s="130">
        <v>500000</v>
      </c>
      <c r="H2198" s="130" t="s">
        <v>5037</v>
      </c>
      <c r="I2198" s="130" t="s">
        <v>5004</v>
      </c>
    </row>
    <row r="2199" spans="2:9">
      <c r="B2199" s="129"/>
      <c r="C2199" s="130"/>
      <c r="D2199" s="130"/>
      <c r="E2199" s="130"/>
      <c r="F2199" s="130"/>
      <c r="G2199" s="130"/>
      <c r="H2199" s="130"/>
      <c r="I2199" s="130"/>
    </row>
    <row r="2200" spans="2:9">
      <c r="B2200" s="129"/>
      <c r="C2200" s="130"/>
      <c r="D2200" s="130"/>
      <c r="E2200" s="130"/>
      <c r="F2200" s="130"/>
      <c r="G2200" s="130"/>
      <c r="H2200" s="130"/>
      <c r="I2200" s="130"/>
    </row>
    <row r="2201" spans="2:9">
      <c r="B2201" s="129">
        <v>727</v>
      </c>
      <c r="C2201" s="130" t="s">
        <v>5125</v>
      </c>
      <c r="D2201" s="130" t="s">
        <v>5319</v>
      </c>
      <c r="E2201" s="130" t="s">
        <v>5198</v>
      </c>
      <c r="F2201" s="130" t="s">
        <v>5288</v>
      </c>
      <c r="G2201" s="130">
        <v>500000</v>
      </c>
      <c r="H2201" s="130" t="s">
        <v>5037</v>
      </c>
      <c r="I2201" s="130" t="s">
        <v>5004</v>
      </c>
    </row>
    <row r="2202" spans="2:9">
      <c r="B2202" s="129"/>
      <c r="C2202" s="130"/>
      <c r="D2202" s="130"/>
      <c r="E2202" s="130"/>
      <c r="F2202" s="130"/>
      <c r="G2202" s="130"/>
      <c r="H2202" s="130"/>
      <c r="I2202" s="130"/>
    </row>
    <row r="2203" spans="2:9">
      <c r="B2203" s="129"/>
      <c r="C2203" s="130"/>
      <c r="D2203" s="130"/>
      <c r="E2203" s="130"/>
      <c r="F2203" s="130"/>
      <c r="G2203" s="130"/>
      <c r="H2203" s="130"/>
      <c r="I2203" s="130"/>
    </row>
    <row r="2204" spans="2:9">
      <c r="B2204" s="129">
        <v>728</v>
      </c>
      <c r="C2204" s="130" t="s">
        <v>5125</v>
      </c>
      <c r="D2204" s="130" t="s">
        <v>5319</v>
      </c>
      <c r="E2204" s="130" t="s">
        <v>5198</v>
      </c>
      <c r="F2204" s="130" t="s">
        <v>5310</v>
      </c>
      <c r="G2204" s="130">
        <v>500000</v>
      </c>
      <c r="H2204" s="130" t="s">
        <v>5037</v>
      </c>
      <c r="I2204" s="130" t="s">
        <v>5004</v>
      </c>
    </row>
    <row r="2205" spans="2:9">
      <c r="B2205" s="129"/>
      <c r="C2205" s="130"/>
      <c r="D2205" s="130"/>
      <c r="E2205" s="130"/>
      <c r="F2205" s="130"/>
      <c r="G2205" s="130"/>
      <c r="H2205" s="130"/>
      <c r="I2205" s="130"/>
    </row>
    <row r="2206" spans="2:9">
      <c r="B2206" s="129"/>
      <c r="C2206" s="130"/>
      <c r="D2206" s="130"/>
      <c r="E2206" s="130"/>
      <c r="F2206" s="130"/>
      <c r="G2206" s="130"/>
      <c r="H2206" s="130"/>
      <c r="I2206" s="130"/>
    </row>
    <row r="2207" spans="2:9">
      <c r="B2207" s="129">
        <v>729</v>
      </c>
      <c r="C2207" s="130" t="s">
        <v>5125</v>
      </c>
      <c r="D2207" s="130" t="s">
        <v>5319</v>
      </c>
      <c r="E2207" s="130" t="s">
        <v>5198</v>
      </c>
      <c r="F2207" s="130" t="s">
        <v>5311</v>
      </c>
      <c r="G2207" s="130">
        <v>500000</v>
      </c>
      <c r="H2207" s="130" t="s">
        <v>5037</v>
      </c>
      <c r="I2207" s="130" t="s">
        <v>5004</v>
      </c>
    </row>
    <row r="2208" spans="2:9">
      <c r="B2208" s="129"/>
      <c r="C2208" s="130"/>
      <c r="D2208" s="130"/>
      <c r="E2208" s="130"/>
      <c r="F2208" s="130"/>
      <c r="G2208" s="130"/>
      <c r="H2208" s="130"/>
      <c r="I2208" s="130"/>
    </row>
    <row r="2209" spans="2:9">
      <c r="B2209" s="129"/>
      <c r="C2209" s="130"/>
      <c r="D2209" s="130"/>
      <c r="E2209" s="130"/>
      <c r="F2209" s="130"/>
      <c r="G2209" s="130"/>
      <c r="H2209" s="130"/>
      <c r="I2209" s="130"/>
    </row>
    <row r="2210" spans="2:9">
      <c r="B2210" s="129">
        <v>730</v>
      </c>
      <c r="C2210" s="130" t="s">
        <v>5125</v>
      </c>
      <c r="D2210" s="130" t="s">
        <v>5319</v>
      </c>
      <c r="E2210" s="130" t="s">
        <v>5198</v>
      </c>
      <c r="F2210" s="130" t="s">
        <v>5111</v>
      </c>
      <c r="G2210" s="130">
        <v>500000</v>
      </c>
      <c r="H2210" s="130" t="s">
        <v>5037</v>
      </c>
      <c r="I2210" s="130" t="s">
        <v>5004</v>
      </c>
    </row>
    <row r="2211" spans="2:9">
      <c r="B2211" s="129"/>
      <c r="C2211" s="130"/>
      <c r="D2211" s="130"/>
      <c r="E2211" s="130"/>
      <c r="F2211" s="130"/>
      <c r="G2211" s="130"/>
      <c r="H2211" s="130"/>
      <c r="I2211" s="130"/>
    </row>
    <row r="2212" spans="2:9">
      <c r="B2212" s="129"/>
      <c r="C2212" s="130"/>
      <c r="D2212" s="130"/>
      <c r="E2212" s="130"/>
      <c r="F2212" s="130"/>
      <c r="G2212" s="130"/>
      <c r="H2212" s="130"/>
      <c r="I2212" s="130"/>
    </row>
    <row r="2213" spans="2:9">
      <c r="B2213" s="129">
        <v>731</v>
      </c>
      <c r="C2213" s="130" t="s">
        <v>5235</v>
      </c>
      <c r="D2213" s="130" t="s">
        <v>5319</v>
      </c>
      <c r="E2213" s="130" t="s">
        <v>5251</v>
      </c>
      <c r="F2213" s="130" t="s">
        <v>5310</v>
      </c>
      <c r="G2213" s="130">
        <v>1000</v>
      </c>
      <c r="H2213" s="130">
        <v>20000</v>
      </c>
      <c r="I2213" s="130" t="s">
        <v>5004</v>
      </c>
    </row>
    <row r="2214" spans="2:9">
      <c r="B2214" s="129"/>
      <c r="C2214" s="130"/>
      <c r="D2214" s="130"/>
      <c r="E2214" s="130"/>
      <c r="F2214" s="130"/>
      <c r="G2214" s="130"/>
      <c r="H2214" s="130"/>
      <c r="I2214" s="130"/>
    </row>
    <row r="2215" spans="2:9">
      <c r="B2215" s="129"/>
      <c r="C2215" s="130"/>
      <c r="D2215" s="130"/>
      <c r="E2215" s="130"/>
      <c r="F2215" s="130"/>
      <c r="G2215" s="130"/>
      <c r="H2215" s="130"/>
      <c r="I2215" s="130"/>
    </row>
    <row r="2216" spans="2:9">
      <c r="B2216" s="129">
        <v>732</v>
      </c>
      <c r="C2216" s="130" t="s">
        <v>5235</v>
      </c>
      <c r="D2216" s="130" t="s">
        <v>5319</v>
      </c>
      <c r="E2216" s="130" t="s">
        <v>5251</v>
      </c>
      <c r="F2216" s="130" t="s">
        <v>5311</v>
      </c>
      <c r="G2216" s="130">
        <v>1000</v>
      </c>
      <c r="H2216" s="130">
        <v>20000</v>
      </c>
      <c r="I2216" s="130" t="s">
        <v>5004</v>
      </c>
    </row>
    <row r="2217" spans="2:9">
      <c r="B2217" s="129"/>
      <c r="C2217" s="130"/>
      <c r="D2217" s="130"/>
      <c r="E2217" s="130"/>
      <c r="F2217" s="130"/>
      <c r="G2217" s="130"/>
      <c r="H2217" s="130"/>
      <c r="I2217" s="130"/>
    </row>
    <row r="2218" spans="2:9">
      <c r="B2218" s="129"/>
      <c r="C2218" s="130"/>
      <c r="D2218" s="130"/>
      <c r="E2218" s="130"/>
      <c r="F2218" s="130"/>
      <c r="G2218" s="130"/>
      <c r="H2218" s="130"/>
      <c r="I2218" s="130"/>
    </row>
    <row r="2219" spans="2:9">
      <c r="B2219" s="129">
        <v>733</v>
      </c>
      <c r="C2219" s="130" t="s">
        <v>5235</v>
      </c>
      <c r="D2219" s="130" t="s">
        <v>5319</v>
      </c>
      <c r="E2219" s="130" t="s">
        <v>5251</v>
      </c>
      <c r="F2219" s="130" t="s">
        <v>5111</v>
      </c>
      <c r="G2219" s="130">
        <v>1000</v>
      </c>
      <c r="H2219" s="130">
        <v>20000</v>
      </c>
      <c r="I2219" s="130" t="s">
        <v>5004</v>
      </c>
    </row>
    <row r="2220" spans="2:9">
      <c r="B2220" s="129"/>
      <c r="C2220" s="130"/>
      <c r="D2220" s="130"/>
      <c r="E2220" s="130"/>
      <c r="F2220" s="130"/>
      <c r="G2220" s="130"/>
      <c r="H2220" s="130"/>
      <c r="I2220" s="130"/>
    </row>
    <row r="2221" spans="2:9">
      <c r="B2221" s="129"/>
      <c r="C2221" s="130"/>
      <c r="D2221" s="130"/>
      <c r="E2221" s="130"/>
      <c r="F2221" s="130"/>
      <c r="G2221" s="130"/>
      <c r="H2221" s="130"/>
      <c r="I2221" s="130"/>
    </row>
    <row r="2222" spans="2:9">
      <c r="B2222" s="129">
        <v>734</v>
      </c>
      <c r="C2222" s="130" t="s">
        <v>5009</v>
      </c>
      <c r="D2222" s="130" t="s">
        <v>5319</v>
      </c>
      <c r="E2222" s="130" t="s">
        <v>5079</v>
      </c>
      <c r="F2222" s="130" t="s">
        <v>5008</v>
      </c>
      <c r="G2222" s="130">
        <v>2000</v>
      </c>
      <c r="H2222" s="130" t="s">
        <v>5037</v>
      </c>
      <c r="I2222" s="130" t="s">
        <v>5004</v>
      </c>
    </row>
    <row r="2223" spans="2:9">
      <c r="B2223" s="129"/>
      <c r="C2223" s="130"/>
      <c r="D2223" s="130"/>
      <c r="E2223" s="130"/>
      <c r="F2223" s="130"/>
      <c r="G2223" s="130"/>
      <c r="H2223" s="130"/>
      <c r="I2223" s="130"/>
    </row>
    <row r="2224" spans="2:9">
      <c r="B2224" s="129"/>
      <c r="C2224" s="130"/>
      <c r="D2224" s="130"/>
      <c r="E2224" s="130"/>
      <c r="F2224" s="130"/>
      <c r="G2224" s="130"/>
      <c r="H2224" s="130"/>
      <c r="I2224" s="130"/>
    </row>
    <row r="2225" spans="2:9">
      <c r="B2225" s="129">
        <v>735</v>
      </c>
      <c r="C2225" s="130" t="s">
        <v>5235</v>
      </c>
      <c r="D2225" s="130" t="s">
        <v>5319</v>
      </c>
      <c r="E2225" s="130" t="s">
        <v>5275</v>
      </c>
      <c r="F2225" s="130" t="s">
        <v>5012</v>
      </c>
      <c r="G2225" s="130">
        <v>0</v>
      </c>
      <c r="H2225" s="130">
        <v>9999</v>
      </c>
      <c r="I2225" s="130" t="s">
        <v>5029</v>
      </c>
    </row>
    <row r="2226" spans="2:9">
      <c r="B2226" s="129"/>
      <c r="C2226" s="130"/>
      <c r="D2226" s="130"/>
      <c r="E2226" s="130"/>
      <c r="F2226" s="130"/>
      <c r="G2226" s="130"/>
      <c r="H2226" s="130"/>
      <c r="I2226" s="130"/>
    </row>
    <row r="2227" spans="2:9">
      <c r="B2227" s="129"/>
      <c r="C2227" s="130"/>
      <c r="D2227" s="130"/>
      <c r="E2227" s="130"/>
      <c r="F2227" s="130"/>
      <c r="G2227" s="130"/>
      <c r="H2227" s="130"/>
      <c r="I2227" s="130"/>
    </row>
    <row r="2228" spans="2:9">
      <c r="B2228" s="129">
        <v>736</v>
      </c>
      <c r="C2228" s="130" t="s">
        <v>5024</v>
      </c>
      <c r="D2228" s="130" t="s">
        <v>5319</v>
      </c>
      <c r="E2228" s="130" t="s">
        <v>5025</v>
      </c>
      <c r="F2228" s="130" t="s">
        <v>5111</v>
      </c>
      <c r="G2228" s="130">
        <v>3000</v>
      </c>
      <c r="H2228" s="130">
        <v>2000000</v>
      </c>
      <c r="I2228" s="130" t="s">
        <v>5004</v>
      </c>
    </row>
    <row r="2229" spans="2:9">
      <c r="B2229" s="129"/>
      <c r="C2229" s="130"/>
      <c r="D2229" s="130"/>
      <c r="E2229" s="130"/>
      <c r="F2229" s="130"/>
      <c r="G2229" s="130"/>
      <c r="H2229" s="130"/>
      <c r="I2229" s="130"/>
    </row>
    <row r="2230" spans="2:9">
      <c r="B2230" s="129"/>
      <c r="C2230" s="130"/>
      <c r="D2230" s="130"/>
      <c r="E2230" s="130"/>
      <c r="F2230" s="130"/>
      <c r="G2230" s="130"/>
      <c r="H2230" s="130"/>
      <c r="I2230" s="130"/>
    </row>
    <row r="2231" spans="2:9">
      <c r="B2231" s="129">
        <v>737</v>
      </c>
      <c r="C2231" s="130" t="s">
        <v>5076</v>
      </c>
      <c r="D2231" s="130" t="s">
        <v>5319</v>
      </c>
      <c r="E2231" s="130" t="s">
        <v>5130</v>
      </c>
      <c r="F2231" s="130" t="s">
        <v>5111</v>
      </c>
      <c r="G2231" s="130">
        <v>1000</v>
      </c>
      <c r="H2231" s="130">
        <v>19999</v>
      </c>
      <c r="I2231" s="130" t="s">
        <v>5004</v>
      </c>
    </row>
    <row r="2232" spans="2:9">
      <c r="B2232" s="129"/>
      <c r="C2232" s="130"/>
      <c r="D2232" s="130"/>
      <c r="E2232" s="130"/>
      <c r="F2232" s="130"/>
      <c r="G2232" s="130"/>
      <c r="H2232" s="130"/>
      <c r="I2232" s="130"/>
    </row>
    <row r="2233" spans="2:9">
      <c r="B2233" s="129"/>
      <c r="C2233" s="130"/>
      <c r="D2233" s="130"/>
      <c r="E2233" s="130"/>
      <c r="F2233" s="130"/>
      <c r="G2233" s="130"/>
      <c r="H2233" s="130"/>
      <c r="I2233" s="130"/>
    </row>
    <row r="2234" spans="2:9">
      <c r="B2234" s="129">
        <v>738</v>
      </c>
      <c r="C2234" s="130" t="s">
        <v>5095</v>
      </c>
      <c r="D2234" s="130" t="s">
        <v>5319</v>
      </c>
      <c r="E2234" s="130" t="s">
        <v>5204</v>
      </c>
      <c r="F2234" s="130" t="s">
        <v>5196</v>
      </c>
      <c r="G2234" s="130">
        <v>500</v>
      </c>
      <c r="H2234" s="130" t="s">
        <v>5037</v>
      </c>
      <c r="I2234" s="130" t="s">
        <v>5004</v>
      </c>
    </row>
    <row r="2235" spans="2:9">
      <c r="B2235" s="129"/>
      <c r="C2235" s="130"/>
      <c r="D2235" s="130"/>
      <c r="E2235" s="130"/>
      <c r="F2235" s="130"/>
      <c r="G2235" s="130"/>
      <c r="H2235" s="130"/>
      <c r="I2235" s="130"/>
    </row>
    <row r="2236" spans="2:9">
      <c r="B2236" s="129"/>
      <c r="C2236" s="130"/>
      <c r="D2236" s="130"/>
      <c r="E2236" s="130"/>
      <c r="F2236" s="130"/>
      <c r="G2236" s="130"/>
      <c r="H2236" s="130"/>
      <c r="I2236" s="130"/>
    </row>
    <row r="2237" spans="2:9">
      <c r="B2237" s="129">
        <v>739</v>
      </c>
      <c r="C2237" s="130" t="s">
        <v>5095</v>
      </c>
      <c r="D2237" s="130" t="s">
        <v>5319</v>
      </c>
      <c r="E2237" s="130" t="s">
        <v>5204</v>
      </c>
      <c r="F2237" s="130" t="s">
        <v>5290</v>
      </c>
      <c r="G2237" s="130">
        <v>500</v>
      </c>
      <c r="H2237" s="130" t="s">
        <v>5037</v>
      </c>
      <c r="I2237" s="130" t="s">
        <v>5004</v>
      </c>
    </row>
    <row r="2238" spans="2:9">
      <c r="B2238" s="129"/>
      <c r="C2238" s="130"/>
      <c r="D2238" s="130"/>
      <c r="E2238" s="130"/>
      <c r="F2238" s="130"/>
      <c r="G2238" s="130"/>
      <c r="H2238" s="130"/>
      <c r="I2238" s="130"/>
    </row>
    <row r="2239" spans="2:9">
      <c r="B2239" s="129"/>
      <c r="C2239" s="130"/>
      <c r="D2239" s="130"/>
      <c r="E2239" s="130"/>
      <c r="F2239" s="130"/>
      <c r="G2239" s="130"/>
      <c r="H2239" s="130"/>
      <c r="I2239" s="130"/>
    </row>
    <row r="2240" spans="2:9">
      <c r="B2240" s="129">
        <v>740</v>
      </c>
      <c r="C2240" s="130" t="s">
        <v>5095</v>
      </c>
      <c r="D2240" s="130" t="s">
        <v>5319</v>
      </c>
      <c r="E2240" s="130" t="s">
        <v>5204</v>
      </c>
      <c r="F2240" s="130" t="s">
        <v>5288</v>
      </c>
      <c r="G2240" s="130">
        <v>500</v>
      </c>
      <c r="H2240" s="130" t="s">
        <v>5037</v>
      </c>
      <c r="I2240" s="130" t="s">
        <v>5004</v>
      </c>
    </row>
    <row r="2241" spans="2:9">
      <c r="B2241" s="129"/>
      <c r="C2241" s="130"/>
      <c r="D2241" s="130"/>
      <c r="E2241" s="130"/>
      <c r="F2241" s="130"/>
      <c r="G2241" s="130"/>
      <c r="H2241" s="130"/>
      <c r="I2241" s="130"/>
    </row>
    <row r="2242" spans="2:9">
      <c r="B2242" s="129"/>
      <c r="C2242" s="130"/>
      <c r="D2242" s="130"/>
      <c r="E2242" s="130"/>
      <c r="F2242" s="130"/>
      <c r="G2242" s="130"/>
      <c r="H2242" s="130"/>
      <c r="I2242" s="130"/>
    </row>
    <row r="2243" spans="2:9">
      <c r="B2243" s="129">
        <v>741</v>
      </c>
      <c r="C2243" s="130" t="s">
        <v>5095</v>
      </c>
      <c r="D2243" s="130" t="s">
        <v>5319</v>
      </c>
      <c r="E2243" s="130" t="s">
        <v>5204</v>
      </c>
      <c r="F2243" s="130" t="s">
        <v>5226</v>
      </c>
      <c r="G2243" s="130">
        <v>500</v>
      </c>
      <c r="H2243" s="130" t="s">
        <v>5037</v>
      </c>
      <c r="I2243" s="130" t="s">
        <v>5004</v>
      </c>
    </row>
    <row r="2244" spans="2:9">
      <c r="B2244" s="129"/>
      <c r="C2244" s="130"/>
      <c r="D2244" s="130"/>
      <c r="E2244" s="130"/>
      <c r="F2244" s="130"/>
      <c r="G2244" s="130"/>
      <c r="H2244" s="130"/>
      <c r="I2244" s="130"/>
    </row>
    <row r="2245" spans="2:9">
      <c r="B2245" s="129"/>
      <c r="C2245" s="130"/>
      <c r="D2245" s="130"/>
      <c r="E2245" s="130"/>
      <c r="F2245" s="130"/>
      <c r="G2245" s="130"/>
      <c r="H2245" s="130"/>
      <c r="I2245" s="130"/>
    </row>
    <row r="2246" spans="2:9">
      <c r="B2246" s="129">
        <v>742</v>
      </c>
      <c r="C2246" s="130" t="s">
        <v>5095</v>
      </c>
      <c r="D2246" s="130" t="s">
        <v>5319</v>
      </c>
      <c r="E2246" s="130" t="s">
        <v>5205</v>
      </c>
      <c r="F2246" s="130" t="s">
        <v>5310</v>
      </c>
      <c r="G2246" s="130">
        <v>50000</v>
      </c>
      <c r="H2246" s="130" t="s">
        <v>5037</v>
      </c>
      <c r="I2246" s="130" t="s">
        <v>5004</v>
      </c>
    </row>
    <row r="2247" spans="2:9">
      <c r="B2247" s="129"/>
      <c r="C2247" s="130"/>
      <c r="D2247" s="130"/>
      <c r="E2247" s="130"/>
      <c r="F2247" s="130"/>
      <c r="G2247" s="130"/>
      <c r="H2247" s="130"/>
      <c r="I2247" s="130"/>
    </row>
    <row r="2248" spans="2:9">
      <c r="B2248" s="129"/>
      <c r="C2248" s="130"/>
      <c r="D2248" s="130"/>
      <c r="E2248" s="130"/>
      <c r="F2248" s="130"/>
      <c r="G2248" s="130"/>
      <c r="H2248" s="130"/>
      <c r="I2248" s="130"/>
    </row>
    <row r="2249" spans="2:9">
      <c r="B2249" s="129">
        <v>743</v>
      </c>
      <c r="C2249" s="130" t="s">
        <v>5095</v>
      </c>
      <c r="D2249" s="130" t="s">
        <v>5319</v>
      </c>
      <c r="E2249" s="130" t="s">
        <v>5205</v>
      </c>
      <c r="F2249" s="130" t="s">
        <v>5311</v>
      </c>
      <c r="G2249" s="130">
        <v>50000</v>
      </c>
      <c r="H2249" s="130" t="s">
        <v>5037</v>
      </c>
      <c r="I2249" s="130" t="s">
        <v>5004</v>
      </c>
    </row>
    <row r="2250" spans="2:9">
      <c r="B2250" s="129"/>
      <c r="C2250" s="130"/>
      <c r="D2250" s="130"/>
      <c r="E2250" s="130"/>
      <c r="F2250" s="130"/>
      <c r="G2250" s="130"/>
      <c r="H2250" s="130"/>
      <c r="I2250" s="130"/>
    </row>
    <row r="2251" spans="2:9">
      <c r="B2251" s="129"/>
      <c r="C2251" s="130"/>
      <c r="D2251" s="130"/>
      <c r="E2251" s="130"/>
      <c r="F2251" s="130"/>
      <c r="G2251" s="130"/>
      <c r="H2251" s="130"/>
      <c r="I2251" s="130"/>
    </row>
    <row r="2252" spans="2:9">
      <c r="B2252" s="129">
        <v>744</v>
      </c>
      <c r="C2252" s="130" t="s">
        <v>5095</v>
      </c>
      <c r="D2252" s="130" t="s">
        <v>5319</v>
      </c>
      <c r="E2252" s="130" t="s">
        <v>5205</v>
      </c>
      <c r="F2252" s="130" t="s">
        <v>5111</v>
      </c>
      <c r="G2252" s="130">
        <v>50000</v>
      </c>
      <c r="H2252" s="130" t="s">
        <v>5037</v>
      </c>
      <c r="I2252" s="130" t="s">
        <v>5004</v>
      </c>
    </row>
    <row r="2253" spans="2:9">
      <c r="B2253" s="129"/>
      <c r="C2253" s="130"/>
      <c r="D2253" s="130"/>
      <c r="E2253" s="130"/>
      <c r="F2253" s="130"/>
      <c r="G2253" s="130"/>
      <c r="H2253" s="130"/>
      <c r="I2253" s="130"/>
    </row>
    <row r="2254" spans="2:9">
      <c r="B2254" s="129"/>
      <c r="C2254" s="130"/>
      <c r="D2254" s="130"/>
      <c r="E2254" s="130"/>
      <c r="F2254" s="130"/>
      <c r="G2254" s="130"/>
      <c r="H2254" s="130"/>
      <c r="I2254" s="130"/>
    </row>
    <row r="2255" spans="2:9">
      <c r="B2255" s="129">
        <v>745</v>
      </c>
      <c r="C2255" s="130" t="s">
        <v>5095</v>
      </c>
      <c r="D2255" s="130" t="s">
        <v>5319</v>
      </c>
      <c r="E2255" s="130" t="s">
        <v>5205</v>
      </c>
      <c r="F2255" s="130" t="s">
        <v>5003</v>
      </c>
      <c r="G2255" s="130">
        <v>500</v>
      </c>
      <c r="H2255" s="130">
        <v>9999</v>
      </c>
      <c r="I2255" s="130" t="s">
        <v>5004</v>
      </c>
    </row>
    <row r="2256" spans="2:9">
      <c r="B2256" s="129"/>
      <c r="C2256" s="130"/>
      <c r="D2256" s="130"/>
      <c r="E2256" s="130"/>
      <c r="F2256" s="130"/>
      <c r="G2256" s="130"/>
      <c r="H2256" s="130"/>
      <c r="I2256" s="130"/>
    </row>
    <row r="2257" spans="2:9">
      <c r="B2257" s="129"/>
      <c r="C2257" s="130"/>
      <c r="D2257" s="130"/>
      <c r="E2257" s="130"/>
      <c r="F2257" s="130"/>
      <c r="G2257" s="130"/>
      <c r="H2257" s="130"/>
      <c r="I2257" s="130"/>
    </row>
    <row r="2258" spans="2:9">
      <c r="B2258" s="129">
        <v>746</v>
      </c>
      <c r="C2258" s="130" t="s">
        <v>5253</v>
      </c>
      <c r="D2258" s="130" t="s">
        <v>5319</v>
      </c>
      <c r="E2258" s="130" t="s">
        <v>5321</v>
      </c>
      <c r="F2258" s="130" t="s">
        <v>5196</v>
      </c>
      <c r="G2258" s="130">
        <v>1000</v>
      </c>
      <c r="H2258" s="130">
        <v>21000</v>
      </c>
      <c r="I2258" s="130" t="s">
        <v>5013</v>
      </c>
    </row>
    <row r="2259" spans="2:9">
      <c r="B2259" s="129"/>
      <c r="C2259" s="130"/>
      <c r="D2259" s="130"/>
      <c r="E2259" s="130"/>
      <c r="F2259" s="130"/>
      <c r="G2259" s="130"/>
      <c r="H2259" s="130"/>
      <c r="I2259" s="130"/>
    </row>
    <row r="2260" spans="2:9">
      <c r="B2260" s="129"/>
      <c r="C2260" s="130"/>
      <c r="D2260" s="130"/>
      <c r="E2260" s="130"/>
      <c r="F2260" s="130"/>
      <c r="G2260" s="130"/>
      <c r="H2260" s="130"/>
      <c r="I2260" s="130"/>
    </row>
    <row r="2261" spans="2:9">
      <c r="B2261" s="129">
        <v>747</v>
      </c>
      <c r="C2261" s="130" t="s">
        <v>5253</v>
      </c>
      <c r="D2261" s="130" t="s">
        <v>5319</v>
      </c>
      <c r="E2261" s="130" t="s">
        <v>5132</v>
      </c>
      <c r="F2261" s="130" t="s">
        <v>5008</v>
      </c>
      <c r="G2261" s="130">
        <v>1000</v>
      </c>
      <c r="H2261" s="130" t="s">
        <v>5037</v>
      </c>
      <c r="I2261" s="130" t="s">
        <v>5004</v>
      </c>
    </row>
    <row r="2262" spans="2:9">
      <c r="B2262" s="129"/>
      <c r="C2262" s="130"/>
      <c r="D2262" s="130"/>
      <c r="E2262" s="130"/>
      <c r="F2262" s="130"/>
      <c r="G2262" s="130"/>
      <c r="H2262" s="130"/>
      <c r="I2262" s="130"/>
    </row>
    <row r="2263" spans="2:9">
      <c r="B2263" s="129"/>
      <c r="C2263" s="130"/>
      <c r="D2263" s="130"/>
      <c r="E2263" s="130"/>
      <c r="F2263" s="130"/>
      <c r="G2263" s="130"/>
      <c r="H2263" s="130"/>
      <c r="I2263" s="130"/>
    </row>
    <row r="2264" spans="2:9">
      <c r="B2264" s="129">
        <v>748</v>
      </c>
      <c r="C2264" s="130" t="s">
        <v>5253</v>
      </c>
      <c r="D2264" s="130" t="s">
        <v>5319</v>
      </c>
      <c r="E2264" s="130" t="s">
        <v>5282</v>
      </c>
      <c r="F2264" s="130" t="s">
        <v>5290</v>
      </c>
      <c r="G2264" s="130">
        <v>1000</v>
      </c>
      <c r="H2264" s="130" t="s">
        <v>5037</v>
      </c>
      <c r="I2264" s="130" t="s">
        <v>5004</v>
      </c>
    </row>
    <row r="2265" spans="2:9">
      <c r="B2265" s="129"/>
      <c r="C2265" s="130"/>
      <c r="D2265" s="130"/>
      <c r="E2265" s="130"/>
      <c r="F2265" s="130"/>
      <c r="G2265" s="130"/>
      <c r="H2265" s="130"/>
      <c r="I2265" s="130"/>
    </row>
    <row r="2266" spans="2:9">
      <c r="B2266" s="129"/>
      <c r="C2266" s="130"/>
      <c r="D2266" s="130"/>
      <c r="E2266" s="130"/>
      <c r="F2266" s="130"/>
      <c r="G2266" s="130"/>
      <c r="H2266" s="130"/>
      <c r="I2266" s="130"/>
    </row>
    <row r="2267" spans="2:9">
      <c r="B2267" s="129">
        <v>749</v>
      </c>
      <c r="C2267" s="130" t="s">
        <v>5044</v>
      </c>
      <c r="D2267" s="130" t="s">
        <v>5319</v>
      </c>
      <c r="E2267" s="130" t="s">
        <v>5132</v>
      </c>
      <c r="F2267" s="130" t="s">
        <v>5003</v>
      </c>
      <c r="G2267" s="130">
        <v>500</v>
      </c>
      <c r="H2267" s="130" t="s">
        <v>5037</v>
      </c>
      <c r="I2267" s="130" t="s">
        <v>5004</v>
      </c>
    </row>
    <row r="2268" spans="2:9">
      <c r="B2268" s="129"/>
      <c r="C2268" s="130"/>
      <c r="D2268" s="130"/>
      <c r="E2268" s="130"/>
      <c r="F2268" s="130"/>
      <c r="G2268" s="130"/>
      <c r="H2268" s="130"/>
      <c r="I2268" s="130"/>
    </row>
    <row r="2269" spans="2:9">
      <c r="B2269" s="129"/>
      <c r="C2269" s="130"/>
      <c r="D2269" s="130"/>
      <c r="E2269" s="130"/>
      <c r="F2269" s="130"/>
      <c r="G2269" s="130"/>
      <c r="H2269" s="130"/>
      <c r="I2269" s="130"/>
    </row>
    <row r="2270" spans="2:9">
      <c r="B2270" s="129">
        <v>750</v>
      </c>
      <c r="C2270" s="130" t="s">
        <v>5256</v>
      </c>
      <c r="D2270" s="130" t="s">
        <v>5319</v>
      </c>
      <c r="E2270" s="130" t="s">
        <v>5312</v>
      </c>
      <c r="F2270" s="130" t="s">
        <v>5111</v>
      </c>
      <c r="G2270" s="130">
        <v>500</v>
      </c>
      <c r="H2270" s="130" t="s">
        <v>5037</v>
      </c>
      <c r="I2270" s="130" t="s">
        <v>5004</v>
      </c>
    </row>
    <row r="2271" spans="2:9">
      <c r="B2271" s="129"/>
      <c r="C2271" s="130"/>
      <c r="D2271" s="130"/>
      <c r="E2271" s="130"/>
      <c r="F2271" s="130"/>
      <c r="G2271" s="130"/>
      <c r="H2271" s="130"/>
      <c r="I2271" s="130"/>
    </row>
    <row r="2272" spans="2:9">
      <c r="B2272" s="129"/>
      <c r="C2272" s="130"/>
      <c r="D2272" s="130"/>
      <c r="E2272" s="130"/>
      <c r="F2272" s="130"/>
      <c r="G2272" s="130"/>
      <c r="H2272" s="130"/>
      <c r="I2272" s="130"/>
    </row>
    <row r="2273" spans="2:9">
      <c r="B2273" s="129">
        <v>751</v>
      </c>
      <c r="C2273" s="130" t="s">
        <v>5301</v>
      </c>
      <c r="D2273" s="130" t="s">
        <v>5319</v>
      </c>
      <c r="E2273" s="130" t="s">
        <v>5302</v>
      </c>
      <c r="F2273" s="130" t="s">
        <v>5050</v>
      </c>
      <c r="G2273" s="130">
        <v>50000</v>
      </c>
      <c r="H2273" s="130">
        <v>99999</v>
      </c>
      <c r="I2273" s="130" t="s">
        <v>5004</v>
      </c>
    </row>
    <row r="2274" spans="2:9">
      <c r="B2274" s="129"/>
      <c r="C2274" s="130"/>
      <c r="D2274" s="130"/>
      <c r="E2274" s="130"/>
      <c r="F2274" s="130"/>
      <c r="G2274" s="130"/>
      <c r="H2274" s="130"/>
      <c r="I2274" s="130"/>
    </row>
    <row r="2275" spans="2:9">
      <c r="B2275" s="129"/>
      <c r="C2275" s="130"/>
      <c r="D2275" s="130"/>
      <c r="E2275" s="130"/>
      <c r="F2275" s="130"/>
      <c r="G2275" s="130"/>
      <c r="H2275" s="130"/>
      <c r="I2275" s="130"/>
    </row>
    <row r="2276" spans="2:9">
      <c r="B2276" s="129">
        <v>752</v>
      </c>
      <c r="C2276" s="130" t="s">
        <v>5107</v>
      </c>
      <c r="D2276" s="130" t="s">
        <v>5319</v>
      </c>
      <c r="E2276" s="130" t="s">
        <v>5132</v>
      </c>
      <c r="F2276" s="130" t="s">
        <v>5003</v>
      </c>
      <c r="G2276" s="130">
        <v>50000</v>
      </c>
      <c r="H2276" s="130">
        <v>99999</v>
      </c>
      <c r="I2276" s="130" t="s">
        <v>5004</v>
      </c>
    </row>
    <row r="2277" spans="2:9">
      <c r="B2277" s="129"/>
      <c r="C2277" s="130"/>
      <c r="D2277" s="130"/>
      <c r="E2277" s="130"/>
      <c r="F2277" s="130"/>
      <c r="G2277" s="130"/>
      <c r="H2277" s="130"/>
      <c r="I2277" s="130"/>
    </row>
    <row r="2278" spans="2:9">
      <c r="B2278" s="129"/>
      <c r="C2278" s="130"/>
      <c r="D2278" s="130"/>
      <c r="E2278" s="130"/>
      <c r="F2278" s="130"/>
      <c r="G2278" s="130"/>
      <c r="H2278" s="130"/>
      <c r="I2278" s="130"/>
    </row>
    <row r="2279" spans="2:9">
      <c r="B2279" s="129">
        <v>753</v>
      </c>
      <c r="C2279" s="130" t="s">
        <v>5017</v>
      </c>
      <c r="D2279" s="130" t="s">
        <v>5319</v>
      </c>
      <c r="E2279" s="130" t="s">
        <v>5133</v>
      </c>
      <c r="F2279" s="130" t="s">
        <v>5111</v>
      </c>
      <c r="G2279" s="130">
        <v>500</v>
      </c>
      <c r="H2279" s="130">
        <v>99999</v>
      </c>
      <c r="I2279" s="130" t="s">
        <v>5004</v>
      </c>
    </row>
    <row r="2280" spans="2:9">
      <c r="B2280" s="129"/>
      <c r="C2280" s="130"/>
      <c r="D2280" s="130"/>
      <c r="E2280" s="130"/>
      <c r="F2280" s="130"/>
      <c r="G2280" s="130"/>
      <c r="H2280" s="130"/>
      <c r="I2280" s="130"/>
    </row>
    <row r="2281" spans="2:9">
      <c r="B2281" s="129"/>
      <c r="C2281" s="130"/>
      <c r="D2281" s="130"/>
      <c r="E2281" s="130"/>
      <c r="F2281" s="130"/>
      <c r="G2281" s="130"/>
      <c r="H2281" s="130"/>
      <c r="I2281" s="130"/>
    </row>
    <row r="2282" spans="2:9">
      <c r="B2282" s="129">
        <v>754</v>
      </c>
      <c r="C2282" s="130" t="s">
        <v>5224</v>
      </c>
      <c r="D2282" s="130" t="s">
        <v>5319</v>
      </c>
      <c r="E2282" s="130" t="s">
        <v>5132</v>
      </c>
      <c r="F2282" s="130" t="s">
        <v>5310</v>
      </c>
      <c r="G2282" s="130">
        <v>50</v>
      </c>
      <c r="H2282" s="130" t="s">
        <v>5037</v>
      </c>
      <c r="I2282" s="130" t="s">
        <v>5004</v>
      </c>
    </row>
    <row r="2283" spans="2:9">
      <c r="B2283" s="129"/>
      <c r="C2283" s="130"/>
      <c r="D2283" s="130"/>
      <c r="E2283" s="130"/>
      <c r="F2283" s="130"/>
      <c r="G2283" s="130"/>
      <c r="H2283" s="130"/>
      <c r="I2283" s="130"/>
    </row>
    <row r="2284" spans="2:9">
      <c r="B2284" s="129"/>
      <c r="C2284" s="130"/>
      <c r="D2284" s="130"/>
      <c r="E2284" s="130"/>
      <c r="F2284" s="130"/>
      <c r="G2284" s="130"/>
      <c r="H2284" s="130"/>
      <c r="I2284" s="130"/>
    </row>
    <row r="2285" spans="2:9">
      <c r="B2285" s="129">
        <v>755</v>
      </c>
      <c r="C2285" s="130" t="s">
        <v>5017</v>
      </c>
      <c r="D2285" s="130" t="s">
        <v>5319</v>
      </c>
      <c r="E2285" s="130" t="s">
        <v>5080</v>
      </c>
      <c r="F2285" s="130" t="s">
        <v>5012</v>
      </c>
      <c r="G2285" s="130">
        <v>20000</v>
      </c>
      <c r="H2285" s="130" t="s">
        <v>5037</v>
      </c>
      <c r="I2285" s="130" t="s">
        <v>5029</v>
      </c>
    </row>
    <row r="2286" spans="2:9">
      <c r="B2286" s="129"/>
      <c r="C2286" s="130"/>
      <c r="D2286" s="130"/>
      <c r="E2286" s="130"/>
      <c r="F2286" s="130"/>
      <c r="G2286" s="130"/>
      <c r="H2286" s="130"/>
      <c r="I2286" s="130"/>
    </row>
    <row r="2287" spans="2:9">
      <c r="B2287" s="129"/>
      <c r="C2287" s="130"/>
      <c r="D2287" s="130"/>
      <c r="E2287" s="130"/>
      <c r="F2287" s="130"/>
      <c r="G2287" s="130"/>
      <c r="H2287" s="130"/>
      <c r="I2287" s="130"/>
    </row>
    <row r="2288" spans="2:9">
      <c r="B2288" s="129">
        <v>756</v>
      </c>
      <c r="C2288" s="130" t="s">
        <v>5081</v>
      </c>
      <c r="D2288" s="130" t="s">
        <v>5319</v>
      </c>
      <c r="E2288" s="130" t="s">
        <v>5322</v>
      </c>
      <c r="F2288" s="130" t="s">
        <v>5012</v>
      </c>
      <c r="G2288" s="130">
        <v>0</v>
      </c>
      <c r="H2288" s="130" t="s">
        <v>5037</v>
      </c>
      <c r="I2288" s="130" t="s">
        <v>5029</v>
      </c>
    </row>
    <row r="2289" spans="2:9">
      <c r="B2289" s="129"/>
      <c r="C2289" s="130"/>
      <c r="D2289" s="130"/>
      <c r="E2289" s="130"/>
      <c r="F2289" s="130"/>
      <c r="G2289" s="130"/>
      <c r="H2289" s="130"/>
      <c r="I2289" s="130"/>
    </row>
    <row r="2290" spans="2:9">
      <c r="B2290" s="129"/>
      <c r="C2290" s="130"/>
      <c r="D2290" s="130"/>
      <c r="E2290" s="130"/>
      <c r="F2290" s="130"/>
      <c r="G2290" s="130"/>
      <c r="H2290" s="130"/>
      <c r="I2290" s="130"/>
    </row>
    <row r="2291" spans="2:9">
      <c r="B2291" s="129">
        <v>757</v>
      </c>
      <c r="C2291" s="130" t="s">
        <v>5081</v>
      </c>
      <c r="D2291" s="130" t="s">
        <v>5319</v>
      </c>
      <c r="E2291" s="130" t="s">
        <v>5082</v>
      </c>
      <c r="F2291" s="130" t="s">
        <v>5012</v>
      </c>
      <c r="G2291" s="130">
        <v>0</v>
      </c>
      <c r="H2291" s="130">
        <v>10000</v>
      </c>
      <c r="I2291" s="130" t="s">
        <v>5029</v>
      </c>
    </row>
    <row r="2292" spans="2:9">
      <c r="B2292" s="129"/>
      <c r="C2292" s="130"/>
      <c r="D2292" s="130"/>
      <c r="E2292" s="130"/>
      <c r="F2292" s="130"/>
      <c r="G2292" s="130"/>
      <c r="H2292" s="130"/>
      <c r="I2292" s="130"/>
    </row>
    <row r="2293" spans="2:9">
      <c r="B2293" s="129"/>
      <c r="C2293" s="130"/>
      <c r="D2293" s="130"/>
      <c r="E2293" s="130"/>
      <c r="F2293" s="130"/>
      <c r="G2293" s="130"/>
      <c r="H2293" s="130"/>
      <c r="I2293" s="130"/>
    </row>
    <row r="2294" spans="2:9">
      <c r="B2294" s="129">
        <v>758</v>
      </c>
      <c r="C2294" s="130" t="s">
        <v>5027</v>
      </c>
      <c r="D2294" s="130" t="s">
        <v>5319</v>
      </c>
      <c r="E2294" s="130" t="s">
        <v>5028</v>
      </c>
      <c r="F2294" s="130" t="s">
        <v>5012</v>
      </c>
      <c r="G2294" s="130">
        <v>5000</v>
      </c>
      <c r="H2294" s="130" t="s">
        <v>5037</v>
      </c>
      <c r="I2294" s="130" t="s">
        <v>5029</v>
      </c>
    </row>
    <row r="2295" spans="2:9">
      <c r="B2295" s="129"/>
      <c r="C2295" s="130"/>
      <c r="D2295" s="130"/>
      <c r="E2295" s="130"/>
      <c r="F2295" s="130"/>
      <c r="G2295" s="130"/>
      <c r="H2295" s="130"/>
      <c r="I2295" s="130"/>
    </row>
    <row r="2296" spans="2:9">
      <c r="B2296" s="129"/>
      <c r="C2296" s="130"/>
      <c r="D2296" s="130"/>
      <c r="E2296" s="130"/>
      <c r="F2296" s="130"/>
      <c r="G2296" s="130"/>
      <c r="H2296" s="130"/>
      <c r="I2296" s="130"/>
    </row>
    <row r="2297" spans="2:9">
      <c r="B2297" s="129">
        <v>759</v>
      </c>
      <c r="C2297" s="130" t="s">
        <v>5071</v>
      </c>
      <c r="D2297" s="130" t="s">
        <v>5323</v>
      </c>
      <c r="E2297" s="130" t="s">
        <v>5320</v>
      </c>
      <c r="F2297" s="130" t="s">
        <v>5026</v>
      </c>
      <c r="G2297" s="130">
        <v>5000</v>
      </c>
      <c r="H2297" s="130">
        <v>35000</v>
      </c>
      <c r="I2297" s="130" t="s">
        <v>5004</v>
      </c>
    </row>
    <row r="2298" spans="2:9">
      <c r="B2298" s="129"/>
      <c r="C2298" s="130"/>
      <c r="D2298" s="130"/>
      <c r="E2298" s="130"/>
      <c r="F2298" s="130"/>
      <c r="G2298" s="130"/>
      <c r="H2298" s="130"/>
      <c r="I2298" s="130"/>
    </row>
    <row r="2299" spans="2:9">
      <c r="B2299" s="129"/>
      <c r="C2299" s="130"/>
      <c r="D2299" s="130"/>
      <c r="E2299" s="130"/>
      <c r="F2299" s="130"/>
      <c r="G2299" s="130"/>
      <c r="H2299" s="130"/>
      <c r="I2299" s="130"/>
    </row>
    <row r="2300" spans="2:9">
      <c r="B2300" s="129">
        <v>760</v>
      </c>
      <c r="C2300" s="130" t="s">
        <v>5125</v>
      </c>
      <c r="D2300" s="130" t="s">
        <v>5323</v>
      </c>
      <c r="E2300" s="130" t="s">
        <v>5198</v>
      </c>
      <c r="F2300" s="130" t="s">
        <v>5226</v>
      </c>
      <c r="G2300" s="130">
        <v>100000</v>
      </c>
      <c r="H2300" s="130">
        <v>500000</v>
      </c>
      <c r="I2300" s="130" t="s">
        <v>5004</v>
      </c>
    </row>
    <row r="2301" spans="2:9">
      <c r="B2301" s="129"/>
      <c r="C2301" s="130"/>
      <c r="D2301" s="130"/>
      <c r="E2301" s="130"/>
      <c r="F2301" s="130"/>
      <c r="G2301" s="130"/>
      <c r="H2301" s="130"/>
      <c r="I2301" s="130"/>
    </row>
    <row r="2302" spans="2:9">
      <c r="B2302" s="129"/>
      <c r="C2302" s="130"/>
      <c r="D2302" s="130"/>
      <c r="E2302" s="130"/>
      <c r="F2302" s="130"/>
      <c r="G2302" s="130"/>
      <c r="H2302" s="130"/>
      <c r="I2302" s="130"/>
    </row>
    <row r="2303" spans="2:9">
      <c r="B2303" s="129">
        <v>761</v>
      </c>
      <c r="C2303" s="130" t="s">
        <v>5125</v>
      </c>
      <c r="D2303" s="130" t="s">
        <v>5323</v>
      </c>
      <c r="E2303" s="130" t="s">
        <v>5198</v>
      </c>
      <c r="F2303" s="130" t="s">
        <v>5288</v>
      </c>
      <c r="G2303" s="130">
        <v>100000</v>
      </c>
      <c r="H2303" s="130">
        <v>500000</v>
      </c>
      <c r="I2303" s="130" t="s">
        <v>5004</v>
      </c>
    </row>
    <row r="2304" spans="2:9">
      <c r="B2304" s="129"/>
      <c r="C2304" s="130"/>
      <c r="D2304" s="130"/>
      <c r="E2304" s="130"/>
      <c r="F2304" s="130"/>
      <c r="G2304" s="130"/>
      <c r="H2304" s="130"/>
      <c r="I2304" s="130"/>
    </row>
    <row r="2305" spans="2:9">
      <c r="B2305" s="129"/>
      <c r="C2305" s="130"/>
      <c r="D2305" s="130"/>
      <c r="E2305" s="130"/>
      <c r="F2305" s="130"/>
      <c r="G2305" s="130"/>
      <c r="H2305" s="130"/>
      <c r="I2305" s="130"/>
    </row>
    <row r="2306" spans="2:9">
      <c r="B2306" s="129">
        <v>762</v>
      </c>
      <c r="C2306" s="130" t="s">
        <v>5125</v>
      </c>
      <c r="D2306" s="130" t="s">
        <v>5323</v>
      </c>
      <c r="E2306" s="130" t="s">
        <v>5198</v>
      </c>
      <c r="F2306" s="130" t="s">
        <v>5310</v>
      </c>
      <c r="G2306" s="130">
        <v>100000</v>
      </c>
      <c r="H2306" s="130">
        <v>500000</v>
      </c>
      <c r="I2306" s="130" t="s">
        <v>5004</v>
      </c>
    </row>
    <row r="2307" spans="2:9">
      <c r="B2307" s="129"/>
      <c r="C2307" s="130"/>
      <c r="D2307" s="130"/>
      <c r="E2307" s="130"/>
      <c r="F2307" s="130"/>
      <c r="G2307" s="130"/>
      <c r="H2307" s="130"/>
      <c r="I2307" s="130"/>
    </row>
    <row r="2308" spans="2:9">
      <c r="B2308" s="129"/>
      <c r="C2308" s="130"/>
      <c r="D2308" s="130"/>
      <c r="E2308" s="130"/>
      <c r="F2308" s="130"/>
      <c r="G2308" s="130"/>
      <c r="H2308" s="130"/>
      <c r="I2308" s="130"/>
    </row>
    <row r="2309" spans="2:9">
      <c r="B2309" s="129">
        <v>763</v>
      </c>
      <c r="C2309" s="130" t="s">
        <v>5125</v>
      </c>
      <c r="D2309" s="130" t="s">
        <v>5323</v>
      </c>
      <c r="E2309" s="130" t="s">
        <v>5198</v>
      </c>
      <c r="F2309" s="130" t="s">
        <v>5311</v>
      </c>
      <c r="G2309" s="130">
        <v>100000</v>
      </c>
      <c r="H2309" s="130">
        <v>500000</v>
      </c>
      <c r="I2309" s="130" t="s">
        <v>5004</v>
      </c>
    </row>
    <row r="2310" spans="2:9">
      <c r="B2310" s="129"/>
      <c r="C2310" s="130"/>
      <c r="D2310" s="130"/>
      <c r="E2310" s="130"/>
      <c r="F2310" s="130"/>
      <c r="G2310" s="130"/>
      <c r="H2310" s="130"/>
      <c r="I2310" s="130"/>
    </row>
    <row r="2311" spans="2:9">
      <c r="B2311" s="129"/>
      <c r="C2311" s="130"/>
      <c r="D2311" s="130"/>
      <c r="E2311" s="130"/>
      <c r="F2311" s="130"/>
      <c r="G2311" s="130"/>
      <c r="H2311" s="130"/>
      <c r="I2311" s="130"/>
    </row>
    <row r="2312" spans="2:9">
      <c r="B2312" s="129">
        <v>764</v>
      </c>
      <c r="C2312" s="130" t="s">
        <v>5125</v>
      </c>
      <c r="D2312" s="130" t="s">
        <v>5323</v>
      </c>
      <c r="E2312" s="130" t="s">
        <v>5198</v>
      </c>
      <c r="F2312" s="130" t="s">
        <v>5111</v>
      </c>
      <c r="G2312" s="130">
        <v>100000</v>
      </c>
      <c r="H2312" s="130">
        <v>500000</v>
      </c>
      <c r="I2312" s="130" t="s">
        <v>5004</v>
      </c>
    </row>
    <row r="2313" spans="2:9">
      <c r="B2313" s="129"/>
      <c r="C2313" s="130"/>
      <c r="D2313" s="130"/>
      <c r="E2313" s="130"/>
      <c r="F2313" s="130"/>
      <c r="G2313" s="130"/>
      <c r="H2313" s="130"/>
      <c r="I2313" s="130"/>
    </row>
    <row r="2314" spans="2:9">
      <c r="B2314" s="129"/>
      <c r="C2314" s="130"/>
      <c r="D2314" s="130"/>
      <c r="E2314" s="130"/>
      <c r="F2314" s="130"/>
      <c r="G2314" s="130"/>
      <c r="H2314" s="130"/>
      <c r="I2314" s="130"/>
    </row>
    <row r="2315" spans="2:9">
      <c r="B2315" s="129">
        <v>765</v>
      </c>
      <c r="C2315" s="130" t="s">
        <v>5301</v>
      </c>
      <c r="D2315" s="130" t="s">
        <v>5323</v>
      </c>
      <c r="E2315" s="130" t="s">
        <v>5302</v>
      </c>
      <c r="F2315" s="130" t="s">
        <v>5003</v>
      </c>
      <c r="G2315" s="130">
        <v>100000</v>
      </c>
      <c r="H2315" s="130" t="s">
        <v>5037</v>
      </c>
      <c r="I2315" s="130" t="s">
        <v>5004</v>
      </c>
    </row>
    <row r="2316" spans="2:9">
      <c r="B2316" s="129"/>
      <c r="C2316" s="130"/>
      <c r="D2316" s="130"/>
      <c r="E2316" s="130"/>
      <c r="F2316" s="130"/>
      <c r="G2316" s="130"/>
      <c r="H2316" s="130"/>
      <c r="I2316" s="130"/>
    </row>
    <row r="2317" spans="2:9">
      <c r="B2317" s="129"/>
      <c r="C2317" s="130"/>
      <c r="D2317" s="130"/>
      <c r="E2317" s="130"/>
      <c r="F2317" s="130"/>
      <c r="G2317" s="130"/>
      <c r="H2317" s="130"/>
      <c r="I2317" s="130"/>
    </row>
    <row r="2318" spans="2:9">
      <c r="B2318" s="129">
        <v>766</v>
      </c>
      <c r="C2318" s="130" t="s">
        <v>5301</v>
      </c>
      <c r="D2318" s="130" t="s">
        <v>5323</v>
      </c>
      <c r="E2318" s="130" t="s">
        <v>5302</v>
      </c>
      <c r="F2318" s="130" t="s">
        <v>5008</v>
      </c>
      <c r="G2318" s="130">
        <v>50000</v>
      </c>
      <c r="H2318" s="130">
        <v>99999</v>
      </c>
      <c r="I2318" s="130" t="s">
        <v>5004</v>
      </c>
    </row>
    <row r="2319" spans="2:9">
      <c r="B2319" s="129"/>
      <c r="C2319" s="130"/>
      <c r="D2319" s="130"/>
      <c r="E2319" s="130"/>
      <c r="F2319" s="130"/>
      <c r="G2319" s="130"/>
      <c r="H2319" s="130"/>
      <c r="I2319" s="130"/>
    </row>
    <row r="2320" spans="2:9">
      <c r="B2320" s="129"/>
      <c r="C2320" s="130"/>
      <c r="D2320" s="130"/>
      <c r="E2320" s="130"/>
      <c r="F2320" s="130"/>
      <c r="G2320" s="130"/>
      <c r="H2320" s="130"/>
      <c r="I2320" s="130"/>
    </row>
    <row r="2321" spans="2:9">
      <c r="B2321" s="129">
        <v>767</v>
      </c>
      <c r="C2321" s="130" t="s">
        <v>5208</v>
      </c>
      <c r="D2321" s="130" t="s">
        <v>5323</v>
      </c>
      <c r="E2321" s="130" t="s">
        <v>5132</v>
      </c>
      <c r="F2321" s="130" t="s">
        <v>5043</v>
      </c>
      <c r="G2321" s="130">
        <v>10000</v>
      </c>
      <c r="H2321" s="130">
        <v>49999</v>
      </c>
      <c r="I2321" s="130" t="s">
        <v>5004</v>
      </c>
    </row>
    <row r="2322" spans="2:9">
      <c r="B2322" s="129"/>
      <c r="C2322" s="130"/>
      <c r="D2322" s="130"/>
      <c r="E2322" s="130"/>
      <c r="F2322" s="130"/>
      <c r="G2322" s="130"/>
      <c r="H2322" s="130"/>
      <c r="I2322" s="130"/>
    </row>
    <row r="2323" spans="2:9">
      <c r="B2323" s="129"/>
      <c r="C2323" s="130"/>
      <c r="D2323" s="130"/>
      <c r="E2323" s="130"/>
      <c r="F2323" s="130"/>
      <c r="G2323" s="130"/>
      <c r="H2323" s="130"/>
      <c r="I2323" s="130"/>
    </row>
    <row r="2324" spans="2:9">
      <c r="B2324" s="129">
        <v>768</v>
      </c>
      <c r="C2324" s="130" t="s">
        <v>5238</v>
      </c>
      <c r="D2324" s="130" t="s">
        <v>5324</v>
      </c>
      <c r="E2324" s="130" t="s">
        <v>5240</v>
      </c>
      <c r="F2324" s="130" t="s">
        <v>5288</v>
      </c>
      <c r="G2324" s="130">
        <v>20000</v>
      </c>
      <c r="H2324" s="130" t="s">
        <v>5037</v>
      </c>
      <c r="I2324" s="130" t="s">
        <v>5004</v>
      </c>
    </row>
    <row r="2325" spans="2:9">
      <c r="B2325" s="129"/>
      <c r="C2325" s="130"/>
      <c r="D2325" s="130"/>
      <c r="E2325" s="130"/>
      <c r="F2325" s="130"/>
      <c r="G2325" s="130"/>
      <c r="H2325" s="130"/>
      <c r="I2325" s="130"/>
    </row>
    <row r="2326" spans="2:9">
      <c r="B2326" s="129"/>
      <c r="C2326" s="130"/>
      <c r="D2326" s="130"/>
      <c r="E2326" s="130"/>
      <c r="F2326" s="130"/>
      <c r="G2326" s="130"/>
      <c r="H2326" s="130"/>
      <c r="I2326" s="130"/>
    </row>
    <row r="2327" spans="2:9">
      <c r="B2327" s="129">
        <v>769</v>
      </c>
      <c r="C2327" s="130" t="s">
        <v>5238</v>
      </c>
      <c r="D2327" s="130" t="s">
        <v>5324</v>
      </c>
      <c r="E2327" s="130" t="s">
        <v>5240</v>
      </c>
      <c r="F2327" s="130" t="s">
        <v>5111</v>
      </c>
      <c r="G2327" s="130">
        <v>1000</v>
      </c>
      <c r="H2327" s="130">
        <v>20000</v>
      </c>
      <c r="I2327" s="130" t="s">
        <v>5004</v>
      </c>
    </row>
    <row r="2328" spans="2:9">
      <c r="B2328" s="129"/>
      <c r="C2328" s="130"/>
      <c r="D2328" s="130"/>
      <c r="E2328" s="130"/>
      <c r="F2328" s="130"/>
      <c r="G2328" s="130"/>
      <c r="H2328" s="130"/>
      <c r="I2328" s="130"/>
    </row>
    <row r="2329" spans="2:9">
      <c r="B2329" s="129"/>
      <c r="C2329" s="130"/>
      <c r="D2329" s="130"/>
      <c r="E2329" s="130"/>
      <c r="F2329" s="130"/>
      <c r="G2329" s="130"/>
      <c r="H2329" s="130"/>
      <c r="I2329" s="130"/>
    </row>
    <row r="2330" spans="2:9">
      <c r="B2330" s="129">
        <v>770</v>
      </c>
      <c r="C2330" s="130" t="s">
        <v>5238</v>
      </c>
      <c r="D2330" s="130" t="s">
        <v>5324</v>
      </c>
      <c r="E2330" s="130" t="s">
        <v>5240</v>
      </c>
      <c r="F2330" s="130" t="s">
        <v>5033</v>
      </c>
      <c r="G2330" s="130">
        <v>1000</v>
      </c>
      <c r="H2330" s="130">
        <v>20000</v>
      </c>
      <c r="I2330" s="130" t="s">
        <v>5004</v>
      </c>
    </row>
    <row r="2331" spans="2:9">
      <c r="B2331" s="129"/>
      <c r="C2331" s="130"/>
      <c r="D2331" s="130"/>
      <c r="E2331" s="130"/>
      <c r="F2331" s="130"/>
      <c r="G2331" s="130"/>
      <c r="H2331" s="130"/>
      <c r="I2331" s="130"/>
    </row>
    <row r="2332" spans="2:9">
      <c r="B2332" s="129"/>
      <c r="C2332" s="130"/>
      <c r="D2332" s="130"/>
      <c r="E2332" s="130"/>
      <c r="F2332" s="130"/>
      <c r="G2332" s="130"/>
      <c r="H2332" s="130"/>
      <c r="I2332" s="130"/>
    </row>
    <row r="2333" spans="2:9">
      <c r="B2333" s="129">
        <v>771</v>
      </c>
      <c r="C2333" s="130" t="s">
        <v>5188</v>
      </c>
      <c r="D2333" s="130" t="s">
        <v>5324</v>
      </c>
      <c r="E2333" s="130" t="s">
        <v>5213</v>
      </c>
      <c r="F2333" s="130" t="s">
        <v>5111</v>
      </c>
      <c r="G2333" s="130">
        <v>100000</v>
      </c>
      <c r="H2333" s="130" t="s">
        <v>5037</v>
      </c>
      <c r="I2333" s="130" t="s">
        <v>5004</v>
      </c>
    </row>
    <row r="2334" spans="2:9">
      <c r="B2334" s="129"/>
      <c r="C2334" s="130"/>
      <c r="D2334" s="130"/>
      <c r="E2334" s="130"/>
      <c r="F2334" s="130"/>
      <c r="G2334" s="130"/>
      <c r="H2334" s="130"/>
      <c r="I2334" s="130"/>
    </row>
    <row r="2335" spans="2:9">
      <c r="B2335" s="129"/>
      <c r="C2335" s="130"/>
      <c r="D2335" s="130"/>
      <c r="E2335" s="130"/>
      <c r="F2335" s="130"/>
      <c r="G2335" s="130"/>
      <c r="H2335" s="130"/>
      <c r="I2335" s="130"/>
    </row>
    <row r="2336" spans="2:9">
      <c r="B2336" s="129">
        <v>772</v>
      </c>
      <c r="C2336" s="130" t="s">
        <v>5071</v>
      </c>
      <c r="D2336" s="130" t="s">
        <v>5324</v>
      </c>
      <c r="E2336" s="130" t="s">
        <v>5320</v>
      </c>
      <c r="F2336" s="130" t="s">
        <v>5026</v>
      </c>
      <c r="G2336" s="130">
        <v>5000</v>
      </c>
      <c r="H2336" s="130">
        <v>35000</v>
      </c>
      <c r="I2336" s="130" t="s">
        <v>5004</v>
      </c>
    </row>
    <row r="2337" spans="2:9">
      <c r="B2337" s="129"/>
      <c r="C2337" s="130"/>
      <c r="D2337" s="130"/>
      <c r="E2337" s="130"/>
      <c r="F2337" s="130"/>
      <c r="G2337" s="130"/>
      <c r="H2337" s="130"/>
      <c r="I2337" s="130"/>
    </row>
    <row r="2338" spans="2:9">
      <c r="B2338" s="129"/>
      <c r="C2338" s="130"/>
      <c r="D2338" s="130"/>
      <c r="E2338" s="130"/>
      <c r="F2338" s="130"/>
      <c r="G2338" s="130"/>
      <c r="H2338" s="130"/>
      <c r="I2338" s="130"/>
    </row>
    <row r="2339" spans="2:9">
      <c r="B2339" s="129">
        <v>773</v>
      </c>
      <c r="C2339" s="130" t="s">
        <v>5125</v>
      </c>
      <c r="D2339" s="130" t="s">
        <v>5324</v>
      </c>
      <c r="E2339" s="130" t="s">
        <v>5198</v>
      </c>
      <c r="F2339" s="130" t="s">
        <v>5226</v>
      </c>
      <c r="G2339" s="130">
        <v>1000</v>
      </c>
      <c r="H2339" s="130">
        <v>100000</v>
      </c>
      <c r="I2339" s="130" t="s">
        <v>5004</v>
      </c>
    </row>
    <row r="2340" spans="2:9">
      <c r="B2340" s="129"/>
      <c r="C2340" s="130"/>
      <c r="D2340" s="130"/>
      <c r="E2340" s="130"/>
      <c r="F2340" s="130"/>
      <c r="G2340" s="130"/>
      <c r="H2340" s="130"/>
      <c r="I2340" s="130"/>
    </row>
    <row r="2341" spans="2:9">
      <c r="B2341" s="129"/>
      <c r="C2341" s="130"/>
      <c r="D2341" s="130"/>
      <c r="E2341" s="130"/>
      <c r="F2341" s="130"/>
      <c r="G2341" s="130"/>
      <c r="H2341" s="130"/>
      <c r="I2341" s="130"/>
    </row>
    <row r="2342" spans="2:9">
      <c r="B2342" s="129">
        <v>774</v>
      </c>
      <c r="C2342" s="130" t="s">
        <v>5125</v>
      </c>
      <c r="D2342" s="130" t="s">
        <v>5324</v>
      </c>
      <c r="E2342" s="130" t="s">
        <v>5198</v>
      </c>
      <c r="F2342" s="130" t="s">
        <v>5288</v>
      </c>
      <c r="G2342" s="130">
        <v>1000</v>
      </c>
      <c r="H2342" s="130">
        <v>100000</v>
      </c>
      <c r="I2342" s="130" t="s">
        <v>5004</v>
      </c>
    </row>
    <row r="2343" spans="2:9">
      <c r="B2343" s="129"/>
      <c r="C2343" s="130"/>
      <c r="D2343" s="130"/>
      <c r="E2343" s="130"/>
      <c r="F2343" s="130"/>
      <c r="G2343" s="130"/>
      <c r="H2343" s="130"/>
      <c r="I2343" s="130"/>
    </row>
    <row r="2344" spans="2:9">
      <c r="B2344" s="129"/>
      <c r="C2344" s="130"/>
      <c r="D2344" s="130"/>
      <c r="E2344" s="130"/>
      <c r="F2344" s="130"/>
      <c r="G2344" s="130"/>
      <c r="H2344" s="130"/>
      <c r="I2344" s="130"/>
    </row>
    <row r="2345" spans="2:9">
      <c r="B2345" s="129">
        <v>775</v>
      </c>
      <c r="C2345" s="130" t="s">
        <v>5125</v>
      </c>
      <c r="D2345" s="130" t="s">
        <v>5324</v>
      </c>
      <c r="E2345" s="130" t="s">
        <v>5198</v>
      </c>
      <c r="F2345" s="130" t="s">
        <v>5310</v>
      </c>
      <c r="G2345" s="130">
        <v>1000</v>
      </c>
      <c r="H2345" s="130">
        <v>100000</v>
      </c>
      <c r="I2345" s="130" t="s">
        <v>5004</v>
      </c>
    </row>
    <row r="2346" spans="2:9">
      <c r="B2346" s="129"/>
      <c r="C2346" s="130"/>
      <c r="D2346" s="130"/>
      <c r="E2346" s="130"/>
      <c r="F2346" s="130"/>
      <c r="G2346" s="130"/>
      <c r="H2346" s="130"/>
      <c r="I2346" s="130"/>
    </row>
    <row r="2347" spans="2:9">
      <c r="B2347" s="129"/>
      <c r="C2347" s="130"/>
      <c r="D2347" s="130"/>
      <c r="E2347" s="130"/>
      <c r="F2347" s="130"/>
      <c r="G2347" s="130"/>
      <c r="H2347" s="130"/>
      <c r="I2347" s="130"/>
    </row>
    <row r="2348" spans="2:9">
      <c r="B2348" s="129">
        <v>776</v>
      </c>
      <c r="C2348" s="130" t="s">
        <v>5125</v>
      </c>
      <c r="D2348" s="130" t="s">
        <v>5324</v>
      </c>
      <c r="E2348" s="130" t="s">
        <v>5198</v>
      </c>
      <c r="F2348" s="130" t="s">
        <v>5311</v>
      </c>
      <c r="G2348" s="130">
        <v>1000</v>
      </c>
      <c r="H2348" s="130">
        <v>100000</v>
      </c>
      <c r="I2348" s="130" t="s">
        <v>5004</v>
      </c>
    </row>
    <row r="2349" spans="2:9">
      <c r="B2349" s="129"/>
      <c r="C2349" s="130"/>
      <c r="D2349" s="130"/>
      <c r="E2349" s="130"/>
      <c r="F2349" s="130"/>
      <c r="G2349" s="130"/>
      <c r="H2349" s="130"/>
      <c r="I2349" s="130"/>
    </row>
    <row r="2350" spans="2:9">
      <c r="B2350" s="129"/>
      <c r="C2350" s="130"/>
      <c r="D2350" s="130"/>
      <c r="E2350" s="130"/>
      <c r="F2350" s="130"/>
      <c r="G2350" s="130"/>
      <c r="H2350" s="130"/>
      <c r="I2350" s="130"/>
    </row>
    <row r="2351" spans="2:9">
      <c r="B2351" s="129">
        <v>777</v>
      </c>
      <c r="C2351" s="130" t="s">
        <v>5125</v>
      </c>
      <c r="D2351" s="130" t="s">
        <v>5324</v>
      </c>
      <c r="E2351" s="130" t="s">
        <v>5198</v>
      </c>
      <c r="F2351" s="130" t="s">
        <v>5111</v>
      </c>
      <c r="G2351" s="130">
        <v>1000</v>
      </c>
      <c r="H2351" s="130">
        <v>100000</v>
      </c>
      <c r="I2351" s="130" t="s">
        <v>5004</v>
      </c>
    </row>
    <row r="2352" spans="2:9">
      <c r="B2352" s="129"/>
      <c r="C2352" s="130"/>
      <c r="D2352" s="130"/>
      <c r="E2352" s="130"/>
      <c r="F2352" s="130"/>
      <c r="G2352" s="130"/>
      <c r="H2352" s="130"/>
      <c r="I2352" s="130"/>
    </row>
    <row r="2353" spans="2:9">
      <c r="B2353" s="129"/>
      <c r="C2353" s="130"/>
      <c r="D2353" s="130"/>
      <c r="E2353" s="130"/>
      <c r="F2353" s="130"/>
      <c r="G2353" s="130"/>
      <c r="H2353" s="130"/>
      <c r="I2353" s="130"/>
    </row>
    <row r="2354" spans="2:9">
      <c r="B2354" s="129">
        <v>778</v>
      </c>
      <c r="C2354" s="130" t="s">
        <v>5095</v>
      </c>
      <c r="D2354" s="130" t="s">
        <v>5324</v>
      </c>
      <c r="E2354" s="130" t="s">
        <v>5205</v>
      </c>
      <c r="F2354" s="130" t="s">
        <v>5310</v>
      </c>
      <c r="G2354" s="130">
        <v>25000</v>
      </c>
      <c r="H2354" s="130">
        <v>49999</v>
      </c>
      <c r="I2354" s="130" t="s">
        <v>5004</v>
      </c>
    </row>
    <row r="2355" spans="2:9">
      <c r="B2355" s="129"/>
      <c r="C2355" s="130"/>
      <c r="D2355" s="130"/>
      <c r="E2355" s="130"/>
      <c r="F2355" s="130"/>
      <c r="G2355" s="130"/>
      <c r="H2355" s="130"/>
      <c r="I2355" s="130"/>
    </row>
    <row r="2356" spans="2:9">
      <c r="B2356" s="129"/>
      <c r="C2356" s="130"/>
      <c r="D2356" s="130"/>
      <c r="E2356" s="130"/>
      <c r="F2356" s="130"/>
      <c r="G2356" s="130"/>
      <c r="H2356" s="130"/>
      <c r="I2356" s="130"/>
    </row>
    <row r="2357" spans="2:9">
      <c r="B2357" s="129">
        <v>779</v>
      </c>
      <c r="C2357" s="130" t="s">
        <v>5095</v>
      </c>
      <c r="D2357" s="130" t="s">
        <v>5324</v>
      </c>
      <c r="E2357" s="130" t="s">
        <v>5205</v>
      </c>
      <c r="F2357" s="130" t="s">
        <v>5311</v>
      </c>
      <c r="G2357" s="130">
        <v>25000</v>
      </c>
      <c r="H2357" s="130">
        <v>49999</v>
      </c>
      <c r="I2357" s="130" t="s">
        <v>5004</v>
      </c>
    </row>
    <row r="2358" spans="2:9">
      <c r="B2358" s="129"/>
      <c r="C2358" s="130"/>
      <c r="D2358" s="130"/>
      <c r="E2358" s="130"/>
      <c r="F2358" s="130"/>
      <c r="G2358" s="130"/>
      <c r="H2358" s="130"/>
      <c r="I2358" s="130"/>
    </row>
    <row r="2359" spans="2:9">
      <c r="B2359" s="129"/>
      <c r="C2359" s="130"/>
      <c r="D2359" s="130"/>
      <c r="E2359" s="130"/>
      <c r="F2359" s="130"/>
      <c r="G2359" s="130"/>
      <c r="H2359" s="130"/>
      <c r="I2359" s="130"/>
    </row>
    <row r="2360" spans="2:9">
      <c r="B2360" s="129">
        <v>780</v>
      </c>
      <c r="C2360" s="130" t="s">
        <v>5095</v>
      </c>
      <c r="D2360" s="130" t="s">
        <v>5324</v>
      </c>
      <c r="E2360" s="130" t="s">
        <v>5205</v>
      </c>
      <c r="F2360" s="130" t="s">
        <v>5111</v>
      </c>
      <c r="G2360" s="130">
        <v>25000</v>
      </c>
      <c r="H2360" s="130">
        <v>49999</v>
      </c>
      <c r="I2360" s="130" t="s">
        <v>5004</v>
      </c>
    </row>
    <row r="2361" spans="2:9">
      <c r="B2361" s="129"/>
      <c r="C2361" s="130"/>
      <c r="D2361" s="130"/>
      <c r="E2361" s="130"/>
      <c r="F2361" s="130"/>
      <c r="G2361" s="130"/>
      <c r="H2361" s="130"/>
      <c r="I2361" s="130"/>
    </row>
    <row r="2362" spans="2:9">
      <c r="B2362" s="129"/>
      <c r="C2362" s="130"/>
      <c r="D2362" s="130"/>
      <c r="E2362" s="130"/>
      <c r="F2362" s="130"/>
      <c r="G2362" s="130"/>
      <c r="H2362" s="130"/>
      <c r="I2362" s="130"/>
    </row>
    <row r="2363" spans="2:9">
      <c r="B2363" s="129">
        <v>781</v>
      </c>
      <c r="C2363" s="130" t="s">
        <v>5253</v>
      </c>
      <c r="D2363" s="130" t="s">
        <v>5324</v>
      </c>
      <c r="E2363" s="130" t="s">
        <v>5132</v>
      </c>
      <c r="F2363" s="130" t="s">
        <v>5003</v>
      </c>
      <c r="G2363" s="130">
        <v>1000</v>
      </c>
      <c r="H2363" s="130" t="s">
        <v>5037</v>
      </c>
      <c r="I2363" s="130" t="s">
        <v>5004</v>
      </c>
    </row>
    <row r="2364" spans="2:9">
      <c r="B2364" s="129"/>
      <c r="C2364" s="130"/>
      <c r="D2364" s="130"/>
      <c r="E2364" s="130"/>
      <c r="F2364" s="130"/>
      <c r="G2364" s="130"/>
      <c r="H2364" s="130"/>
      <c r="I2364" s="130"/>
    </row>
    <row r="2365" spans="2:9">
      <c r="B2365" s="129"/>
      <c r="C2365" s="130"/>
      <c r="D2365" s="130"/>
      <c r="E2365" s="130"/>
      <c r="F2365" s="130"/>
      <c r="G2365" s="130"/>
      <c r="H2365" s="130"/>
      <c r="I2365" s="130"/>
    </row>
    <row r="2366" spans="2:9">
      <c r="B2366" s="129">
        <v>782</v>
      </c>
      <c r="C2366" s="130" t="s">
        <v>5224</v>
      </c>
      <c r="D2366" s="130" t="s">
        <v>5324</v>
      </c>
      <c r="E2366" s="130" t="s">
        <v>5132</v>
      </c>
      <c r="F2366" s="130" t="s">
        <v>5288</v>
      </c>
      <c r="G2366" s="130">
        <v>50</v>
      </c>
      <c r="H2366" s="130" t="s">
        <v>5037</v>
      </c>
      <c r="I2366" s="130" t="s">
        <v>5004</v>
      </c>
    </row>
    <row r="2367" spans="2:9">
      <c r="B2367" s="129"/>
      <c r="C2367" s="130"/>
      <c r="D2367" s="130"/>
      <c r="E2367" s="130"/>
      <c r="F2367" s="130"/>
      <c r="G2367" s="130"/>
      <c r="H2367" s="130"/>
      <c r="I2367" s="130"/>
    </row>
    <row r="2368" spans="2:9">
      <c r="B2368" s="129"/>
      <c r="C2368" s="130"/>
      <c r="D2368" s="130"/>
      <c r="E2368" s="130"/>
      <c r="F2368" s="130"/>
      <c r="G2368" s="130"/>
      <c r="H2368" s="130"/>
      <c r="I2368" s="130"/>
    </row>
    <row r="2369" spans="2:9">
      <c r="B2369" s="129">
        <v>783</v>
      </c>
      <c r="C2369" s="130" t="s">
        <v>5238</v>
      </c>
      <c r="D2369" s="130" t="s">
        <v>5325</v>
      </c>
      <c r="E2369" s="130" t="s">
        <v>5240</v>
      </c>
      <c r="F2369" s="130" t="s">
        <v>5020</v>
      </c>
      <c r="G2369" s="130">
        <v>1000</v>
      </c>
      <c r="H2369" s="130">
        <v>20000</v>
      </c>
      <c r="I2369" s="130" t="s">
        <v>5004</v>
      </c>
    </row>
    <row r="2370" spans="2:9">
      <c r="B2370" s="129"/>
      <c r="C2370" s="130"/>
      <c r="D2370" s="130"/>
      <c r="E2370" s="130"/>
      <c r="F2370" s="130"/>
      <c r="G2370" s="130"/>
      <c r="H2370" s="130"/>
      <c r="I2370" s="130"/>
    </row>
    <row r="2371" spans="2:9">
      <c r="B2371" s="129"/>
      <c r="C2371" s="130"/>
      <c r="D2371" s="130"/>
      <c r="E2371" s="130"/>
      <c r="F2371" s="130"/>
      <c r="G2371" s="130"/>
      <c r="H2371" s="130"/>
      <c r="I2371" s="130"/>
    </row>
    <row r="2372" spans="2:9">
      <c r="B2372" s="129">
        <v>784</v>
      </c>
      <c r="C2372" s="130" t="s">
        <v>5238</v>
      </c>
      <c r="D2372" s="130" t="s">
        <v>5326</v>
      </c>
      <c r="E2372" s="130" t="s">
        <v>5240</v>
      </c>
      <c r="F2372" s="130" t="s">
        <v>5008</v>
      </c>
      <c r="G2372" s="130">
        <v>1000</v>
      </c>
      <c r="H2372" s="130">
        <v>20000</v>
      </c>
      <c r="I2372" s="130" t="s">
        <v>5004</v>
      </c>
    </row>
    <row r="2373" spans="2:9">
      <c r="B2373" s="129"/>
      <c r="C2373" s="130"/>
      <c r="D2373" s="130"/>
      <c r="E2373" s="130"/>
      <c r="F2373" s="130"/>
      <c r="G2373" s="130"/>
      <c r="H2373" s="130"/>
      <c r="I2373" s="130"/>
    </row>
    <row r="2374" spans="2:9">
      <c r="B2374" s="129"/>
      <c r="C2374" s="130"/>
      <c r="D2374" s="130"/>
      <c r="E2374" s="130"/>
      <c r="F2374" s="130"/>
      <c r="G2374" s="130"/>
      <c r="H2374" s="130"/>
      <c r="I2374" s="130"/>
    </row>
    <row r="2375" spans="2:9">
      <c r="B2375" s="129">
        <v>785</v>
      </c>
      <c r="C2375" s="130" t="s">
        <v>5238</v>
      </c>
      <c r="D2375" s="130" t="s">
        <v>5326</v>
      </c>
      <c r="E2375" s="130" t="s">
        <v>5240</v>
      </c>
      <c r="F2375" s="130" t="s">
        <v>5050</v>
      </c>
      <c r="G2375" s="130">
        <v>1000</v>
      </c>
      <c r="H2375" s="130">
        <v>20000</v>
      </c>
      <c r="I2375" s="130" t="s">
        <v>5004</v>
      </c>
    </row>
    <row r="2376" spans="2:9">
      <c r="B2376" s="129"/>
      <c r="C2376" s="130"/>
      <c r="D2376" s="130"/>
      <c r="E2376" s="130"/>
      <c r="F2376" s="130"/>
      <c r="G2376" s="130"/>
      <c r="H2376" s="130"/>
      <c r="I2376" s="130"/>
    </row>
    <row r="2377" spans="2:9">
      <c r="B2377" s="129"/>
      <c r="C2377" s="130"/>
      <c r="D2377" s="130"/>
      <c r="E2377" s="130"/>
      <c r="F2377" s="130"/>
      <c r="G2377" s="130"/>
      <c r="H2377" s="130"/>
      <c r="I2377" s="130"/>
    </row>
    <row r="2378" spans="2:9">
      <c r="B2378" s="129">
        <v>786</v>
      </c>
      <c r="C2378" s="130" t="s">
        <v>5071</v>
      </c>
      <c r="D2378" s="130" t="s">
        <v>5326</v>
      </c>
      <c r="E2378" s="130" t="s">
        <v>5320</v>
      </c>
      <c r="F2378" s="130" t="s">
        <v>5031</v>
      </c>
      <c r="G2378" s="130">
        <v>35000</v>
      </c>
      <c r="H2378" s="130" t="s">
        <v>5037</v>
      </c>
      <c r="I2378" s="130" t="s">
        <v>5004</v>
      </c>
    </row>
    <row r="2379" spans="2:9">
      <c r="B2379" s="129"/>
      <c r="C2379" s="130"/>
      <c r="D2379" s="130"/>
      <c r="E2379" s="130"/>
      <c r="F2379" s="130"/>
      <c r="G2379" s="130"/>
      <c r="H2379" s="130"/>
      <c r="I2379" s="130"/>
    </row>
    <row r="2380" spans="2:9">
      <c r="B2380" s="129"/>
      <c r="C2380" s="130"/>
      <c r="D2380" s="130"/>
      <c r="E2380" s="130"/>
      <c r="F2380" s="130"/>
      <c r="G2380" s="130"/>
      <c r="H2380" s="130"/>
      <c r="I2380" s="130"/>
    </row>
    <row r="2381" spans="2:9">
      <c r="B2381" s="129">
        <v>787</v>
      </c>
      <c r="C2381" s="130" t="s">
        <v>5128</v>
      </c>
      <c r="D2381" s="130" t="s">
        <v>5326</v>
      </c>
      <c r="E2381" s="130" t="s">
        <v>5127</v>
      </c>
      <c r="F2381" s="130" t="s">
        <v>5033</v>
      </c>
      <c r="G2381" s="130">
        <v>1000</v>
      </c>
      <c r="H2381" s="130">
        <v>9999</v>
      </c>
      <c r="I2381" s="130" t="s">
        <v>5004</v>
      </c>
    </row>
    <row r="2382" spans="2:9">
      <c r="B2382" s="129"/>
      <c r="C2382" s="130"/>
      <c r="D2382" s="130"/>
      <c r="E2382" s="130"/>
      <c r="F2382" s="130"/>
      <c r="G2382" s="130"/>
      <c r="H2382" s="130"/>
      <c r="I2382" s="130"/>
    </row>
    <row r="2383" spans="2:9">
      <c r="B2383" s="129"/>
      <c r="C2383" s="130"/>
      <c r="D2383" s="130"/>
      <c r="E2383" s="130"/>
      <c r="F2383" s="130"/>
      <c r="G2383" s="130"/>
      <c r="H2383" s="130"/>
      <c r="I2383" s="130"/>
    </row>
    <row r="2384" spans="2:9">
      <c r="B2384" s="129">
        <v>788</v>
      </c>
      <c r="C2384" s="130" t="s">
        <v>5095</v>
      </c>
      <c r="D2384" s="130" t="s">
        <v>5326</v>
      </c>
      <c r="E2384" s="130" t="s">
        <v>5205</v>
      </c>
      <c r="F2384" s="130" t="s">
        <v>5310</v>
      </c>
      <c r="G2384" s="130">
        <v>10000</v>
      </c>
      <c r="H2384" s="130">
        <v>24999</v>
      </c>
      <c r="I2384" s="130" t="s">
        <v>5004</v>
      </c>
    </row>
    <row r="2385" spans="2:9">
      <c r="B2385" s="129"/>
      <c r="C2385" s="130"/>
      <c r="D2385" s="130"/>
      <c r="E2385" s="130"/>
      <c r="F2385" s="130"/>
      <c r="G2385" s="130"/>
      <c r="H2385" s="130"/>
      <c r="I2385" s="130"/>
    </row>
    <row r="2386" spans="2:9">
      <c r="B2386" s="129"/>
      <c r="C2386" s="130"/>
      <c r="D2386" s="130"/>
      <c r="E2386" s="130"/>
      <c r="F2386" s="130"/>
      <c r="G2386" s="130"/>
      <c r="H2386" s="130"/>
      <c r="I2386" s="130"/>
    </row>
    <row r="2387" spans="2:9">
      <c r="B2387" s="129">
        <v>789</v>
      </c>
      <c r="C2387" s="130" t="s">
        <v>5095</v>
      </c>
      <c r="D2387" s="130" t="s">
        <v>5326</v>
      </c>
      <c r="E2387" s="130" t="s">
        <v>5205</v>
      </c>
      <c r="F2387" s="130" t="s">
        <v>5311</v>
      </c>
      <c r="G2387" s="130">
        <v>10000</v>
      </c>
      <c r="H2387" s="130">
        <v>24999</v>
      </c>
      <c r="I2387" s="130" t="s">
        <v>5004</v>
      </c>
    </row>
    <row r="2388" spans="2:9">
      <c r="B2388" s="129"/>
      <c r="C2388" s="130"/>
      <c r="D2388" s="130"/>
      <c r="E2388" s="130"/>
      <c r="F2388" s="130"/>
      <c r="G2388" s="130"/>
      <c r="H2388" s="130"/>
      <c r="I2388" s="130"/>
    </row>
    <row r="2389" spans="2:9">
      <c r="B2389" s="129"/>
      <c r="C2389" s="130"/>
      <c r="D2389" s="130"/>
      <c r="E2389" s="130"/>
      <c r="F2389" s="130"/>
      <c r="G2389" s="130"/>
      <c r="H2389" s="130"/>
      <c r="I2389" s="130"/>
    </row>
    <row r="2390" spans="2:9">
      <c r="B2390" s="129">
        <v>790</v>
      </c>
      <c r="C2390" s="130" t="s">
        <v>5095</v>
      </c>
      <c r="D2390" s="130" t="s">
        <v>5326</v>
      </c>
      <c r="E2390" s="130" t="s">
        <v>5205</v>
      </c>
      <c r="F2390" s="130" t="s">
        <v>5111</v>
      </c>
      <c r="G2390" s="130">
        <v>10000</v>
      </c>
      <c r="H2390" s="130">
        <v>24999</v>
      </c>
      <c r="I2390" s="130" t="s">
        <v>5004</v>
      </c>
    </row>
    <row r="2391" spans="2:9">
      <c r="B2391" s="129"/>
      <c r="C2391" s="130"/>
      <c r="D2391" s="130"/>
      <c r="E2391" s="130"/>
      <c r="F2391" s="130"/>
      <c r="G2391" s="130"/>
      <c r="H2391" s="130"/>
      <c r="I2391" s="130"/>
    </row>
    <row r="2392" spans="2:9">
      <c r="B2392" s="129"/>
      <c r="C2392" s="130"/>
      <c r="D2392" s="130"/>
      <c r="E2392" s="130"/>
      <c r="F2392" s="130"/>
      <c r="G2392" s="130"/>
      <c r="H2392" s="130"/>
      <c r="I2392" s="130"/>
    </row>
    <row r="2393" spans="2:9">
      <c r="B2393" s="129">
        <v>791</v>
      </c>
      <c r="C2393" s="130" t="s">
        <v>5253</v>
      </c>
      <c r="D2393" s="130" t="s">
        <v>5326</v>
      </c>
      <c r="E2393" s="130" t="s">
        <v>5132</v>
      </c>
      <c r="F2393" s="130" t="s">
        <v>5196</v>
      </c>
      <c r="G2393" s="130">
        <v>1000</v>
      </c>
      <c r="H2393" s="130" t="s">
        <v>5037</v>
      </c>
      <c r="I2393" s="130" t="s">
        <v>5004</v>
      </c>
    </row>
    <row r="2394" spans="2:9">
      <c r="B2394" s="129"/>
      <c r="C2394" s="130"/>
      <c r="D2394" s="130"/>
      <c r="E2394" s="130"/>
      <c r="F2394" s="130"/>
      <c r="G2394" s="130"/>
      <c r="H2394" s="130"/>
      <c r="I2394" s="130"/>
    </row>
    <row r="2395" spans="2:9">
      <c r="B2395" s="129"/>
      <c r="C2395" s="130"/>
      <c r="D2395" s="130"/>
      <c r="E2395" s="130"/>
      <c r="F2395" s="130"/>
      <c r="G2395" s="130"/>
      <c r="H2395" s="130"/>
      <c r="I2395" s="130"/>
    </row>
    <row r="2396" spans="2:9">
      <c r="B2396" s="129">
        <v>792</v>
      </c>
      <c r="C2396" s="130" t="s">
        <v>5208</v>
      </c>
      <c r="D2396" s="130" t="s">
        <v>5326</v>
      </c>
      <c r="E2396" s="130" t="s">
        <v>5132</v>
      </c>
      <c r="F2396" s="130" t="s">
        <v>5033</v>
      </c>
      <c r="G2396" s="130">
        <v>50000</v>
      </c>
      <c r="H2396" s="130" t="s">
        <v>5037</v>
      </c>
      <c r="I2396" s="130" t="s">
        <v>5004</v>
      </c>
    </row>
    <row r="2397" spans="2:9">
      <c r="B2397" s="129"/>
      <c r="C2397" s="130"/>
      <c r="D2397" s="130"/>
      <c r="E2397" s="130"/>
      <c r="F2397" s="130"/>
      <c r="G2397" s="130"/>
      <c r="H2397" s="130"/>
      <c r="I2397" s="130"/>
    </row>
    <row r="2398" spans="2:9">
      <c r="B2398" s="129"/>
      <c r="C2398" s="130"/>
      <c r="D2398" s="130"/>
      <c r="E2398" s="130"/>
      <c r="F2398" s="130"/>
      <c r="G2398" s="130"/>
      <c r="H2398" s="130"/>
      <c r="I2398" s="130"/>
    </row>
    <row r="2399" spans="2:9">
      <c r="B2399" s="129">
        <v>793</v>
      </c>
      <c r="C2399" s="130" t="s">
        <v>5208</v>
      </c>
      <c r="D2399" s="130" t="s">
        <v>5326</v>
      </c>
      <c r="E2399" s="130" t="s">
        <v>5132</v>
      </c>
      <c r="F2399" s="130" t="s">
        <v>5026</v>
      </c>
      <c r="G2399" s="130">
        <v>10000</v>
      </c>
      <c r="H2399" s="130">
        <v>49999</v>
      </c>
      <c r="I2399" s="130" t="s">
        <v>5004</v>
      </c>
    </row>
    <row r="2400" spans="2:9">
      <c r="B2400" s="129"/>
      <c r="C2400" s="130"/>
      <c r="D2400" s="130"/>
      <c r="E2400" s="130"/>
      <c r="F2400" s="130"/>
      <c r="G2400" s="130"/>
      <c r="H2400" s="130"/>
      <c r="I2400" s="130"/>
    </row>
    <row r="2401" spans="2:9">
      <c r="B2401" s="129"/>
      <c r="C2401" s="130"/>
      <c r="D2401" s="130"/>
      <c r="E2401" s="130"/>
      <c r="F2401" s="130"/>
      <c r="G2401" s="130"/>
      <c r="H2401" s="130"/>
      <c r="I2401" s="130"/>
    </row>
    <row r="2402" spans="2:9">
      <c r="B2402" s="129">
        <v>794</v>
      </c>
      <c r="C2402" s="130" t="s">
        <v>5224</v>
      </c>
      <c r="D2402" s="130" t="s">
        <v>5326</v>
      </c>
      <c r="E2402" s="130" t="s">
        <v>5132</v>
      </c>
      <c r="F2402" s="130" t="s">
        <v>5290</v>
      </c>
      <c r="G2402" s="130">
        <v>50</v>
      </c>
      <c r="H2402" s="130" t="s">
        <v>5037</v>
      </c>
      <c r="I2402" s="130" t="s">
        <v>5004</v>
      </c>
    </row>
    <row r="2403" spans="2:9">
      <c r="B2403" s="129"/>
      <c r="C2403" s="130"/>
      <c r="D2403" s="130"/>
      <c r="E2403" s="130"/>
      <c r="F2403" s="130"/>
      <c r="G2403" s="130"/>
      <c r="H2403" s="130"/>
      <c r="I2403" s="130"/>
    </row>
    <row r="2404" spans="2:9">
      <c r="B2404" s="129"/>
      <c r="C2404" s="130"/>
      <c r="D2404" s="130"/>
      <c r="E2404" s="130"/>
      <c r="F2404" s="130"/>
      <c r="G2404" s="130"/>
      <c r="H2404" s="130"/>
      <c r="I2404" s="130"/>
    </row>
    <row r="2405" spans="2:9">
      <c r="B2405" s="129">
        <v>795</v>
      </c>
      <c r="C2405" s="130" t="s">
        <v>5238</v>
      </c>
      <c r="D2405" s="130" t="s">
        <v>5327</v>
      </c>
      <c r="E2405" s="130" t="s">
        <v>5240</v>
      </c>
      <c r="F2405" s="130" t="s">
        <v>5290</v>
      </c>
      <c r="G2405" s="130">
        <v>20000</v>
      </c>
      <c r="H2405" s="130" t="s">
        <v>5037</v>
      </c>
      <c r="I2405" s="130" t="s">
        <v>5004</v>
      </c>
    </row>
    <row r="2406" spans="2:9">
      <c r="B2406" s="129"/>
      <c r="C2406" s="130"/>
      <c r="D2406" s="130"/>
      <c r="E2406" s="130"/>
      <c r="F2406" s="130"/>
      <c r="G2406" s="130"/>
      <c r="H2406" s="130"/>
      <c r="I2406" s="130"/>
    </row>
    <row r="2407" spans="2:9">
      <c r="B2407" s="129"/>
      <c r="C2407" s="130"/>
      <c r="D2407" s="130"/>
      <c r="E2407" s="130"/>
      <c r="F2407" s="130"/>
      <c r="G2407" s="130"/>
      <c r="H2407" s="130"/>
      <c r="I2407" s="130"/>
    </row>
    <row r="2408" spans="2:9">
      <c r="B2408" s="129">
        <v>796</v>
      </c>
      <c r="C2408" s="130" t="s">
        <v>5218</v>
      </c>
      <c r="D2408" s="130" t="s">
        <v>5327</v>
      </c>
      <c r="E2408" s="130" t="s">
        <v>5299</v>
      </c>
      <c r="F2408" s="130" t="s">
        <v>5111</v>
      </c>
      <c r="G2408" s="130">
        <v>1000</v>
      </c>
      <c r="H2408" s="130">
        <v>10000</v>
      </c>
      <c r="I2408" s="130" t="s">
        <v>5004</v>
      </c>
    </row>
    <row r="2409" spans="2:9">
      <c r="B2409" s="129"/>
      <c r="C2409" s="130"/>
      <c r="D2409" s="130"/>
      <c r="E2409" s="130"/>
      <c r="F2409" s="130"/>
      <c r="G2409" s="130"/>
      <c r="H2409" s="130"/>
      <c r="I2409" s="130"/>
    </row>
    <row r="2410" spans="2:9">
      <c r="B2410" s="129"/>
      <c r="C2410" s="130"/>
      <c r="D2410" s="130"/>
      <c r="E2410" s="130"/>
      <c r="F2410" s="130"/>
      <c r="G2410" s="130"/>
      <c r="H2410" s="130"/>
      <c r="I2410" s="130"/>
    </row>
    <row r="2411" spans="2:9">
      <c r="B2411" s="129">
        <v>797</v>
      </c>
      <c r="C2411" s="130" t="s">
        <v>5238</v>
      </c>
      <c r="D2411" s="130" t="s">
        <v>5327</v>
      </c>
      <c r="E2411" s="130" t="s">
        <v>5240</v>
      </c>
      <c r="F2411" s="130" t="s">
        <v>5310</v>
      </c>
      <c r="G2411" s="130">
        <v>1000</v>
      </c>
      <c r="H2411" s="130">
        <v>20000</v>
      </c>
      <c r="I2411" s="130" t="s">
        <v>5004</v>
      </c>
    </row>
    <row r="2412" spans="2:9">
      <c r="B2412" s="129"/>
      <c r="C2412" s="130"/>
      <c r="D2412" s="130"/>
      <c r="E2412" s="130"/>
      <c r="F2412" s="130"/>
      <c r="G2412" s="130"/>
      <c r="H2412" s="130"/>
      <c r="I2412" s="130"/>
    </row>
    <row r="2413" spans="2:9">
      <c r="B2413" s="129"/>
      <c r="C2413" s="130"/>
      <c r="D2413" s="130"/>
      <c r="E2413" s="130"/>
      <c r="F2413" s="130"/>
      <c r="G2413" s="130"/>
      <c r="H2413" s="130"/>
      <c r="I2413" s="130"/>
    </row>
    <row r="2414" spans="2:9">
      <c r="B2414" s="129">
        <v>798</v>
      </c>
      <c r="C2414" s="130" t="s">
        <v>5188</v>
      </c>
      <c r="D2414" s="130" t="s">
        <v>5327</v>
      </c>
      <c r="E2414" s="130" t="s">
        <v>5213</v>
      </c>
      <c r="F2414" s="130" t="s">
        <v>5111</v>
      </c>
      <c r="G2414" s="130">
        <v>30000</v>
      </c>
      <c r="H2414" s="130">
        <v>100000</v>
      </c>
      <c r="I2414" s="130" t="s">
        <v>5004</v>
      </c>
    </row>
    <row r="2415" spans="2:9">
      <c r="B2415" s="129"/>
      <c r="C2415" s="130"/>
      <c r="D2415" s="130"/>
      <c r="E2415" s="130"/>
      <c r="F2415" s="130"/>
      <c r="G2415" s="130"/>
      <c r="H2415" s="130"/>
      <c r="I2415" s="130"/>
    </row>
    <row r="2416" spans="2:9">
      <c r="B2416" s="129"/>
      <c r="C2416" s="130"/>
      <c r="D2416" s="130"/>
      <c r="E2416" s="130"/>
      <c r="F2416" s="130"/>
      <c r="G2416" s="130"/>
      <c r="H2416" s="130"/>
      <c r="I2416" s="130"/>
    </row>
    <row r="2417" spans="2:9">
      <c r="B2417" s="129">
        <v>799</v>
      </c>
      <c r="C2417" s="130" t="s">
        <v>5301</v>
      </c>
      <c r="D2417" s="130" t="s">
        <v>5327</v>
      </c>
      <c r="E2417" s="130" t="s">
        <v>5133</v>
      </c>
      <c r="F2417" s="130" t="s">
        <v>5085</v>
      </c>
      <c r="G2417" s="130">
        <v>100000</v>
      </c>
      <c r="H2417" s="130" t="s">
        <v>5037</v>
      </c>
      <c r="I2417" s="130" t="s">
        <v>5004</v>
      </c>
    </row>
    <row r="2418" spans="2:9">
      <c r="B2418" s="129"/>
      <c r="C2418" s="130"/>
      <c r="D2418" s="130"/>
      <c r="E2418" s="130"/>
      <c r="F2418" s="130"/>
      <c r="G2418" s="130"/>
      <c r="H2418" s="130"/>
      <c r="I2418" s="130"/>
    </row>
    <row r="2419" spans="2:9">
      <c r="B2419" s="129"/>
      <c r="C2419" s="130"/>
      <c r="D2419" s="130"/>
      <c r="E2419" s="130"/>
      <c r="F2419" s="130"/>
      <c r="G2419" s="130"/>
      <c r="H2419" s="130"/>
      <c r="I2419" s="130"/>
    </row>
    <row r="2420" spans="2:9">
      <c r="B2420" s="129">
        <v>800</v>
      </c>
      <c r="C2420" s="130" t="s">
        <v>5071</v>
      </c>
      <c r="D2420" s="130" t="s">
        <v>5328</v>
      </c>
      <c r="E2420" s="130" t="s">
        <v>5320</v>
      </c>
      <c r="F2420" s="130" t="s">
        <v>5031</v>
      </c>
      <c r="G2420" s="130">
        <v>5000</v>
      </c>
      <c r="H2420" s="130">
        <v>35000</v>
      </c>
      <c r="I2420" s="130" t="s">
        <v>5004</v>
      </c>
    </row>
    <row r="2421" spans="2:9">
      <c r="B2421" s="129"/>
      <c r="C2421" s="130"/>
      <c r="D2421" s="130"/>
      <c r="E2421" s="130"/>
      <c r="F2421" s="130"/>
      <c r="G2421" s="130"/>
      <c r="H2421" s="130"/>
      <c r="I2421" s="130"/>
    </row>
    <row r="2422" spans="2:9">
      <c r="B2422" s="129"/>
      <c r="C2422" s="130"/>
      <c r="D2422" s="130"/>
      <c r="E2422" s="130"/>
      <c r="F2422" s="130"/>
      <c r="G2422" s="130"/>
      <c r="H2422" s="130"/>
      <c r="I2422" s="130"/>
    </row>
    <row r="2423" spans="2:9">
      <c r="B2423" s="129">
        <v>801</v>
      </c>
      <c r="C2423" s="130" t="s">
        <v>5128</v>
      </c>
      <c r="D2423" s="130" t="s">
        <v>5328</v>
      </c>
      <c r="E2423" s="130" t="s">
        <v>5127</v>
      </c>
      <c r="F2423" s="130" t="s">
        <v>5008</v>
      </c>
      <c r="G2423" s="130">
        <v>1000</v>
      </c>
      <c r="H2423" s="130">
        <v>9999</v>
      </c>
      <c r="I2423" s="130" t="s">
        <v>5004</v>
      </c>
    </row>
    <row r="2424" spans="2:9">
      <c r="B2424" s="129"/>
      <c r="C2424" s="130"/>
      <c r="D2424" s="130"/>
      <c r="E2424" s="130"/>
      <c r="F2424" s="130"/>
      <c r="G2424" s="130"/>
      <c r="H2424" s="130"/>
      <c r="I2424" s="130"/>
    </row>
    <row r="2425" spans="2:9">
      <c r="B2425" s="129"/>
      <c r="C2425" s="130"/>
      <c r="D2425" s="130"/>
      <c r="E2425" s="130"/>
      <c r="F2425" s="130"/>
      <c r="G2425" s="130"/>
      <c r="H2425" s="130"/>
      <c r="I2425" s="130"/>
    </row>
    <row r="2426" spans="2:9">
      <c r="B2426" s="129">
        <v>802</v>
      </c>
      <c r="C2426" s="130" t="s">
        <v>5095</v>
      </c>
      <c r="D2426" s="130" t="s">
        <v>5328</v>
      </c>
      <c r="E2426" s="130" t="s">
        <v>5205</v>
      </c>
      <c r="F2426" s="130" t="s">
        <v>5310</v>
      </c>
      <c r="G2426" s="130">
        <v>500</v>
      </c>
      <c r="H2426" s="130">
        <v>9999</v>
      </c>
      <c r="I2426" s="130" t="s">
        <v>5004</v>
      </c>
    </row>
    <row r="2427" spans="2:9">
      <c r="B2427" s="129"/>
      <c r="C2427" s="130"/>
      <c r="D2427" s="130"/>
      <c r="E2427" s="130"/>
      <c r="F2427" s="130"/>
      <c r="G2427" s="130"/>
      <c r="H2427" s="130"/>
      <c r="I2427" s="130"/>
    </row>
    <row r="2428" spans="2:9">
      <c r="B2428" s="129"/>
      <c r="C2428" s="130"/>
      <c r="D2428" s="130"/>
      <c r="E2428" s="130"/>
      <c r="F2428" s="130"/>
      <c r="G2428" s="130"/>
      <c r="H2428" s="130"/>
      <c r="I2428" s="130"/>
    </row>
    <row r="2429" spans="2:9">
      <c r="B2429" s="129">
        <v>803</v>
      </c>
      <c r="C2429" s="130" t="s">
        <v>5095</v>
      </c>
      <c r="D2429" s="130" t="s">
        <v>5328</v>
      </c>
      <c r="E2429" s="130" t="s">
        <v>5205</v>
      </c>
      <c r="F2429" s="130" t="s">
        <v>5311</v>
      </c>
      <c r="G2429" s="130">
        <v>500</v>
      </c>
      <c r="H2429" s="130">
        <v>9999</v>
      </c>
      <c r="I2429" s="130" t="s">
        <v>5004</v>
      </c>
    </row>
    <row r="2430" spans="2:9">
      <c r="B2430" s="129"/>
      <c r="C2430" s="130"/>
      <c r="D2430" s="130"/>
      <c r="E2430" s="130"/>
      <c r="F2430" s="130"/>
      <c r="G2430" s="130"/>
      <c r="H2430" s="130"/>
      <c r="I2430" s="130"/>
    </row>
    <row r="2431" spans="2:9">
      <c r="B2431" s="129"/>
      <c r="C2431" s="130"/>
      <c r="D2431" s="130"/>
      <c r="E2431" s="130"/>
      <c r="F2431" s="130"/>
      <c r="G2431" s="130"/>
      <c r="H2431" s="130"/>
      <c r="I2431" s="130"/>
    </row>
    <row r="2432" spans="2:9">
      <c r="B2432" s="129">
        <v>804</v>
      </c>
      <c r="C2432" s="130" t="s">
        <v>5095</v>
      </c>
      <c r="D2432" s="130" t="s">
        <v>5328</v>
      </c>
      <c r="E2432" s="130" t="s">
        <v>5205</v>
      </c>
      <c r="F2432" s="130" t="s">
        <v>5111</v>
      </c>
      <c r="G2432" s="130">
        <v>500</v>
      </c>
      <c r="H2432" s="130">
        <v>9999</v>
      </c>
      <c r="I2432" s="130" t="s">
        <v>5004</v>
      </c>
    </row>
    <row r="2433" spans="2:9">
      <c r="B2433" s="129"/>
      <c r="C2433" s="130"/>
      <c r="D2433" s="130"/>
      <c r="E2433" s="130"/>
      <c r="F2433" s="130"/>
      <c r="G2433" s="130"/>
      <c r="H2433" s="130"/>
      <c r="I2433" s="130"/>
    </row>
    <row r="2434" spans="2:9">
      <c r="B2434" s="129"/>
      <c r="C2434" s="130"/>
      <c r="D2434" s="130"/>
      <c r="E2434" s="130"/>
      <c r="F2434" s="130"/>
      <c r="G2434" s="130"/>
      <c r="H2434" s="130"/>
      <c r="I2434" s="130"/>
    </row>
    <row r="2435" spans="2:9">
      <c r="B2435" s="129">
        <v>805</v>
      </c>
      <c r="C2435" s="130" t="s">
        <v>5253</v>
      </c>
      <c r="D2435" s="130" t="s">
        <v>5328</v>
      </c>
      <c r="E2435" s="130" t="s">
        <v>5132</v>
      </c>
      <c r="F2435" s="130" t="s">
        <v>5111</v>
      </c>
      <c r="G2435" s="130">
        <v>1000</v>
      </c>
      <c r="H2435" s="130" t="s">
        <v>5037</v>
      </c>
      <c r="I2435" s="130" t="s">
        <v>5004</v>
      </c>
    </row>
    <row r="2436" spans="2:9">
      <c r="B2436" s="129"/>
      <c r="C2436" s="130"/>
      <c r="D2436" s="130"/>
      <c r="E2436" s="130"/>
      <c r="F2436" s="130"/>
      <c r="G2436" s="130"/>
      <c r="H2436" s="130"/>
      <c r="I2436" s="130"/>
    </row>
    <row r="2437" spans="2:9">
      <c r="B2437" s="129"/>
      <c r="C2437" s="130"/>
      <c r="D2437" s="130"/>
      <c r="E2437" s="130"/>
      <c r="F2437" s="130"/>
      <c r="G2437" s="130"/>
      <c r="H2437" s="130"/>
      <c r="I2437" s="130"/>
    </row>
    <row r="2438" spans="2:9">
      <c r="B2438" s="129">
        <v>806</v>
      </c>
      <c r="C2438" s="130" t="s">
        <v>5301</v>
      </c>
      <c r="D2438" s="130" t="s">
        <v>5328</v>
      </c>
      <c r="E2438" s="130" t="s">
        <v>5302</v>
      </c>
      <c r="F2438" s="130" t="s">
        <v>5026</v>
      </c>
      <c r="G2438" s="130">
        <v>1000</v>
      </c>
      <c r="H2438" s="130">
        <v>49999</v>
      </c>
      <c r="I2438" s="130" t="s">
        <v>5004</v>
      </c>
    </row>
    <row r="2439" spans="2:9">
      <c r="B2439" s="129"/>
      <c r="C2439" s="130"/>
      <c r="D2439" s="130"/>
      <c r="E2439" s="130"/>
      <c r="F2439" s="130"/>
      <c r="G2439" s="130"/>
      <c r="H2439" s="130"/>
      <c r="I2439" s="130"/>
    </row>
    <row r="2440" spans="2:9">
      <c r="B2440" s="129"/>
      <c r="C2440" s="130"/>
      <c r="D2440" s="130"/>
      <c r="E2440" s="130"/>
      <c r="F2440" s="130"/>
      <c r="G2440" s="130"/>
      <c r="H2440" s="130"/>
      <c r="I2440" s="130"/>
    </row>
    <row r="2441" spans="2:9">
      <c r="B2441" s="129">
        <v>807</v>
      </c>
      <c r="C2441" s="130" t="s">
        <v>5208</v>
      </c>
      <c r="D2441" s="130" t="s">
        <v>5328</v>
      </c>
      <c r="E2441" s="130" t="s">
        <v>5329</v>
      </c>
      <c r="F2441" s="130" t="s">
        <v>5033</v>
      </c>
      <c r="G2441" s="130">
        <v>1000</v>
      </c>
      <c r="H2441" s="130" t="s">
        <v>5037</v>
      </c>
      <c r="I2441" s="130" t="s">
        <v>5004</v>
      </c>
    </row>
    <row r="2442" spans="2:9">
      <c r="B2442" s="129"/>
      <c r="C2442" s="130"/>
      <c r="D2442" s="130"/>
      <c r="E2442" s="130"/>
      <c r="F2442" s="130"/>
      <c r="G2442" s="130"/>
      <c r="H2442" s="130"/>
      <c r="I2442" s="130"/>
    </row>
    <row r="2443" spans="2:9">
      <c r="B2443" s="129"/>
      <c r="C2443" s="130"/>
      <c r="D2443" s="130"/>
      <c r="E2443" s="130"/>
      <c r="F2443" s="130"/>
      <c r="G2443" s="130"/>
      <c r="H2443" s="130"/>
      <c r="I2443" s="130"/>
    </row>
    <row r="2444" spans="2:9">
      <c r="B2444" s="129">
        <v>808</v>
      </c>
      <c r="C2444" s="130" t="s">
        <v>5208</v>
      </c>
      <c r="D2444" s="130" t="s">
        <v>5328</v>
      </c>
      <c r="E2444" s="130" t="s">
        <v>5132</v>
      </c>
      <c r="F2444" s="130" t="s">
        <v>5033</v>
      </c>
      <c r="G2444" s="130">
        <v>50000</v>
      </c>
      <c r="H2444" s="130" t="s">
        <v>5037</v>
      </c>
      <c r="I2444" s="130" t="s">
        <v>5004</v>
      </c>
    </row>
    <row r="2445" spans="2:9">
      <c r="B2445" s="129"/>
      <c r="C2445" s="130"/>
      <c r="D2445" s="130"/>
      <c r="E2445" s="130"/>
      <c r="F2445" s="130"/>
      <c r="G2445" s="130"/>
      <c r="H2445" s="130"/>
      <c r="I2445" s="130"/>
    </row>
    <row r="2446" spans="2:9">
      <c r="B2446" s="129"/>
      <c r="C2446" s="130"/>
      <c r="D2446" s="130"/>
      <c r="E2446" s="130"/>
      <c r="F2446" s="130"/>
      <c r="G2446" s="130"/>
      <c r="H2446" s="130"/>
      <c r="I2446" s="130"/>
    </row>
    <row r="2447" spans="2:9">
      <c r="B2447" s="129">
        <v>809</v>
      </c>
      <c r="C2447" s="130" t="s">
        <v>5071</v>
      </c>
      <c r="D2447" s="130" t="s">
        <v>5330</v>
      </c>
      <c r="E2447" s="130" t="s">
        <v>5320</v>
      </c>
      <c r="F2447" s="130" t="s">
        <v>5033</v>
      </c>
      <c r="G2447" s="130">
        <v>35000</v>
      </c>
      <c r="H2447" s="130" t="s">
        <v>5037</v>
      </c>
      <c r="I2447" s="130" t="s">
        <v>5004</v>
      </c>
    </row>
    <row r="2448" spans="2:9">
      <c r="B2448" s="129"/>
      <c r="C2448" s="130"/>
      <c r="D2448" s="130"/>
      <c r="E2448" s="130"/>
      <c r="F2448" s="130"/>
      <c r="G2448" s="130"/>
      <c r="H2448" s="130"/>
      <c r="I2448" s="130"/>
    </row>
    <row r="2449" spans="2:9">
      <c r="B2449" s="129"/>
      <c r="C2449" s="130"/>
      <c r="D2449" s="130"/>
      <c r="E2449" s="130"/>
      <c r="F2449" s="130"/>
      <c r="G2449" s="130"/>
      <c r="H2449" s="130"/>
      <c r="I2449" s="130"/>
    </row>
    <row r="2450" spans="2:9">
      <c r="B2450" s="129">
        <v>810</v>
      </c>
      <c r="C2450" s="130" t="s">
        <v>5301</v>
      </c>
      <c r="D2450" s="130" t="s">
        <v>5330</v>
      </c>
      <c r="E2450" s="130" t="s">
        <v>5302</v>
      </c>
      <c r="F2450" s="130" t="s">
        <v>5111</v>
      </c>
      <c r="G2450" s="130">
        <v>100000</v>
      </c>
      <c r="H2450" s="130" t="s">
        <v>5037</v>
      </c>
      <c r="I2450" s="130" t="s">
        <v>5004</v>
      </c>
    </row>
    <row r="2451" spans="2:9">
      <c r="B2451" s="129"/>
      <c r="C2451" s="130"/>
      <c r="D2451" s="130"/>
      <c r="E2451" s="130"/>
      <c r="F2451" s="130"/>
      <c r="G2451" s="130"/>
      <c r="H2451" s="130"/>
      <c r="I2451" s="130"/>
    </row>
    <row r="2452" spans="2:9">
      <c r="B2452" s="129"/>
      <c r="C2452" s="130"/>
      <c r="D2452" s="130"/>
      <c r="E2452" s="130"/>
      <c r="F2452" s="130"/>
      <c r="G2452" s="130"/>
      <c r="H2452" s="130"/>
      <c r="I2452" s="130"/>
    </row>
    <row r="2453" spans="2:9">
      <c r="B2453" s="129">
        <v>811</v>
      </c>
      <c r="C2453" s="130" t="s">
        <v>5301</v>
      </c>
      <c r="D2453" s="130" t="s">
        <v>5330</v>
      </c>
      <c r="E2453" s="130" t="s">
        <v>5302</v>
      </c>
      <c r="F2453" s="130" t="s">
        <v>5003</v>
      </c>
      <c r="G2453" s="130">
        <v>50000</v>
      </c>
      <c r="H2453" s="130">
        <v>99999</v>
      </c>
      <c r="I2453" s="130" t="s">
        <v>5004</v>
      </c>
    </row>
    <row r="2454" spans="2:9">
      <c r="B2454" s="129"/>
      <c r="C2454" s="130"/>
      <c r="D2454" s="130"/>
      <c r="E2454" s="130"/>
      <c r="F2454" s="130"/>
      <c r="G2454" s="130"/>
      <c r="H2454" s="130"/>
      <c r="I2454" s="130"/>
    </row>
    <row r="2455" spans="2:9">
      <c r="B2455" s="129"/>
      <c r="C2455" s="130"/>
      <c r="D2455" s="130"/>
      <c r="E2455" s="130"/>
      <c r="F2455" s="130"/>
      <c r="G2455" s="130"/>
      <c r="H2455" s="130"/>
      <c r="I2455" s="130"/>
    </row>
    <row r="2456" spans="2:9">
      <c r="B2456" s="129">
        <v>812</v>
      </c>
      <c r="C2456" s="130" t="s">
        <v>5301</v>
      </c>
      <c r="D2456" s="130" t="s">
        <v>5330</v>
      </c>
      <c r="E2456" s="130" t="s">
        <v>5302</v>
      </c>
      <c r="F2456" s="130" t="s">
        <v>5033</v>
      </c>
      <c r="G2456" s="130">
        <v>1000</v>
      </c>
      <c r="H2456" s="130">
        <v>49999</v>
      </c>
      <c r="I2456" s="130" t="s">
        <v>5004</v>
      </c>
    </row>
    <row r="2457" spans="2:9">
      <c r="B2457" s="129"/>
      <c r="C2457" s="130"/>
      <c r="D2457" s="130"/>
      <c r="E2457" s="130"/>
      <c r="F2457" s="130"/>
      <c r="G2457" s="130"/>
      <c r="H2457" s="130"/>
      <c r="I2457" s="130"/>
    </row>
    <row r="2458" spans="2:9">
      <c r="B2458" s="129"/>
      <c r="C2458" s="130"/>
      <c r="D2458" s="130"/>
      <c r="E2458" s="130"/>
      <c r="F2458" s="130"/>
      <c r="G2458" s="130"/>
      <c r="H2458" s="130"/>
      <c r="I2458" s="130"/>
    </row>
    <row r="2459" spans="2:9">
      <c r="B2459" s="129">
        <v>813</v>
      </c>
      <c r="C2459" s="130" t="s">
        <v>5208</v>
      </c>
      <c r="D2459" s="130" t="s">
        <v>5330</v>
      </c>
      <c r="E2459" s="130" t="s">
        <v>5132</v>
      </c>
      <c r="F2459" s="130" t="s">
        <v>5085</v>
      </c>
      <c r="G2459" s="130">
        <v>1000</v>
      </c>
      <c r="H2459" s="130">
        <v>10000</v>
      </c>
      <c r="I2459" s="130" t="s">
        <v>5004</v>
      </c>
    </row>
    <row r="2460" spans="2:9">
      <c r="B2460" s="129"/>
      <c r="C2460" s="130"/>
      <c r="D2460" s="130"/>
      <c r="E2460" s="130"/>
      <c r="F2460" s="130"/>
      <c r="G2460" s="130"/>
      <c r="H2460" s="130"/>
      <c r="I2460" s="130"/>
    </row>
    <row r="2461" spans="2:9">
      <c r="B2461" s="129"/>
      <c r="C2461" s="130"/>
      <c r="D2461" s="130"/>
      <c r="E2461" s="130"/>
      <c r="F2461" s="130"/>
      <c r="G2461" s="130"/>
      <c r="H2461" s="130"/>
      <c r="I2461" s="130"/>
    </row>
    <row r="2462" spans="2:9">
      <c r="B2462" s="129">
        <v>814</v>
      </c>
      <c r="C2462" s="130" t="s">
        <v>5238</v>
      </c>
      <c r="D2462" s="130" t="s">
        <v>5331</v>
      </c>
      <c r="E2462" s="130" t="s">
        <v>5240</v>
      </c>
      <c r="F2462" s="130" t="s">
        <v>5288</v>
      </c>
      <c r="G2462" s="130">
        <v>1000</v>
      </c>
      <c r="H2462" s="130">
        <v>20000</v>
      </c>
      <c r="I2462" s="130" t="s">
        <v>5004</v>
      </c>
    </row>
    <row r="2463" spans="2:9">
      <c r="B2463" s="129"/>
      <c r="C2463" s="130"/>
      <c r="D2463" s="130"/>
      <c r="E2463" s="130"/>
      <c r="F2463" s="130"/>
      <c r="G2463" s="130"/>
      <c r="H2463" s="130"/>
      <c r="I2463" s="130"/>
    </row>
    <row r="2464" spans="2:9">
      <c r="B2464" s="129"/>
      <c r="C2464" s="130"/>
      <c r="D2464" s="130"/>
      <c r="E2464" s="130"/>
      <c r="F2464" s="130"/>
      <c r="G2464" s="130"/>
      <c r="H2464" s="130"/>
      <c r="I2464" s="130"/>
    </row>
    <row r="2465" spans="2:9">
      <c r="B2465" s="129">
        <v>815</v>
      </c>
      <c r="C2465" s="130" t="s">
        <v>5071</v>
      </c>
      <c r="D2465" s="130" t="s">
        <v>5331</v>
      </c>
      <c r="E2465" s="130" t="s">
        <v>5320</v>
      </c>
      <c r="F2465" s="130" t="s">
        <v>5033</v>
      </c>
      <c r="G2465" s="130">
        <v>35000</v>
      </c>
      <c r="H2465" s="130" t="s">
        <v>5037</v>
      </c>
      <c r="I2465" s="130" t="s">
        <v>5004</v>
      </c>
    </row>
    <row r="2466" spans="2:9">
      <c r="B2466" s="129"/>
      <c r="C2466" s="130"/>
      <c r="D2466" s="130"/>
      <c r="E2466" s="130"/>
      <c r="F2466" s="130"/>
      <c r="G2466" s="130"/>
      <c r="H2466" s="130"/>
      <c r="I2466" s="130"/>
    </row>
    <row r="2467" spans="2:9">
      <c r="B2467" s="129"/>
      <c r="C2467" s="130"/>
      <c r="D2467" s="130"/>
      <c r="E2467" s="130"/>
      <c r="F2467" s="130"/>
      <c r="G2467" s="130"/>
      <c r="H2467" s="130"/>
      <c r="I2467" s="130"/>
    </row>
    <row r="2468" spans="2:9">
      <c r="B2468" s="129">
        <v>816</v>
      </c>
      <c r="C2468" s="130" t="s">
        <v>5235</v>
      </c>
      <c r="D2468" s="130" t="s">
        <v>5331</v>
      </c>
      <c r="E2468" s="130" t="s">
        <v>5251</v>
      </c>
      <c r="F2468" s="130" t="s">
        <v>5196</v>
      </c>
      <c r="G2468" s="130">
        <v>20000</v>
      </c>
      <c r="H2468" s="130" t="s">
        <v>5037</v>
      </c>
      <c r="I2468" s="130" t="s">
        <v>5004</v>
      </c>
    </row>
    <row r="2469" spans="2:9">
      <c r="B2469" s="129"/>
      <c r="C2469" s="130"/>
      <c r="D2469" s="130"/>
      <c r="E2469" s="130"/>
      <c r="F2469" s="130"/>
      <c r="G2469" s="130"/>
      <c r="H2469" s="130"/>
      <c r="I2469" s="130"/>
    </row>
    <row r="2470" spans="2:9">
      <c r="B2470" s="129"/>
      <c r="C2470" s="130"/>
      <c r="D2470" s="130"/>
      <c r="E2470" s="130"/>
      <c r="F2470" s="130"/>
      <c r="G2470" s="130"/>
      <c r="H2470" s="130"/>
      <c r="I2470" s="130"/>
    </row>
    <row r="2471" spans="2:9">
      <c r="B2471" s="129">
        <v>817</v>
      </c>
      <c r="C2471" s="130" t="s">
        <v>5235</v>
      </c>
      <c r="D2471" s="130" t="s">
        <v>5331</v>
      </c>
      <c r="E2471" s="130" t="s">
        <v>5251</v>
      </c>
      <c r="F2471" s="130" t="s">
        <v>5290</v>
      </c>
      <c r="G2471" s="130">
        <v>20000</v>
      </c>
      <c r="H2471" s="130" t="s">
        <v>5037</v>
      </c>
      <c r="I2471" s="130" t="s">
        <v>5004</v>
      </c>
    </row>
    <row r="2472" spans="2:9">
      <c r="B2472" s="129"/>
      <c r="C2472" s="130"/>
      <c r="D2472" s="130"/>
      <c r="E2472" s="130"/>
      <c r="F2472" s="130"/>
      <c r="G2472" s="130"/>
      <c r="H2472" s="130"/>
      <c r="I2472" s="130"/>
    </row>
    <row r="2473" spans="2:9">
      <c r="B2473" s="129"/>
      <c r="C2473" s="130"/>
      <c r="D2473" s="130"/>
      <c r="E2473" s="130"/>
      <c r="F2473" s="130"/>
      <c r="G2473" s="130"/>
      <c r="H2473" s="130"/>
      <c r="I2473" s="130"/>
    </row>
    <row r="2474" spans="2:9">
      <c r="B2474" s="129">
        <v>818</v>
      </c>
      <c r="C2474" s="130" t="s">
        <v>5235</v>
      </c>
      <c r="D2474" s="130" t="s">
        <v>5331</v>
      </c>
      <c r="E2474" s="130" t="s">
        <v>5251</v>
      </c>
      <c r="F2474" s="130" t="s">
        <v>5226</v>
      </c>
      <c r="G2474" s="130">
        <v>20000</v>
      </c>
      <c r="H2474" s="130" t="s">
        <v>5037</v>
      </c>
      <c r="I2474" s="130" t="s">
        <v>5004</v>
      </c>
    </row>
    <row r="2475" spans="2:9">
      <c r="B2475" s="129"/>
      <c r="C2475" s="130"/>
      <c r="D2475" s="130"/>
      <c r="E2475" s="130"/>
      <c r="F2475" s="130"/>
      <c r="G2475" s="130"/>
      <c r="H2475" s="130"/>
      <c r="I2475" s="130"/>
    </row>
    <row r="2476" spans="2:9">
      <c r="B2476" s="129"/>
      <c r="C2476" s="130"/>
      <c r="D2476" s="130"/>
      <c r="E2476" s="130"/>
      <c r="F2476" s="130"/>
      <c r="G2476" s="130"/>
      <c r="H2476" s="130"/>
      <c r="I2476" s="130"/>
    </row>
    <row r="2477" spans="2:9">
      <c r="B2477" s="129">
        <v>819</v>
      </c>
      <c r="C2477" s="130" t="s">
        <v>5235</v>
      </c>
      <c r="D2477" s="130" t="s">
        <v>5331</v>
      </c>
      <c r="E2477" s="130" t="s">
        <v>5251</v>
      </c>
      <c r="F2477" s="130" t="s">
        <v>5288</v>
      </c>
      <c r="G2477" s="130">
        <v>20000</v>
      </c>
      <c r="H2477" s="130" t="s">
        <v>5037</v>
      </c>
      <c r="I2477" s="130" t="s">
        <v>5004</v>
      </c>
    </row>
    <row r="2478" spans="2:9">
      <c r="B2478" s="129"/>
      <c r="C2478" s="130"/>
      <c r="D2478" s="130"/>
      <c r="E2478" s="130"/>
      <c r="F2478" s="130"/>
      <c r="G2478" s="130"/>
      <c r="H2478" s="130"/>
      <c r="I2478" s="130"/>
    </row>
    <row r="2479" spans="2:9">
      <c r="B2479" s="129"/>
      <c r="C2479" s="130"/>
      <c r="D2479" s="130"/>
      <c r="E2479" s="130"/>
      <c r="F2479" s="130"/>
      <c r="G2479" s="130"/>
      <c r="H2479" s="130"/>
      <c r="I2479" s="130"/>
    </row>
    <row r="2480" spans="2:9">
      <c r="B2480" s="129">
        <v>820</v>
      </c>
      <c r="C2480" s="130" t="s">
        <v>5235</v>
      </c>
      <c r="D2480" s="130" t="s">
        <v>5331</v>
      </c>
      <c r="E2480" s="130" t="s">
        <v>5252</v>
      </c>
      <c r="F2480" s="130" t="s">
        <v>5196</v>
      </c>
      <c r="G2480" s="130">
        <v>1000</v>
      </c>
      <c r="H2480" s="130" t="s">
        <v>5037</v>
      </c>
      <c r="I2480" s="130" t="s">
        <v>5004</v>
      </c>
    </row>
    <row r="2481" spans="2:9">
      <c r="B2481" s="129"/>
      <c r="C2481" s="130"/>
      <c r="D2481" s="130"/>
      <c r="E2481" s="130"/>
      <c r="F2481" s="130"/>
      <c r="G2481" s="130"/>
      <c r="H2481" s="130"/>
      <c r="I2481" s="130"/>
    </row>
    <row r="2482" spans="2:9">
      <c r="B2482" s="129"/>
      <c r="C2482" s="130"/>
      <c r="D2482" s="130"/>
      <c r="E2482" s="130"/>
      <c r="F2482" s="130"/>
      <c r="G2482" s="130"/>
      <c r="H2482" s="130"/>
      <c r="I2482" s="130"/>
    </row>
    <row r="2483" spans="2:9">
      <c r="B2483" s="129">
        <v>821</v>
      </c>
      <c r="C2483" s="130" t="s">
        <v>5235</v>
      </c>
      <c r="D2483" s="130" t="s">
        <v>5331</v>
      </c>
      <c r="E2483" s="130" t="s">
        <v>5252</v>
      </c>
      <c r="F2483" s="130" t="s">
        <v>5290</v>
      </c>
      <c r="G2483" s="130">
        <v>1000</v>
      </c>
      <c r="H2483" s="130" t="s">
        <v>5037</v>
      </c>
      <c r="I2483" s="130" t="s">
        <v>5004</v>
      </c>
    </row>
    <row r="2484" spans="2:9">
      <c r="B2484" s="129"/>
      <c r="C2484" s="130"/>
      <c r="D2484" s="130"/>
      <c r="E2484" s="130"/>
      <c r="F2484" s="130"/>
      <c r="G2484" s="130"/>
      <c r="H2484" s="130"/>
      <c r="I2484" s="130"/>
    </row>
    <row r="2485" spans="2:9">
      <c r="B2485" s="129"/>
      <c r="C2485" s="130"/>
      <c r="D2485" s="130"/>
      <c r="E2485" s="130"/>
      <c r="F2485" s="130"/>
      <c r="G2485" s="130"/>
      <c r="H2485" s="130"/>
      <c r="I2485" s="130"/>
    </row>
    <row r="2486" spans="2:9">
      <c r="B2486" s="129">
        <v>822</v>
      </c>
      <c r="C2486" s="130" t="s">
        <v>5235</v>
      </c>
      <c r="D2486" s="130" t="s">
        <v>5331</v>
      </c>
      <c r="E2486" s="130" t="s">
        <v>5252</v>
      </c>
      <c r="F2486" s="130" t="s">
        <v>5226</v>
      </c>
      <c r="G2486" s="130">
        <v>1000</v>
      </c>
      <c r="H2486" s="130" t="s">
        <v>5037</v>
      </c>
      <c r="I2486" s="130" t="s">
        <v>5004</v>
      </c>
    </row>
    <row r="2487" spans="2:9">
      <c r="B2487" s="129"/>
      <c r="C2487" s="130"/>
      <c r="D2487" s="130"/>
      <c r="E2487" s="130"/>
      <c r="F2487" s="130"/>
      <c r="G2487" s="130"/>
      <c r="H2487" s="130"/>
      <c r="I2487" s="130"/>
    </row>
    <row r="2488" spans="2:9">
      <c r="B2488" s="129"/>
      <c r="C2488" s="130"/>
      <c r="D2488" s="130"/>
      <c r="E2488" s="130"/>
      <c r="F2488" s="130"/>
      <c r="G2488" s="130"/>
      <c r="H2488" s="130"/>
      <c r="I2488" s="130"/>
    </row>
    <row r="2489" spans="2:9">
      <c r="B2489" s="129">
        <v>823</v>
      </c>
      <c r="C2489" s="130" t="s">
        <v>5235</v>
      </c>
      <c r="D2489" s="130" t="s">
        <v>5331</v>
      </c>
      <c r="E2489" s="130" t="s">
        <v>5252</v>
      </c>
      <c r="F2489" s="130" t="s">
        <v>5288</v>
      </c>
      <c r="G2489" s="130">
        <v>1000</v>
      </c>
      <c r="H2489" s="130" t="s">
        <v>5037</v>
      </c>
      <c r="I2489" s="130" t="s">
        <v>5004</v>
      </c>
    </row>
    <row r="2490" spans="2:9">
      <c r="B2490" s="129"/>
      <c r="C2490" s="130"/>
      <c r="D2490" s="130"/>
      <c r="E2490" s="130"/>
      <c r="F2490" s="130"/>
      <c r="G2490" s="130"/>
      <c r="H2490" s="130"/>
      <c r="I2490" s="130"/>
    </row>
    <row r="2491" spans="2:9">
      <c r="B2491" s="129"/>
      <c r="C2491" s="130"/>
      <c r="D2491" s="130"/>
      <c r="E2491" s="130"/>
      <c r="F2491" s="130"/>
      <c r="G2491" s="130"/>
      <c r="H2491" s="130"/>
      <c r="I2491" s="130"/>
    </row>
    <row r="2492" spans="2:9">
      <c r="B2492" s="129">
        <v>824</v>
      </c>
      <c r="C2492" s="130" t="s">
        <v>5301</v>
      </c>
      <c r="D2492" s="130" t="s">
        <v>5331</v>
      </c>
      <c r="E2492" s="130" t="s">
        <v>5302</v>
      </c>
      <c r="F2492" s="130" t="s">
        <v>5050</v>
      </c>
      <c r="G2492" s="130">
        <v>1000</v>
      </c>
      <c r="H2492" s="130">
        <v>49999</v>
      </c>
      <c r="I2492" s="130" t="s">
        <v>5004</v>
      </c>
    </row>
    <row r="2493" spans="2:9">
      <c r="B2493" s="129"/>
      <c r="C2493" s="130"/>
      <c r="D2493" s="130"/>
      <c r="E2493" s="130"/>
      <c r="F2493" s="130"/>
      <c r="G2493" s="130"/>
      <c r="H2493" s="130"/>
      <c r="I2493" s="130"/>
    </row>
    <row r="2494" spans="2:9">
      <c r="B2494" s="129"/>
      <c r="C2494" s="130"/>
      <c r="D2494" s="130"/>
      <c r="E2494" s="130"/>
      <c r="F2494" s="130"/>
      <c r="G2494" s="130"/>
      <c r="H2494" s="130"/>
      <c r="I2494" s="130"/>
    </row>
    <row r="2495" spans="2:9">
      <c r="B2495" s="129">
        <v>825</v>
      </c>
      <c r="C2495" s="130" t="s">
        <v>5208</v>
      </c>
      <c r="D2495" s="130" t="s">
        <v>5331</v>
      </c>
      <c r="E2495" s="130" t="s">
        <v>5332</v>
      </c>
      <c r="F2495" s="130" t="s">
        <v>5008</v>
      </c>
      <c r="G2495" s="130">
        <v>1000</v>
      </c>
      <c r="H2495" s="130" t="s">
        <v>5037</v>
      </c>
      <c r="I2495" s="130" t="s">
        <v>5004</v>
      </c>
    </row>
    <row r="2496" spans="2:9">
      <c r="B2496" s="129"/>
      <c r="C2496" s="130"/>
      <c r="D2496" s="130"/>
      <c r="E2496" s="130"/>
      <c r="F2496" s="130"/>
      <c r="G2496" s="130"/>
      <c r="H2496" s="130"/>
      <c r="I2496" s="130"/>
    </row>
    <row r="2497" spans="2:9">
      <c r="B2497" s="129"/>
      <c r="C2497" s="130"/>
      <c r="D2497" s="130"/>
      <c r="E2497" s="130"/>
      <c r="F2497" s="130"/>
      <c r="G2497" s="130"/>
      <c r="H2497" s="130"/>
      <c r="I2497" s="130"/>
    </row>
    <row r="2498" spans="2:9">
      <c r="B2498" s="129">
        <v>826</v>
      </c>
      <c r="C2498" s="130" t="s">
        <v>5208</v>
      </c>
      <c r="D2498" s="130" t="s">
        <v>5331</v>
      </c>
      <c r="E2498" s="130" t="s">
        <v>5132</v>
      </c>
      <c r="F2498" s="130" t="s">
        <v>5008</v>
      </c>
      <c r="G2498" s="130">
        <v>50000</v>
      </c>
      <c r="H2498" s="130" t="s">
        <v>5037</v>
      </c>
      <c r="I2498" s="130" t="s">
        <v>5004</v>
      </c>
    </row>
    <row r="2499" spans="2:9">
      <c r="B2499" s="129"/>
      <c r="C2499" s="130"/>
      <c r="D2499" s="130"/>
      <c r="E2499" s="130"/>
      <c r="F2499" s="130"/>
      <c r="G2499" s="130"/>
      <c r="H2499" s="130"/>
      <c r="I2499" s="130"/>
    </row>
    <row r="2500" spans="2:9">
      <c r="B2500" s="129"/>
      <c r="C2500" s="130"/>
      <c r="D2500" s="130"/>
      <c r="E2500" s="130"/>
      <c r="F2500" s="130"/>
      <c r="G2500" s="130"/>
      <c r="H2500" s="130"/>
      <c r="I2500" s="130"/>
    </row>
    <row r="2501" spans="2:9">
      <c r="B2501" s="129">
        <v>827</v>
      </c>
      <c r="C2501" s="130" t="s">
        <v>5107</v>
      </c>
      <c r="D2501" s="130" t="s">
        <v>5331</v>
      </c>
      <c r="E2501" s="130" t="s">
        <v>5132</v>
      </c>
      <c r="F2501" s="130" t="s">
        <v>5111</v>
      </c>
      <c r="G2501" s="130">
        <v>50000</v>
      </c>
      <c r="H2501" s="130">
        <v>99999</v>
      </c>
      <c r="I2501" s="130" t="s">
        <v>5004</v>
      </c>
    </row>
    <row r="2502" spans="2:9">
      <c r="B2502" s="129"/>
      <c r="C2502" s="130"/>
      <c r="D2502" s="130"/>
      <c r="E2502" s="130"/>
      <c r="F2502" s="130"/>
      <c r="G2502" s="130"/>
      <c r="H2502" s="130"/>
      <c r="I2502" s="130"/>
    </row>
    <row r="2503" spans="2:9">
      <c r="B2503" s="129"/>
      <c r="C2503" s="130"/>
      <c r="D2503" s="130"/>
      <c r="E2503" s="130"/>
      <c r="F2503" s="130"/>
      <c r="G2503" s="130"/>
      <c r="H2503" s="130"/>
      <c r="I2503" s="130"/>
    </row>
    <row r="2504" spans="2:9">
      <c r="B2504" s="129">
        <v>828</v>
      </c>
      <c r="C2504" s="130" t="s">
        <v>5107</v>
      </c>
      <c r="D2504" s="130" t="s">
        <v>5331</v>
      </c>
      <c r="E2504" s="130" t="s">
        <v>5132</v>
      </c>
      <c r="F2504" s="130" t="s">
        <v>5003</v>
      </c>
      <c r="G2504" s="130">
        <v>3000</v>
      </c>
      <c r="H2504" s="130">
        <v>49999</v>
      </c>
      <c r="I2504" s="130" t="s">
        <v>5004</v>
      </c>
    </row>
    <row r="2505" spans="2:9">
      <c r="B2505" s="129"/>
      <c r="C2505" s="130"/>
      <c r="D2505" s="130"/>
      <c r="E2505" s="130"/>
      <c r="F2505" s="130"/>
      <c r="G2505" s="130"/>
      <c r="H2505" s="130"/>
      <c r="I2505" s="130"/>
    </row>
    <row r="2506" spans="2:9">
      <c r="B2506" s="129"/>
      <c r="C2506" s="130"/>
      <c r="D2506" s="130"/>
      <c r="E2506" s="130"/>
      <c r="F2506" s="130"/>
      <c r="G2506" s="130"/>
      <c r="H2506" s="130"/>
      <c r="I2506" s="130"/>
    </row>
    <row r="2507" spans="2:9">
      <c r="B2507" s="129">
        <v>829</v>
      </c>
      <c r="C2507" s="130" t="s">
        <v>5071</v>
      </c>
      <c r="D2507" s="130" t="s">
        <v>5333</v>
      </c>
      <c r="E2507" s="130" t="s">
        <v>5320</v>
      </c>
      <c r="F2507" s="130" t="s">
        <v>5033</v>
      </c>
      <c r="G2507" s="130">
        <v>5000</v>
      </c>
      <c r="H2507" s="130">
        <v>35000</v>
      </c>
      <c r="I2507" s="130" t="s">
        <v>5004</v>
      </c>
    </row>
    <row r="2508" spans="2:9">
      <c r="B2508" s="129"/>
      <c r="C2508" s="130"/>
      <c r="D2508" s="130"/>
      <c r="E2508" s="130"/>
      <c r="F2508" s="130"/>
      <c r="G2508" s="130"/>
      <c r="H2508" s="130"/>
      <c r="I2508" s="130"/>
    </row>
    <row r="2509" spans="2:9">
      <c r="B2509" s="129"/>
      <c r="C2509" s="130"/>
      <c r="D2509" s="130"/>
      <c r="E2509" s="130"/>
      <c r="F2509" s="130"/>
      <c r="G2509" s="130"/>
      <c r="H2509" s="130"/>
      <c r="I2509" s="130"/>
    </row>
    <row r="2510" spans="2:9">
      <c r="B2510" s="129">
        <v>830</v>
      </c>
      <c r="C2510" s="130" t="s">
        <v>5301</v>
      </c>
      <c r="D2510" s="130" t="s">
        <v>5333</v>
      </c>
      <c r="E2510" s="130" t="s">
        <v>5302</v>
      </c>
      <c r="F2510" s="130" t="s">
        <v>5008</v>
      </c>
      <c r="G2510" s="130">
        <v>1000</v>
      </c>
      <c r="H2510" s="130">
        <v>49999</v>
      </c>
      <c r="I2510" s="130" t="s">
        <v>5004</v>
      </c>
    </row>
    <row r="2511" spans="2:9">
      <c r="B2511" s="129"/>
      <c r="C2511" s="130"/>
      <c r="D2511" s="130"/>
      <c r="E2511" s="130"/>
      <c r="F2511" s="130"/>
      <c r="G2511" s="130"/>
      <c r="H2511" s="130"/>
      <c r="I2511" s="130"/>
    </row>
    <row r="2512" spans="2:9">
      <c r="B2512" s="129"/>
      <c r="C2512" s="130"/>
      <c r="D2512" s="130"/>
      <c r="E2512" s="130"/>
      <c r="F2512" s="130"/>
      <c r="G2512" s="130"/>
      <c r="H2512" s="130"/>
      <c r="I2512" s="130"/>
    </row>
    <row r="2513" spans="2:9">
      <c r="B2513" s="129">
        <v>831</v>
      </c>
      <c r="C2513" s="130" t="s">
        <v>5301</v>
      </c>
      <c r="D2513" s="130" t="s">
        <v>5333</v>
      </c>
      <c r="E2513" s="130" t="s">
        <v>5133</v>
      </c>
      <c r="F2513" s="130" t="s">
        <v>5085</v>
      </c>
      <c r="G2513" s="130">
        <v>50000</v>
      </c>
      <c r="H2513" s="130">
        <v>99999</v>
      </c>
      <c r="I2513" s="130" t="s">
        <v>5004</v>
      </c>
    </row>
    <row r="2514" spans="2:9">
      <c r="B2514" s="129"/>
      <c r="C2514" s="130"/>
      <c r="D2514" s="130"/>
      <c r="E2514" s="130"/>
      <c r="F2514" s="130"/>
      <c r="G2514" s="130"/>
      <c r="H2514" s="130"/>
      <c r="I2514" s="130"/>
    </row>
    <row r="2515" spans="2:9">
      <c r="B2515" s="129"/>
      <c r="C2515" s="130"/>
      <c r="D2515" s="130"/>
      <c r="E2515" s="130"/>
      <c r="F2515" s="130"/>
      <c r="G2515" s="130"/>
      <c r="H2515" s="130"/>
      <c r="I2515" s="130"/>
    </row>
    <row r="2516" spans="2:9">
      <c r="B2516" s="129">
        <v>832</v>
      </c>
      <c r="C2516" s="130" t="s">
        <v>5208</v>
      </c>
      <c r="D2516" s="130" t="s">
        <v>5333</v>
      </c>
      <c r="E2516" s="130" t="s">
        <v>5132</v>
      </c>
      <c r="F2516" s="130" t="s">
        <v>5043</v>
      </c>
      <c r="G2516" s="130">
        <v>1000</v>
      </c>
      <c r="H2516" s="130">
        <v>10000</v>
      </c>
      <c r="I2516" s="130" t="s">
        <v>5004</v>
      </c>
    </row>
    <row r="2517" spans="2:9">
      <c r="B2517" s="129"/>
      <c r="C2517" s="130"/>
      <c r="D2517" s="130"/>
      <c r="E2517" s="130"/>
      <c r="F2517" s="130"/>
      <c r="G2517" s="130"/>
      <c r="H2517" s="130"/>
      <c r="I2517" s="130"/>
    </row>
    <row r="2518" spans="2:9">
      <c r="B2518" s="129"/>
      <c r="C2518" s="130"/>
      <c r="D2518" s="130"/>
      <c r="E2518" s="130"/>
      <c r="F2518" s="130"/>
      <c r="G2518" s="130"/>
      <c r="H2518" s="130"/>
      <c r="I2518" s="130"/>
    </row>
    <row r="2519" spans="2:9">
      <c r="B2519" s="129">
        <v>833</v>
      </c>
      <c r="C2519" s="130" t="s">
        <v>5218</v>
      </c>
      <c r="D2519" s="130" t="s">
        <v>5334</v>
      </c>
      <c r="E2519" s="130" t="s">
        <v>5132</v>
      </c>
      <c r="F2519" s="130" t="s">
        <v>5026</v>
      </c>
      <c r="G2519" s="130">
        <v>1000</v>
      </c>
      <c r="H2519" s="130" t="s">
        <v>5037</v>
      </c>
      <c r="I2519" s="130" t="s">
        <v>5004</v>
      </c>
    </row>
    <row r="2520" spans="2:9">
      <c r="B2520" s="129"/>
      <c r="C2520" s="130"/>
      <c r="D2520" s="130"/>
      <c r="E2520" s="130"/>
      <c r="F2520" s="130"/>
      <c r="G2520" s="130"/>
      <c r="H2520" s="130"/>
      <c r="I2520" s="130"/>
    </row>
    <row r="2521" spans="2:9">
      <c r="B2521" s="129"/>
      <c r="C2521" s="130"/>
      <c r="D2521" s="130"/>
      <c r="E2521" s="130"/>
      <c r="F2521" s="130"/>
      <c r="G2521" s="130"/>
      <c r="H2521" s="130"/>
      <c r="I2521" s="130"/>
    </row>
    <row r="2522" spans="2:9">
      <c r="B2522" s="129">
        <v>834</v>
      </c>
      <c r="C2522" s="130" t="s">
        <v>5218</v>
      </c>
      <c r="D2522" s="130" t="s">
        <v>5334</v>
      </c>
      <c r="E2522" s="130" t="s">
        <v>5132</v>
      </c>
      <c r="F2522" s="130" t="s">
        <v>5043</v>
      </c>
      <c r="G2522" s="130">
        <v>1000</v>
      </c>
      <c r="H2522" s="130" t="s">
        <v>5037</v>
      </c>
      <c r="I2522" s="130" t="s">
        <v>5004</v>
      </c>
    </row>
    <row r="2523" spans="2:9">
      <c r="B2523" s="129"/>
      <c r="C2523" s="130"/>
      <c r="D2523" s="130"/>
      <c r="E2523" s="130"/>
      <c r="F2523" s="130"/>
      <c r="G2523" s="130"/>
      <c r="H2523" s="130"/>
      <c r="I2523" s="130"/>
    </row>
    <row r="2524" spans="2:9">
      <c r="B2524" s="129"/>
      <c r="C2524" s="130"/>
      <c r="D2524" s="130"/>
      <c r="E2524" s="130"/>
      <c r="F2524" s="130"/>
      <c r="G2524" s="130"/>
      <c r="H2524" s="130"/>
      <c r="I2524" s="130"/>
    </row>
    <row r="2525" spans="2:9">
      <c r="B2525" s="129">
        <v>835</v>
      </c>
      <c r="C2525" s="130" t="s">
        <v>5188</v>
      </c>
      <c r="D2525" s="130" t="s">
        <v>5334</v>
      </c>
      <c r="E2525" s="130" t="s">
        <v>5213</v>
      </c>
      <c r="F2525" s="130" t="s">
        <v>5111</v>
      </c>
      <c r="G2525" s="130">
        <v>10000</v>
      </c>
      <c r="H2525" s="130">
        <v>30000</v>
      </c>
      <c r="I2525" s="130" t="s">
        <v>5004</v>
      </c>
    </row>
    <row r="2526" spans="2:9">
      <c r="B2526" s="129"/>
      <c r="C2526" s="130"/>
      <c r="D2526" s="130"/>
      <c r="E2526" s="130"/>
      <c r="F2526" s="130"/>
      <c r="G2526" s="130"/>
      <c r="H2526" s="130"/>
      <c r="I2526" s="130"/>
    </row>
    <row r="2527" spans="2:9">
      <c r="B2527" s="129"/>
      <c r="C2527" s="130"/>
      <c r="D2527" s="130"/>
      <c r="E2527" s="130"/>
      <c r="F2527" s="130"/>
      <c r="G2527" s="130"/>
      <c r="H2527" s="130"/>
      <c r="I2527" s="130"/>
    </row>
    <row r="2528" spans="2:9">
      <c r="B2528" s="129">
        <v>836</v>
      </c>
      <c r="C2528" s="130" t="s">
        <v>5071</v>
      </c>
      <c r="D2528" s="130" t="s">
        <v>5334</v>
      </c>
      <c r="E2528" s="130" t="s">
        <v>5320</v>
      </c>
      <c r="F2528" s="130" t="s">
        <v>5033</v>
      </c>
      <c r="G2528" s="130">
        <v>5000</v>
      </c>
      <c r="H2528" s="130">
        <v>35000</v>
      </c>
      <c r="I2528" s="130" t="s">
        <v>5004</v>
      </c>
    </row>
    <row r="2529" spans="2:9">
      <c r="B2529" s="129"/>
      <c r="C2529" s="130"/>
      <c r="D2529" s="130"/>
      <c r="E2529" s="130"/>
      <c r="F2529" s="130"/>
      <c r="G2529" s="130"/>
      <c r="H2529" s="130"/>
      <c r="I2529" s="130"/>
    </row>
    <row r="2530" spans="2:9">
      <c r="B2530" s="129"/>
      <c r="C2530" s="130"/>
      <c r="D2530" s="130"/>
      <c r="E2530" s="130"/>
      <c r="F2530" s="130"/>
      <c r="G2530" s="130"/>
      <c r="H2530" s="130"/>
      <c r="I2530" s="130"/>
    </row>
    <row r="2531" spans="2:9">
      <c r="B2531" s="129">
        <v>837</v>
      </c>
      <c r="C2531" s="130" t="s">
        <v>5009</v>
      </c>
      <c r="D2531" s="130" t="s">
        <v>5334</v>
      </c>
      <c r="E2531" s="130" t="s">
        <v>5079</v>
      </c>
      <c r="F2531" s="130" t="s">
        <v>5111</v>
      </c>
      <c r="G2531" s="130">
        <v>2000</v>
      </c>
      <c r="H2531" s="130" t="s">
        <v>5037</v>
      </c>
      <c r="I2531" s="130" t="s">
        <v>5004</v>
      </c>
    </row>
    <row r="2532" spans="2:9">
      <c r="B2532" s="129"/>
      <c r="C2532" s="130"/>
      <c r="D2532" s="130"/>
      <c r="E2532" s="130"/>
      <c r="F2532" s="130"/>
      <c r="G2532" s="130"/>
      <c r="H2532" s="130"/>
      <c r="I2532" s="130"/>
    </row>
    <row r="2533" spans="2:9">
      <c r="B2533" s="129"/>
      <c r="C2533" s="130"/>
      <c r="D2533" s="130"/>
      <c r="E2533" s="130"/>
      <c r="F2533" s="130"/>
      <c r="G2533" s="130"/>
      <c r="H2533" s="130"/>
      <c r="I2533" s="130"/>
    </row>
    <row r="2534" spans="2:9">
      <c r="B2534" s="129">
        <v>838</v>
      </c>
      <c r="C2534" s="130" t="s">
        <v>5061</v>
      </c>
      <c r="D2534" s="130" t="s">
        <v>5334</v>
      </c>
      <c r="E2534" s="130" t="s">
        <v>5132</v>
      </c>
      <c r="F2534" s="130" t="s">
        <v>5111</v>
      </c>
      <c r="G2534" s="130">
        <v>500</v>
      </c>
      <c r="H2534" s="130" t="s">
        <v>5037</v>
      </c>
      <c r="I2534" s="130" t="s">
        <v>5004</v>
      </c>
    </row>
    <row r="2535" spans="2:9">
      <c r="B2535" s="129"/>
      <c r="C2535" s="130"/>
      <c r="D2535" s="130"/>
      <c r="E2535" s="130"/>
      <c r="F2535" s="130"/>
      <c r="G2535" s="130"/>
      <c r="H2535" s="130"/>
      <c r="I2535" s="130"/>
    </row>
    <row r="2536" spans="2:9">
      <c r="B2536" s="129"/>
      <c r="C2536" s="130"/>
      <c r="D2536" s="130"/>
      <c r="E2536" s="130"/>
      <c r="F2536" s="130"/>
      <c r="G2536" s="130"/>
      <c r="H2536" s="130"/>
      <c r="I2536" s="130"/>
    </row>
    <row r="2537" spans="2:9">
      <c r="B2537" s="129">
        <v>839</v>
      </c>
      <c r="C2537" s="130" t="s">
        <v>5128</v>
      </c>
      <c r="D2537" s="130" t="s">
        <v>5334</v>
      </c>
      <c r="E2537" s="130" t="s">
        <v>5127</v>
      </c>
      <c r="F2537" s="130" t="s">
        <v>5003</v>
      </c>
      <c r="G2537" s="130">
        <v>10000</v>
      </c>
      <c r="H2537" s="130">
        <v>49999</v>
      </c>
      <c r="I2537" s="130" t="s">
        <v>5013</v>
      </c>
    </row>
    <row r="2538" spans="2:9">
      <c r="B2538" s="129"/>
      <c r="C2538" s="130"/>
      <c r="D2538" s="130"/>
      <c r="E2538" s="130"/>
      <c r="F2538" s="130"/>
      <c r="G2538" s="130"/>
      <c r="H2538" s="130"/>
      <c r="I2538" s="130"/>
    </row>
    <row r="2539" spans="2:9">
      <c r="B2539" s="129"/>
      <c r="C2539" s="130"/>
      <c r="D2539" s="130"/>
      <c r="E2539" s="130"/>
      <c r="F2539" s="130"/>
      <c r="G2539" s="130"/>
      <c r="H2539" s="130"/>
      <c r="I2539" s="130"/>
    </row>
    <row r="2540" spans="2:9">
      <c r="B2540" s="129">
        <v>840</v>
      </c>
      <c r="C2540" s="130" t="s">
        <v>5128</v>
      </c>
      <c r="D2540" s="130" t="s">
        <v>5334</v>
      </c>
      <c r="E2540" s="130" t="s">
        <v>5127</v>
      </c>
      <c r="F2540" s="130" t="s">
        <v>5111</v>
      </c>
      <c r="G2540" s="130">
        <v>50000</v>
      </c>
      <c r="H2540" s="130">
        <v>99999</v>
      </c>
      <c r="I2540" s="130" t="s">
        <v>5013</v>
      </c>
    </row>
    <row r="2541" spans="2:9">
      <c r="B2541" s="129"/>
      <c r="C2541" s="130"/>
      <c r="D2541" s="130"/>
      <c r="E2541" s="130"/>
      <c r="F2541" s="130"/>
      <c r="G2541" s="130"/>
      <c r="H2541" s="130"/>
      <c r="I2541" s="130"/>
    </row>
    <row r="2542" spans="2:9">
      <c r="B2542" s="129"/>
      <c r="C2542" s="130"/>
      <c r="D2542" s="130"/>
      <c r="E2542" s="130"/>
      <c r="F2542" s="130"/>
      <c r="G2542" s="130"/>
      <c r="H2542" s="130"/>
      <c r="I2542" s="130"/>
    </row>
    <row r="2543" spans="2:9">
      <c r="B2543" s="129">
        <v>841</v>
      </c>
      <c r="C2543" s="130" t="s">
        <v>5253</v>
      </c>
      <c r="D2543" s="130" t="s">
        <v>5334</v>
      </c>
      <c r="E2543" s="130" t="s">
        <v>5132</v>
      </c>
      <c r="F2543" s="130" t="s">
        <v>5290</v>
      </c>
      <c r="G2543" s="130">
        <v>1000</v>
      </c>
      <c r="H2543" s="130" t="s">
        <v>5037</v>
      </c>
      <c r="I2543" s="130" t="s">
        <v>5004</v>
      </c>
    </row>
    <row r="2544" spans="2:9">
      <c r="B2544" s="129"/>
      <c r="C2544" s="130"/>
      <c r="D2544" s="130"/>
      <c r="E2544" s="130"/>
      <c r="F2544" s="130"/>
      <c r="G2544" s="130"/>
      <c r="H2544" s="130"/>
      <c r="I2544" s="130"/>
    </row>
    <row r="2545" spans="2:9">
      <c r="B2545" s="129"/>
      <c r="C2545" s="130"/>
      <c r="D2545" s="130"/>
      <c r="E2545" s="130"/>
      <c r="F2545" s="130"/>
      <c r="G2545" s="130"/>
      <c r="H2545" s="130"/>
      <c r="I2545" s="130"/>
    </row>
    <row r="2546" spans="2:9">
      <c r="B2546" s="129">
        <v>842</v>
      </c>
      <c r="C2546" s="130" t="s">
        <v>5044</v>
      </c>
      <c r="D2546" s="130" t="s">
        <v>5334</v>
      </c>
      <c r="E2546" s="130" t="s">
        <v>5132</v>
      </c>
      <c r="F2546" s="130" t="s">
        <v>5111</v>
      </c>
      <c r="G2546" s="130">
        <v>500</v>
      </c>
      <c r="H2546" s="130" t="s">
        <v>5037</v>
      </c>
      <c r="I2546" s="130" t="s">
        <v>5004</v>
      </c>
    </row>
    <row r="2547" spans="2:9">
      <c r="B2547" s="129"/>
      <c r="C2547" s="130"/>
      <c r="D2547" s="130"/>
      <c r="E2547" s="130"/>
      <c r="F2547" s="130"/>
      <c r="G2547" s="130"/>
      <c r="H2547" s="130"/>
      <c r="I2547" s="130"/>
    </row>
    <row r="2548" spans="2:9">
      <c r="B2548" s="129"/>
      <c r="C2548" s="130"/>
      <c r="D2548" s="130"/>
      <c r="E2548" s="130"/>
      <c r="F2548" s="130"/>
      <c r="G2548" s="130"/>
      <c r="H2548" s="130"/>
      <c r="I2548" s="130"/>
    </row>
    <row r="2549" spans="2:9">
      <c r="B2549" s="129">
        <v>843</v>
      </c>
      <c r="C2549" s="130" t="s">
        <v>5256</v>
      </c>
      <c r="D2549" s="130" t="s">
        <v>5334</v>
      </c>
      <c r="E2549" s="130" t="s">
        <v>5312</v>
      </c>
      <c r="F2549" s="130" t="s">
        <v>5290</v>
      </c>
      <c r="G2549" s="130">
        <v>500</v>
      </c>
      <c r="H2549" s="130" t="s">
        <v>5037</v>
      </c>
      <c r="I2549" s="130" t="s">
        <v>5004</v>
      </c>
    </row>
    <row r="2550" spans="2:9">
      <c r="B2550" s="129"/>
      <c r="C2550" s="130"/>
      <c r="D2550" s="130"/>
      <c r="E2550" s="130"/>
      <c r="F2550" s="130"/>
      <c r="G2550" s="130"/>
      <c r="H2550" s="130"/>
      <c r="I2550" s="130"/>
    </row>
    <row r="2551" spans="2:9">
      <c r="B2551" s="129"/>
      <c r="C2551" s="130"/>
      <c r="D2551" s="130"/>
      <c r="E2551" s="130"/>
      <c r="F2551" s="130"/>
      <c r="G2551" s="130"/>
      <c r="H2551" s="130"/>
      <c r="I2551" s="130"/>
    </row>
    <row r="2552" spans="2:9">
      <c r="B2552" s="129">
        <v>844</v>
      </c>
      <c r="C2552" s="130" t="s">
        <v>5256</v>
      </c>
      <c r="D2552" s="130" t="s">
        <v>5334</v>
      </c>
      <c r="E2552" s="130" t="s">
        <v>5312</v>
      </c>
      <c r="F2552" s="130" t="s">
        <v>5288</v>
      </c>
      <c r="G2552" s="130">
        <v>500</v>
      </c>
      <c r="H2552" s="130" t="s">
        <v>5037</v>
      </c>
      <c r="I2552" s="130" t="s">
        <v>5004</v>
      </c>
    </row>
    <row r="2553" spans="2:9">
      <c r="B2553" s="129"/>
      <c r="C2553" s="130"/>
      <c r="D2553" s="130"/>
      <c r="E2553" s="130"/>
      <c r="F2553" s="130"/>
      <c r="G2553" s="130"/>
      <c r="H2553" s="130"/>
      <c r="I2553" s="130"/>
    </row>
    <row r="2554" spans="2:9">
      <c r="B2554" s="129"/>
      <c r="C2554" s="130"/>
      <c r="D2554" s="130"/>
      <c r="E2554" s="130"/>
      <c r="F2554" s="130"/>
      <c r="G2554" s="130"/>
      <c r="H2554" s="130"/>
      <c r="I2554" s="130"/>
    </row>
    <row r="2555" spans="2:9">
      <c r="B2555" s="129">
        <v>845</v>
      </c>
      <c r="C2555" s="130" t="s">
        <v>5238</v>
      </c>
      <c r="D2555" s="130" t="s">
        <v>5335</v>
      </c>
      <c r="E2555" s="130" t="s">
        <v>5240</v>
      </c>
      <c r="F2555" s="130" t="s">
        <v>5290</v>
      </c>
      <c r="G2555" s="130">
        <v>1000</v>
      </c>
      <c r="H2555" s="130">
        <v>20000</v>
      </c>
      <c r="I2555" s="130" t="s">
        <v>5004</v>
      </c>
    </row>
    <row r="2556" spans="2:9">
      <c r="B2556" s="129"/>
      <c r="C2556" s="130"/>
      <c r="D2556" s="130"/>
      <c r="E2556" s="130"/>
      <c r="F2556" s="130"/>
      <c r="G2556" s="130"/>
      <c r="H2556" s="130"/>
      <c r="I2556" s="130"/>
    </row>
    <row r="2557" spans="2:9">
      <c r="B2557" s="129"/>
      <c r="C2557" s="130"/>
      <c r="D2557" s="130"/>
      <c r="E2557" s="130"/>
      <c r="F2557" s="130"/>
      <c r="G2557" s="130"/>
      <c r="H2557" s="130"/>
      <c r="I2557" s="130"/>
    </row>
    <row r="2558" spans="2:9">
      <c r="B2558" s="129">
        <v>846</v>
      </c>
      <c r="C2558" s="130" t="s">
        <v>5071</v>
      </c>
      <c r="D2558" s="130" t="s">
        <v>5335</v>
      </c>
      <c r="E2558" s="130" t="s">
        <v>5320</v>
      </c>
      <c r="F2558" s="130" t="s">
        <v>5050</v>
      </c>
      <c r="G2558" s="130">
        <v>35000</v>
      </c>
      <c r="H2558" s="130" t="s">
        <v>5037</v>
      </c>
      <c r="I2558" s="130" t="s">
        <v>5004</v>
      </c>
    </row>
    <row r="2559" spans="2:9">
      <c r="B2559" s="129"/>
      <c r="C2559" s="130"/>
      <c r="D2559" s="130"/>
      <c r="E2559" s="130"/>
      <c r="F2559" s="130"/>
      <c r="G2559" s="130"/>
      <c r="H2559" s="130"/>
      <c r="I2559" s="130"/>
    </row>
    <row r="2560" spans="2:9">
      <c r="B2560" s="129"/>
      <c r="C2560" s="130"/>
      <c r="D2560" s="130"/>
      <c r="E2560" s="130"/>
      <c r="F2560" s="130"/>
      <c r="G2560" s="130"/>
      <c r="H2560" s="130"/>
      <c r="I2560" s="130"/>
    </row>
    <row r="2561" spans="2:9">
      <c r="B2561" s="129">
        <v>847</v>
      </c>
      <c r="C2561" s="130" t="s">
        <v>5301</v>
      </c>
      <c r="D2561" s="130" t="s">
        <v>5335</v>
      </c>
      <c r="E2561" s="130" t="s">
        <v>5133</v>
      </c>
      <c r="F2561" s="130" t="s">
        <v>5043</v>
      </c>
      <c r="G2561" s="130">
        <v>100000</v>
      </c>
      <c r="H2561" s="130" t="s">
        <v>5037</v>
      </c>
      <c r="I2561" s="130" t="s">
        <v>5004</v>
      </c>
    </row>
    <row r="2562" spans="2:9">
      <c r="B2562" s="129"/>
      <c r="C2562" s="130"/>
      <c r="D2562" s="130"/>
      <c r="E2562" s="130"/>
      <c r="F2562" s="130"/>
      <c r="G2562" s="130"/>
      <c r="H2562" s="130"/>
      <c r="I2562" s="130"/>
    </row>
    <row r="2563" spans="2:9">
      <c r="B2563" s="129"/>
      <c r="C2563" s="130"/>
      <c r="D2563" s="130"/>
      <c r="E2563" s="130"/>
      <c r="F2563" s="130"/>
      <c r="G2563" s="130"/>
      <c r="H2563" s="130"/>
      <c r="I2563" s="130"/>
    </row>
    <row r="2564" spans="2:9">
      <c r="B2564" s="129">
        <v>848</v>
      </c>
      <c r="C2564" s="130" t="s">
        <v>5208</v>
      </c>
      <c r="D2564" s="130" t="s">
        <v>5335</v>
      </c>
      <c r="E2564" s="130" t="s">
        <v>5132</v>
      </c>
      <c r="F2564" s="130" t="s">
        <v>5003</v>
      </c>
      <c r="G2564" s="130">
        <v>50000</v>
      </c>
      <c r="H2564" s="130" t="s">
        <v>5037</v>
      </c>
      <c r="I2564" s="130" t="s">
        <v>5004</v>
      </c>
    </row>
    <row r="2565" spans="2:9">
      <c r="B2565" s="129"/>
      <c r="C2565" s="130"/>
      <c r="D2565" s="130"/>
      <c r="E2565" s="130"/>
      <c r="F2565" s="130"/>
      <c r="G2565" s="130"/>
      <c r="H2565" s="130"/>
      <c r="I2565" s="130"/>
    </row>
    <row r="2566" spans="2:9">
      <c r="B2566" s="129"/>
      <c r="C2566" s="130"/>
      <c r="D2566" s="130"/>
      <c r="E2566" s="130"/>
      <c r="F2566" s="130"/>
      <c r="G2566" s="130"/>
      <c r="H2566" s="130"/>
      <c r="I2566" s="130"/>
    </row>
    <row r="2567" spans="2:9">
      <c r="B2567" s="129">
        <v>849</v>
      </c>
      <c r="C2567" s="130" t="s">
        <v>5071</v>
      </c>
      <c r="D2567" s="130" t="s">
        <v>5336</v>
      </c>
      <c r="E2567" s="130" t="s">
        <v>5300</v>
      </c>
      <c r="F2567" s="130" t="s">
        <v>5288</v>
      </c>
      <c r="G2567" s="130">
        <v>2000</v>
      </c>
      <c r="H2567" s="130" t="s">
        <v>5037</v>
      </c>
      <c r="I2567" s="130" t="s">
        <v>5004</v>
      </c>
    </row>
    <row r="2568" spans="2:9">
      <c r="B2568" s="129"/>
      <c r="C2568" s="130"/>
      <c r="D2568" s="130"/>
      <c r="E2568" s="130"/>
      <c r="F2568" s="130"/>
      <c r="G2568" s="130"/>
      <c r="H2568" s="130"/>
      <c r="I2568" s="130"/>
    </row>
    <row r="2569" spans="2:9">
      <c r="B2569" s="129"/>
      <c r="C2569" s="130"/>
      <c r="D2569" s="130"/>
      <c r="E2569" s="130"/>
      <c r="F2569" s="130"/>
      <c r="G2569" s="130"/>
      <c r="H2569" s="130"/>
      <c r="I2569" s="130"/>
    </row>
    <row r="2570" spans="2:9">
      <c r="B2570" s="129">
        <v>850</v>
      </c>
      <c r="C2570" s="130" t="s">
        <v>5235</v>
      </c>
      <c r="D2570" s="130" t="s">
        <v>5336</v>
      </c>
      <c r="E2570" s="130" t="s">
        <v>5251</v>
      </c>
      <c r="F2570" s="130" t="s">
        <v>5196</v>
      </c>
      <c r="G2570" s="130">
        <v>1000</v>
      </c>
      <c r="H2570" s="130">
        <v>20000</v>
      </c>
      <c r="I2570" s="130" t="s">
        <v>5004</v>
      </c>
    </row>
    <row r="2571" spans="2:9">
      <c r="B2571" s="129"/>
      <c r="C2571" s="130"/>
      <c r="D2571" s="130"/>
      <c r="E2571" s="130"/>
      <c r="F2571" s="130"/>
      <c r="G2571" s="130"/>
      <c r="H2571" s="130"/>
      <c r="I2571" s="130"/>
    </row>
    <row r="2572" spans="2:9">
      <c r="B2572" s="129"/>
      <c r="C2572" s="130"/>
      <c r="D2572" s="130"/>
      <c r="E2572" s="130"/>
      <c r="F2572" s="130"/>
      <c r="G2572" s="130"/>
      <c r="H2572" s="130"/>
      <c r="I2572" s="130"/>
    </row>
    <row r="2573" spans="2:9">
      <c r="B2573" s="129">
        <v>851</v>
      </c>
      <c r="C2573" s="130" t="s">
        <v>5235</v>
      </c>
      <c r="D2573" s="130" t="s">
        <v>5336</v>
      </c>
      <c r="E2573" s="130" t="s">
        <v>5251</v>
      </c>
      <c r="F2573" s="130" t="s">
        <v>5290</v>
      </c>
      <c r="G2573" s="130">
        <v>1000</v>
      </c>
      <c r="H2573" s="130">
        <v>20000</v>
      </c>
      <c r="I2573" s="130" t="s">
        <v>5004</v>
      </c>
    </row>
    <row r="2574" spans="2:9">
      <c r="B2574" s="129"/>
      <c r="C2574" s="130"/>
      <c r="D2574" s="130"/>
      <c r="E2574" s="130"/>
      <c r="F2574" s="130"/>
      <c r="G2574" s="130"/>
      <c r="H2574" s="130"/>
      <c r="I2574" s="130"/>
    </row>
    <row r="2575" spans="2:9">
      <c r="B2575" s="129"/>
      <c r="C2575" s="130"/>
      <c r="D2575" s="130"/>
      <c r="E2575" s="130"/>
      <c r="F2575" s="130"/>
      <c r="G2575" s="130"/>
      <c r="H2575" s="130"/>
      <c r="I2575" s="130"/>
    </row>
    <row r="2576" spans="2:9">
      <c r="B2576" s="129">
        <v>852</v>
      </c>
      <c r="C2576" s="130" t="s">
        <v>5235</v>
      </c>
      <c r="D2576" s="130" t="s">
        <v>5336</v>
      </c>
      <c r="E2576" s="130" t="s">
        <v>5251</v>
      </c>
      <c r="F2576" s="130" t="s">
        <v>5226</v>
      </c>
      <c r="G2576" s="130">
        <v>1000</v>
      </c>
      <c r="H2576" s="130">
        <v>20000</v>
      </c>
      <c r="I2576" s="130" t="s">
        <v>5004</v>
      </c>
    </row>
    <row r="2577" spans="2:9">
      <c r="B2577" s="129"/>
      <c r="C2577" s="130"/>
      <c r="D2577" s="130"/>
      <c r="E2577" s="130"/>
      <c r="F2577" s="130"/>
      <c r="G2577" s="130"/>
      <c r="H2577" s="130"/>
      <c r="I2577" s="130"/>
    </row>
    <row r="2578" spans="2:9">
      <c r="B2578" s="129"/>
      <c r="C2578" s="130"/>
      <c r="D2578" s="130"/>
      <c r="E2578" s="130"/>
      <c r="F2578" s="130"/>
      <c r="G2578" s="130"/>
      <c r="H2578" s="130"/>
      <c r="I2578" s="130"/>
    </row>
    <row r="2579" spans="2:9">
      <c r="B2579" s="129">
        <v>853</v>
      </c>
      <c r="C2579" s="130" t="s">
        <v>5235</v>
      </c>
      <c r="D2579" s="130" t="s">
        <v>5336</v>
      </c>
      <c r="E2579" s="130" t="s">
        <v>5251</v>
      </c>
      <c r="F2579" s="130" t="s">
        <v>5288</v>
      </c>
      <c r="G2579" s="130">
        <v>1000</v>
      </c>
      <c r="H2579" s="130">
        <v>20000</v>
      </c>
      <c r="I2579" s="130" t="s">
        <v>5004</v>
      </c>
    </row>
    <row r="2580" spans="2:9">
      <c r="B2580" s="129"/>
      <c r="C2580" s="130"/>
      <c r="D2580" s="130"/>
      <c r="E2580" s="130"/>
      <c r="F2580" s="130"/>
      <c r="G2580" s="130"/>
      <c r="H2580" s="130"/>
      <c r="I2580" s="130"/>
    </row>
    <row r="2581" spans="2:9">
      <c r="B2581" s="129"/>
      <c r="C2581" s="130"/>
      <c r="D2581" s="130"/>
      <c r="E2581" s="130"/>
      <c r="F2581" s="130"/>
      <c r="G2581" s="130"/>
      <c r="H2581" s="130"/>
      <c r="I2581" s="130"/>
    </row>
    <row r="2582" spans="2:9">
      <c r="B2582" s="129">
        <v>854</v>
      </c>
      <c r="C2582" s="130" t="s">
        <v>5208</v>
      </c>
      <c r="D2582" s="130" t="s">
        <v>5336</v>
      </c>
      <c r="E2582" s="130" t="s">
        <v>5132</v>
      </c>
      <c r="F2582" s="130" t="s">
        <v>5026</v>
      </c>
      <c r="G2582" s="130">
        <v>1000</v>
      </c>
      <c r="H2582" s="130">
        <v>10000</v>
      </c>
      <c r="I2582" s="130" t="s">
        <v>5004</v>
      </c>
    </row>
    <row r="2583" spans="2:9">
      <c r="B2583" s="129"/>
      <c r="C2583" s="130"/>
      <c r="D2583" s="130"/>
      <c r="E2583" s="130"/>
      <c r="F2583" s="130"/>
      <c r="G2583" s="130"/>
      <c r="H2583" s="130"/>
      <c r="I2583" s="130"/>
    </row>
    <row r="2584" spans="2:9">
      <c r="B2584" s="129"/>
      <c r="C2584" s="130"/>
      <c r="D2584" s="130"/>
      <c r="E2584" s="130"/>
      <c r="F2584" s="130"/>
      <c r="G2584" s="130"/>
      <c r="H2584" s="130"/>
      <c r="I2584" s="130"/>
    </row>
    <row r="2585" spans="2:9">
      <c r="B2585" s="129">
        <v>855</v>
      </c>
      <c r="C2585" s="130" t="s">
        <v>5071</v>
      </c>
      <c r="D2585" s="130" t="s">
        <v>5337</v>
      </c>
      <c r="E2585" s="130" t="s">
        <v>5320</v>
      </c>
      <c r="F2585" s="130" t="s">
        <v>5008</v>
      </c>
      <c r="G2585" s="130">
        <v>35000</v>
      </c>
      <c r="H2585" s="130" t="s">
        <v>5037</v>
      </c>
      <c r="I2585" s="130" t="s">
        <v>5004</v>
      </c>
    </row>
    <row r="2586" spans="2:9">
      <c r="B2586" s="129"/>
      <c r="C2586" s="130"/>
      <c r="D2586" s="130"/>
      <c r="E2586" s="130"/>
      <c r="F2586" s="130"/>
      <c r="G2586" s="130"/>
      <c r="H2586" s="130"/>
      <c r="I2586" s="130"/>
    </row>
    <row r="2587" spans="2:9">
      <c r="B2587" s="129"/>
      <c r="C2587" s="130"/>
      <c r="D2587" s="130"/>
      <c r="E2587" s="130"/>
      <c r="F2587" s="130"/>
      <c r="G2587" s="130"/>
      <c r="H2587" s="130"/>
      <c r="I2587" s="130"/>
    </row>
    <row r="2588" spans="2:9">
      <c r="B2588" s="129">
        <v>856</v>
      </c>
      <c r="C2588" s="130" t="s">
        <v>5071</v>
      </c>
      <c r="D2588" s="130" t="s">
        <v>5337</v>
      </c>
      <c r="E2588" s="130" t="s">
        <v>5320</v>
      </c>
      <c r="F2588" s="130" t="s">
        <v>5050</v>
      </c>
      <c r="G2588" s="130">
        <v>5000</v>
      </c>
      <c r="H2588" s="130">
        <v>35000</v>
      </c>
      <c r="I2588" s="130" t="s">
        <v>5004</v>
      </c>
    </row>
    <row r="2589" spans="2:9">
      <c r="B2589" s="129"/>
      <c r="C2589" s="130"/>
      <c r="D2589" s="130"/>
      <c r="E2589" s="130"/>
      <c r="F2589" s="130"/>
      <c r="G2589" s="130"/>
      <c r="H2589" s="130"/>
      <c r="I2589" s="130"/>
    </row>
    <row r="2590" spans="2:9">
      <c r="B2590" s="129"/>
      <c r="C2590" s="130"/>
      <c r="D2590" s="130"/>
      <c r="E2590" s="130"/>
      <c r="F2590" s="130"/>
      <c r="G2590" s="130"/>
      <c r="H2590" s="130"/>
      <c r="I2590" s="130"/>
    </row>
    <row r="2591" spans="2:9">
      <c r="B2591" s="129">
        <v>857</v>
      </c>
      <c r="C2591" s="130" t="s">
        <v>5301</v>
      </c>
      <c r="D2591" s="130" t="s">
        <v>5337</v>
      </c>
      <c r="E2591" s="130" t="s">
        <v>5302</v>
      </c>
      <c r="F2591" s="130" t="s">
        <v>5226</v>
      </c>
      <c r="G2591" s="130">
        <v>100000</v>
      </c>
      <c r="H2591" s="130" t="s">
        <v>5037</v>
      </c>
      <c r="I2591" s="130" t="s">
        <v>5004</v>
      </c>
    </row>
    <row r="2592" spans="2:9">
      <c r="B2592" s="129"/>
      <c r="C2592" s="130"/>
      <c r="D2592" s="130"/>
      <c r="E2592" s="130"/>
      <c r="F2592" s="130"/>
      <c r="G2592" s="130"/>
      <c r="H2592" s="130"/>
      <c r="I2592" s="130"/>
    </row>
    <row r="2593" spans="2:9">
      <c r="B2593" s="129"/>
      <c r="C2593" s="130"/>
      <c r="D2593" s="130"/>
      <c r="E2593" s="130"/>
      <c r="F2593" s="130"/>
      <c r="G2593" s="130"/>
      <c r="H2593" s="130"/>
      <c r="I2593" s="130"/>
    </row>
    <row r="2594" spans="2:9">
      <c r="B2594" s="129">
        <v>858</v>
      </c>
      <c r="C2594" s="130" t="s">
        <v>5301</v>
      </c>
      <c r="D2594" s="130" t="s">
        <v>5337</v>
      </c>
      <c r="E2594" s="130" t="s">
        <v>5302</v>
      </c>
      <c r="F2594" s="130" t="s">
        <v>5111</v>
      </c>
      <c r="G2594" s="130">
        <v>50000</v>
      </c>
      <c r="H2594" s="130">
        <v>99999</v>
      </c>
      <c r="I2594" s="130" t="s">
        <v>5004</v>
      </c>
    </row>
    <row r="2595" spans="2:9">
      <c r="B2595" s="129"/>
      <c r="C2595" s="130"/>
      <c r="D2595" s="130"/>
      <c r="E2595" s="130"/>
      <c r="F2595" s="130"/>
      <c r="G2595" s="130"/>
      <c r="H2595" s="130"/>
      <c r="I2595" s="130"/>
    </row>
    <row r="2596" spans="2:9">
      <c r="B2596" s="129"/>
      <c r="C2596" s="130"/>
      <c r="D2596" s="130"/>
      <c r="E2596" s="130"/>
      <c r="F2596" s="130"/>
      <c r="G2596" s="130"/>
      <c r="H2596" s="130"/>
      <c r="I2596" s="130"/>
    </row>
    <row r="2597" spans="2:9">
      <c r="B2597" s="129">
        <v>859</v>
      </c>
      <c r="C2597" s="130" t="s">
        <v>5301</v>
      </c>
      <c r="D2597" s="130" t="s">
        <v>5337</v>
      </c>
      <c r="E2597" s="130" t="s">
        <v>5302</v>
      </c>
      <c r="F2597" s="130" t="s">
        <v>5003</v>
      </c>
      <c r="G2597" s="130">
        <v>1000</v>
      </c>
      <c r="H2597" s="130">
        <v>49999</v>
      </c>
      <c r="I2597" s="130" t="s">
        <v>5004</v>
      </c>
    </row>
    <row r="2598" spans="2:9">
      <c r="B2598" s="129"/>
      <c r="C2598" s="130"/>
      <c r="D2598" s="130"/>
      <c r="E2598" s="130"/>
      <c r="F2598" s="130"/>
      <c r="G2598" s="130"/>
      <c r="H2598" s="130"/>
      <c r="I2598" s="130"/>
    </row>
    <row r="2599" spans="2:9">
      <c r="B2599" s="129"/>
      <c r="C2599" s="130"/>
      <c r="D2599" s="130"/>
      <c r="E2599" s="130"/>
      <c r="F2599" s="130"/>
      <c r="G2599" s="130"/>
      <c r="H2599" s="130"/>
      <c r="I2599" s="130"/>
    </row>
    <row r="2600" spans="2:9">
      <c r="B2600" s="129">
        <v>860</v>
      </c>
      <c r="C2600" s="130" t="s">
        <v>5071</v>
      </c>
      <c r="D2600" s="130" t="s">
        <v>5338</v>
      </c>
      <c r="E2600" s="130" t="s">
        <v>5300</v>
      </c>
      <c r="F2600" s="130" t="s">
        <v>5290</v>
      </c>
      <c r="G2600" s="130">
        <v>2000</v>
      </c>
      <c r="H2600" s="130" t="s">
        <v>5037</v>
      </c>
      <c r="I2600" s="130" t="s">
        <v>5004</v>
      </c>
    </row>
    <row r="2601" spans="2:9">
      <c r="B2601" s="129"/>
      <c r="C2601" s="130"/>
      <c r="D2601" s="130"/>
      <c r="E2601" s="130"/>
      <c r="F2601" s="130"/>
      <c r="G2601" s="130"/>
      <c r="H2601" s="130"/>
      <c r="I2601" s="130"/>
    </row>
    <row r="2602" spans="2:9">
      <c r="B2602" s="129"/>
      <c r="C2602" s="130"/>
      <c r="D2602" s="130"/>
      <c r="E2602" s="130"/>
      <c r="F2602" s="130"/>
      <c r="G2602" s="130"/>
      <c r="H2602" s="130"/>
      <c r="I2602" s="130"/>
    </row>
    <row r="2603" spans="2:9">
      <c r="B2603" s="129">
        <v>861</v>
      </c>
      <c r="C2603" s="130" t="s">
        <v>5071</v>
      </c>
      <c r="D2603" s="130" t="s">
        <v>5338</v>
      </c>
      <c r="E2603" s="130" t="s">
        <v>5320</v>
      </c>
      <c r="F2603" s="130" t="s">
        <v>5008</v>
      </c>
      <c r="G2603" s="130">
        <v>35000</v>
      </c>
      <c r="H2603" s="130" t="s">
        <v>5037</v>
      </c>
      <c r="I2603" s="130" t="s">
        <v>5004</v>
      </c>
    </row>
    <row r="2604" spans="2:9">
      <c r="B2604" s="129"/>
      <c r="C2604" s="130"/>
      <c r="D2604" s="130"/>
      <c r="E2604" s="130"/>
      <c r="F2604" s="130"/>
      <c r="G2604" s="130"/>
      <c r="H2604" s="130"/>
      <c r="I2604" s="130"/>
    </row>
    <row r="2605" spans="2:9">
      <c r="B2605" s="129"/>
      <c r="C2605" s="130"/>
      <c r="D2605" s="130"/>
      <c r="E2605" s="130"/>
      <c r="F2605" s="130"/>
      <c r="G2605" s="130"/>
      <c r="H2605" s="130"/>
      <c r="I2605" s="130"/>
    </row>
    <row r="2606" spans="2:9">
      <c r="B2606" s="129">
        <v>862</v>
      </c>
      <c r="C2606" s="130" t="s">
        <v>5128</v>
      </c>
      <c r="D2606" s="130" t="s">
        <v>5338</v>
      </c>
      <c r="E2606" s="130" t="s">
        <v>5127</v>
      </c>
      <c r="F2606" s="130" t="s">
        <v>5003</v>
      </c>
      <c r="G2606" s="130">
        <v>1000</v>
      </c>
      <c r="H2606" s="130">
        <v>9999</v>
      </c>
      <c r="I2606" s="130" t="s">
        <v>5013</v>
      </c>
    </row>
    <row r="2607" spans="2:9">
      <c r="B2607" s="129"/>
      <c r="C2607" s="130"/>
      <c r="D2607" s="130"/>
      <c r="E2607" s="130"/>
      <c r="F2607" s="130"/>
      <c r="G2607" s="130"/>
      <c r="H2607" s="130"/>
      <c r="I2607" s="130"/>
    </row>
    <row r="2608" spans="2:9">
      <c r="B2608" s="129"/>
      <c r="C2608" s="130"/>
      <c r="D2608" s="130"/>
      <c r="E2608" s="130"/>
      <c r="F2608" s="130"/>
      <c r="G2608" s="130"/>
      <c r="H2608" s="130"/>
      <c r="I2608" s="130"/>
    </row>
    <row r="2609" spans="2:9">
      <c r="B2609" s="129">
        <v>863</v>
      </c>
      <c r="C2609" s="130" t="s">
        <v>5095</v>
      </c>
      <c r="D2609" s="130" t="s">
        <v>5338</v>
      </c>
      <c r="E2609" s="130" t="s">
        <v>5205</v>
      </c>
      <c r="F2609" s="130" t="s">
        <v>5196</v>
      </c>
      <c r="G2609" s="130">
        <v>50000</v>
      </c>
      <c r="H2609" s="130" t="s">
        <v>5037</v>
      </c>
      <c r="I2609" s="130" t="s">
        <v>5004</v>
      </c>
    </row>
    <row r="2610" spans="2:9">
      <c r="B2610" s="129"/>
      <c r="C2610" s="130"/>
      <c r="D2610" s="130"/>
      <c r="E2610" s="130"/>
      <c r="F2610" s="130"/>
      <c r="G2610" s="130"/>
      <c r="H2610" s="130"/>
      <c r="I2610" s="130"/>
    </row>
    <row r="2611" spans="2:9">
      <c r="B2611" s="129"/>
      <c r="C2611" s="130"/>
      <c r="D2611" s="130"/>
      <c r="E2611" s="130"/>
      <c r="F2611" s="130"/>
      <c r="G2611" s="130"/>
      <c r="H2611" s="130"/>
      <c r="I2611" s="130"/>
    </row>
    <row r="2612" spans="2:9">
      <c r="B2612" s="129">
        <v>864</v>
      </c>
      <c r="C2612" s="130" t="s">
        <v>5095</v>
      </c>
      <c r="D2612" s="130" t="s">
        <v>5338</v>
      </c>
      <c r="E2612" s="130" t="s">
        <v>5205</v>
      </c>
      <c r="F2612" s="130" t="s">
        <v>5290</v>
      </c>
      <c r="G2612" s="130">
        <v>50000</v>
      </c>
      <c r="H2612" s="130" t="s">
        <v>5037</v>
      </c>
      <c r="I2612" s="130" t="s">
        <v>5004</v>
      </c>
    </row>
    <row r="2613" spans="2:9">
      <c r="B2613" s="129"/>
      <c r="C2613" s="130"/>
      <c r="D2613" s="130"/>
      <c r="E2613" s="130"/>
      <c r="F2613" s="130"/>
      <c r="G2613" s="130"/>
      <c r="H2613" s="130"/>
      <c r="I2613" s="130"/>
    </row>
    <row r="2614" spans="2:9">
      <c r="B2614" s="129"/>
      <c r="C2614" s="130"/>
      <c r="D2614" s="130"/>
      <c r="E2614" s="130"/>
      <c r="F2614" s="130"/>
      <c r="G2614" s="130"/>
      <c r="H2614" s="130"/>
      <c r="I2614" s="130"/>
    </row>
    <row r="2615" spans="2:9">
      <c r="B2615" s="129">
        <v>865</v>
      </c>
      <c r="C2615" s="130" t="s">
        <v>5095</v>
      </c>
      <c r="D2615" s="130" t="s">
        <v>5338</v>
      </c>
      <c r="E2615" s="130" t="s">
        <v>5205</v>
      </c>
      <c r="F2615" s="130" t="s">
        <v>5226</v>
      </c>
      <c r="G2615" s="130">
        <v>50000</v>
      </c>
      <c r="H2615" s="130" t="s">
        <v>5037</v>
      </c>
      <c r="I2615" s="130" t="s">
        <v>5004</v>
      </c>
    </row>
    <row r="2616" spans="2:9">
      <c r="B2616" s="129"/>
      <c r="C2616" s="130"/>
      <c r="D2616" s="130"/>
      <c r="E2616" s="130"/>
      <c r="F2616" s="130"/>
      <c r="G2616" s="130"/>
      <c r="H2616" s="130"/>
      <c r="I2616" s="130"/>
    </row>
    <row r="2617" spans="2:9">
      <c r="B2617" s="129"/>
      <c r="C2617" s="130"/>
      <c r="D2617" s="130"/>
      <c r="E2617" s="130"/>
      <c r="F2617" s="130"/>
      <c r="G2617" s="130"/>
      <c r="H2617" s="130"/>
      <c r="I2617" s="130"/>
    </row>
    <row r="2618" spans="2:9">
      <c r="B2618" s="129">
        <v>866</v>
      </c>
      <c r="C2618" s="130" t="s">
        <v>5095</v>
      </c>
      <c r="D2618" s="130" t="s">
        <v>5338</v>
      </c>
      <c r="E2618" s="130" t="s">
        <v>5205</v>
      </c>
      <c r="F2618" s="130" t="s">
        <v>5288</v>
      </c>
      <c r="G2618" s="130">
        <v>50000</v>
      </c>
      <c r="H2618" s="130" t="s">
        <v>5037</v>
      </c>
      <c r="I2618" s="130" t="s">
        <v>5004</v>
      </c>
    </row>
    <row r="2619" spans="2:9">
      <c r="B2619" s="129"/>
      <c r="C2619" s="130"/>
      <c r="D2619" s="130"/>
      <c r="E2619" s="130"/>
      <c r="F2619" s="130"/>
      <c r="G2619" s="130"/>
      <c r="H2619" s="130"/>
      <c r="I2619" s="130"/>
    </row>
    <row r="2620" spans="2:9">
      <c r="B2620" s="129"/>
      <c r="C2620" s="130"/>
      <c r="D2620" s="130"/>
      <c r="E2620" s="130"/>
      <c r="F2620" s="130"/>
      <c r="G2620" s="130"/>
      <c r="H2620" s="130"/>
      <c r="I2620" s="130"/>
    </row>
    <row r="2621" spans="2:9">
      <c r="B2621" s="129">
        <v>867</v>
      </c>
      <c r="C2621" s="130" t="s">
        <v>5208</v>
      </c>
      <c r="D2621" s="130" t="s">
        <v>5338</v>
      </c>
      <c r="E2621" s="130" t="s">
        <v>5132</v>
      </c>
      <c r="F2621" s="130" t="s">
        <v>5111</v>
      </c>
      <c r="G2621" s="130">
        <v>50000</v>
      </c>
      <c r="H2621" s="130" t="s">
        <v>5037</v>
      </c>
      <c r="I2621" s="130" t="s">
        <v>5004</v>
      </c>
    </row>
    <row r="2622" spans="2:9">
      <c r="B2622" s="129"/>
      <c r="C2622" s="130"/>
      <c r="D2622" s="130"/>
      <c r="E2622" s="130"/>
      <c r="F2622" s="130"/>
      <c r="G2622" s="130"/>
      <c r="H2622" s="130"/>
      <c r="I2622" s="130"/>
    </row>
    <row r="2623" spans="2:9">
      <c r="B2623" s="129"/>
      <c r="C2623" s="130"/>
      <c r="D2623" s="130"/>
      <c r="E2623" s="130"/>
      <c r="F2623" s="130"/>
      <c r="G2623" s="130"/>
      <c r="H2623" s="130"/>
      <c r="I2623" s="130"/>
    </row>
    <row r="2624" spans="2:9">
      <c r="B2624" s="129">
        <v>868</v>
      </c>
      <c r="C2624" s="130" t="s">
        <v>5107</v>
      </c>
      <c r="D2624" s="130" t="s">
        <v>5338</v>
      </c>
      <c r="E2624" s="130" t="s">
        <v>5132</v>
      </c>
      <c r="F2624" s="130" t="s">
        <v>5111</v>
      </c>
      <c r="G2624" s="130">
        <v>3000</v>
      </c>
      <c r="H2624" s="130">
        <v>49999</v>
      </c>
      <c r="I2624" s="130" t="s">
        <v>5004</v>
      </c>
    </row>
    <row r="2625" spans="2:9">
      <c r="B2625" s="129"/>
      <c r="C2625" s="130"/>
      <c r="D2625" s="130"/>
      <c r="E2625" s="130"/>
      <c r="F2625" s="130"/>
      <c r="G2625" s="130"/>
      <c r="H2625" s="130"/>
      <c r="I2625" s="130"/>
    </row>
    <row r="2626" spans="2:9">
      <c r="B2626" s="129"/>
      <c r="C2626" s="130"/>
      <c r="D2626" s="130"/>
      <c r="E2626" s="130"/>
      <c r="F2626" s="130"/>
      <c r="G2626" s="130"/>
      <c r="H2626" s="130"/>
      <c r="I2626" s="130"/>
    </row>
    <row r="2627" spans="2:9">
      <c r="B2627" s="129">
        <v>869</v>
      </c>
      <c r="C2627" s="130" t="s">
        <v>5071</v>
      </c>
      <c r="D2627" s="130" t="s">
        <v>5339</v>
      </c>
      <c r="E2627" s="130" t="s">
        <v>5320</v>
      </c>
      <c r="F2627" s="130" t="s">
        <v>5003</v>
      </c>
      <c r="G2627" s="130">
        <v>35000</v>
      </c>
      <c r="H2627" s="130" t="s">
        <v>5037</v>
      </c>
      <c r="I2627" s="130" t="s">
        <v>5004</v>
      </c>
    </row>
    <row r="2628" spans="2:9">
      <c r="B2628" s="129"/>
      <c r="C2628" s="130"/>
      <c r="D2628" s="130"/>
      <c r="E2628" s="130"/>
      <c r="F2628" s="130"/>
      <c r="G2628" s="130"/>
      <c r="H2628" s="130"/>
      <c r="I2628" s="130"/>
    </row>
    <row r="2629" spans="2:9">
      <c r="B2629" s="129"/>
      <c r="C2629" s="130"/>
      <c r="D2629" s="130"/>
      <c r="E2629" s="130"/>
      <c r="F2629" s="130"/>
      <c r="G2629" s="130"/>
      <c r="H2629" s="130"/>
      <c r="I2629" s="130"/>
    </row>
    <row r="2630" spans="2:9">
      <c r="B2630" s="129">
        <v>870</v>
      </c>
      <c r="C2630" s="130" t="s">
        <v>5071</v>
      </c>
      <c r="D2630" s="130" t="s">
        <v>5339</v>
      </c>
      <c r="E2630" s="130" t="s">
        <v>5320</v>
      </c>
      <c r="F2630" s="130" t="s">
        <v>5003</v>
      </c>
      <c r="G2630" s="130">
        <v>35000</v>
      </c>
      <c r="H2630" s="130" t="s">
        <v>5037</v>
      </c>
      <c r="I2630" s="130" t="s">
        <v>5004</v>
      </c>
    </row>
    <row r="2631" spans="2:9">
      <c r="B2631" s="129"/>
      <c r="C2631" s="130"/>
      <c r="D2631" s="130"/>
      <c r="E2631" s="130"/>
      <c r="F2631" s="130"/>
      <c r="G2631" s="130"/>
      <c r="H2631" s="130"/>
      <c r="I2631" s="130"/>
    </row>
    <row r="2632" spans="2:9">
      <c r="B2632" s="129"/>
      <c r="C2632" s="130"/>
      <c r="D2632" s="130"/>
      <c r="E2632" s="130"/>
      <c r="F2632" s="130"/>
      <c r="G2632" s="130"/>
      <c r="H2632" s="130"/>
      <c r="I2632" s="130"/>
    </row>
    <row r="2633" spans="2:9">
      <c r="B2633" s="129">
        <v>871</v>
      </c>
      <c r="C2633" s="130" t="s">
        <v>5071</v>
      </c>
      <c r="D2633" s="130" t="s">
        <v>5339</v>
      </c>
      <c r="E2633" s="130" t="s">
        <v>5320</v>
      </c>
      <c r="F2633" s="130" t="s">
        <v>5008</v>
      </c>
      <c r="G2633" s="130">
        <v>5000</v>
      </c>
      <c r="H2633" s="130">
        <v>35000</v>
      </c>
      <c r="I2633" s="130" t="s">
        <v>5004</v>
      </c>
    </row>
    <row r="2634" spans="2:9">
      <c r="B2634" s="129"/>
      <c r="C2634" s="130"/>
      <c r="D2634" s="130"/>
      <c r="E2634" s="130"/>
      <c r="F2634" s="130"/>
      <c r="G2634" s="130"/>
      <c r="H2634" s="130"/>
      <c r="I2634" s="130"/>
    </row>
    <row r="2635" spans="2:9">
      <c r="B2635" s="129"/>
      <c r="C2635" s="130"/>
      <c r="D2635" s="130"/>
      <c r="E2635" s="130"/>
      <c r="F2635" s="130"/>
      <c r="G2635" s="130"/>
      <c r="H2635" s="130"/>
      <c r="I2635" s="130"/>
    </row>
    <row r="2636" spans="2:9">
      <c r="B2636" s="129">
        <v>872</v>
      </c>
      <c r="C2636" s="130" t="s">
        <v>5301</v>
      </c>
      <c r="D2636" s="130" t="s">
        <v>5339</v>
      </c>
      <c r="E2636" s="130" t="s">
        <v>5133</v>
      </c>
      <c r="F2636" s="130" t="s">
        <v>5043</v>
      </c>
      <c r="G2636" s="130">
        <v>50000</v>
      </c>
      <c r="H2636" s="130">
        <v>99999</v>
      </c>
      <c r="I2636" s="130" t="s">
        <v>5004</v>
      </c>
    </row>
    <row r="2637" spans="2:9">
      <c r="B2637" s="129"/>
      <c r="C2637" s="130"/>
      <c r="D2637" s="130"/>
      <c r="E2637" s="130"/>
      <c r="F2637" s="130"/>
      <c r="G2637" s="130"/>
      <c r="H2637" s="130"/>
      <c r="I2637" s="130"/>
    </row>
    <row r="2638" spans="2:9">
      <c r="B2638" s="129"/>
      <c r="C2638" s="130"/>
      <c r="D2638" s="130"/>
      <c r="E2638" s="130"/>
      <c r="F2638" s="130"/>
      <c r="G2638" s="130"/>
      <c r="H2638" s="130"/>
      <c r="I2638" s="130"/>
    </row>
    <row r="2639" spans="2:9">
      <c r="B2639" s="129">
        <v>873</v>
      </c>
      <c r="C2639" s="130" t="s">
        <v>5301</v>
      </c>
      <c r="D2639" s="130" t="s">
        <v>5339</v>
      </c>
      <c r="E2639" s="130" t="s">
        <v>5133</v>
      </c>
      <c r="F2639" s="130" t="s">
        <v>5085</v>
      </c>
      <c r="G2639" s="130">
        <v>500</v>
      </c>
      <c r="H2639" s="130">
        <v>49999</v>
      </c>
      <c r="I2639" s="130" t="s">
        <v>5004</v>
      </c>
    </row>
    <row r="2640" spans="2:9">
      <c r="B2640" s="129"/>
      <c r="C2640" s="130"/>
      <c r="D2640" s="130"/>
      <c r="E2640" s="130"/>
      <c r="F2640" s="130"/>
      <c r="G2640" s="130"/>
      <c r="H2640" s="130"/>
      <c r="I2640" s="130"/>
    </row>
    <row r="2641" spans="2:9">
      <c r="B2641" s="129"/>
      <c r="C2641" s="130"/>
      <c r="D2641" s="130"/>
      <c r="E2641" s="130"/>
      <c r="F2641" s="130"/>
      <c r="G2641" s="130"/>
      <c r="H2641" s="130"/>
      <c r="I2641" s="130"/>
    </row>
    <row r="2642" spans="2:9">
      <c r="B2642" s="129">
        <v>874</v>
      </c>
      <c r="C2642" s="130" t="s">
        <v>5208</v>
      </c>
      <c r="D2642" s="130" t="s">
        <v>5339</v>
      </c>
      <c r="E2642" s="130" t="s">
        <v>5132</v>
      </c>
      <c r="F2642" s="130" t="s">
        <v>5033</v>
      </c>
      <c r="G2642" s="130">
        <v>10000</v>
      </c>
      <c r="H2642" s="130">
        <v>49999</v>
      </c>
      <c r="I2642" s="130" t="s">
        <v>5004</v>
      </c>
    </row>
    <row r="2643" spans="2:9">
      <c r="B2643" s="129"/>
      <c r="C2643" s="130"/>
      <c r="D2643" s="130"/>
      <c r="E2643" s="130"/>
      <c r="F2643" s="130"/>
      <c r="G2643" s="130"/>
      <c r="H2643" s="130"/>
      <c r="I2643" s="130"/>
    </row>
    <row r="2644" spans="2:9">
      <c r="B2644" s="129"/>
      <c r="C2644" s="130"/>
      <c r="D2644" s="130"/>
      <c r="E2644" s="130"/>
      <c r="F2644" s="130"/>
      <c r="G2644" s="130"/>
      <c r="H2644" s="130"/>
      <c r="I2644" s="130"/>
    </row>
    <row r="2645" spans="2:9">
      <c r="B2645" s="129">
        <v>875</v>
      </c>
      <c r="C2645" s="130" t="s">
        <v>5188</v>
      </c>
      <c r="D2645" s="130" t="s">
        <v>5340</v>
      </c>
      <c r="E2645" s="130" t="s">
        <v>5213</v>
      </c>
      <c r="F2645" s="130" t="s">
        <v>5111</v>
      </c>
      <c r="G2645" s="130">
        <v>500</v>
      </c>
      <c r="H2645" s="130">
        <v>10000</v>
      </c>
      <c r="I2645" s="130" t="s">
        <v>5004</v>
      </c>
    </row>
    <row r="2646" spans="2:9">
      <c r="B2646" s="129"/>
      <c r="C2646" s="130"/>
      <c r="D2646" s="130"/>
      <c r="E2646" s="130"/>
      <c r="F2646" s="130"/>
      <c r="G2646" s="130"/>
      <c r="H2646" s="130"/>
      <c r="I2646" s="130"/>
    </row>
    <row r="2647" spans="2:9">
      <c r="B2647" s="129"/>
      <c r="C2647" s="130"/>
      <c r="D2647" s="130"/>
      <c r="E2647" s="130"/>
      <c r="F2647" s="130"/>
      <c r="G2647" s="130"/>
      <c r="H2647" s="130"/>
      <c r="I2647" s="130"/>
    </row>
    <row r="2648" spans="2:9">
      <c r="B2648" s="129">
        <v>876</v>
      </c>
      <c r="C2648" s="130" t="s">
        <v>5071</v>
      </c>
      <c r="D2648" s="130" t="s">
        <v>5340</v>
      </c>
      <c r="E2648" s="130" t="s">
        <v>5320</v>
      </c>
      <c r="F2648" s="130" t="s">
        <v>5111</v>
      </c>
      <c r="G2648" s="130">
        <v>35000</v>
      </c>
      <c r="H2648" s="130" t="s">
        <v>5037</v>
      </c>
      <c r="I2648" s="130" t="s">
        <v>5004</v>
      </c>
    </row>
    <row r="2649" spans="2:9">
      <c r="B2649" s="129"/>
      <c r="C2649" s="130"/>
      <c r="D2649" s="130"/>
      <c r="E2649" s="130"/>
      <c r="F2649" s="130"/>
      <c r="G2649" s="130"/>
      <c r="H2649" s="130"/>
      <c r="I2649" s="130"/>
    </row>
    <row r="2650" spans="2:9">
      <c r="B2650" s="129"/>
      <c r="C2650" s="130"/>
      <c r="D2650" s="130"/>
      <c r="E2650" s="130"/>
      <c r="F2650" s="130"/>
      <c r="G2650" s="130"/>
      <c r="H2650" s="130"/>
      <c r="I2650" s="130"/>
    </row>
    <row r="2651" spans="2:9">
      <c r="B2651" s="129">
        <v>877</v>
      </c>
      <c r="C2651" s="130" t="s">
        <v>5071</v>
      </c>
      <c r="D2651" s="130" t="s">
        <v>5340</v>
      </c>
      <c r="E2651" s="130" t="s">
        <v>5320</v>
      </c>
      <c r="F2651" s="130" t="s">
        <v>5008</v>
      </c>
      <c r="G2651" s="130">
        <v>5000</v>
      </c>
      <c r="H2651" s="130">
        <v>35000</v>
      </c>
      <c r="I2651" s="130" t="s">
        <v>5004</v>
      </c>
    </row>
    <row r="2652" spans="2:9">
      <c r="B2652" s="129"/>
      <c r="C2652" s="130"/>
      <c r="D2652" s="130"/>
      <c r="E2652" s="130"/>
      <c r="F2652" s="130"/>
      <c r="G2652" s="130"/>
      <c r="H2652" s="130"/>
      <c r="I2652" s="130"/>
    </row>
    <row r="2653" spans="2:9">
      <c r="B2653" s="129"/>
      <c r="C2653" s="130"/>
      <c r="D2653" s="130"/>
      <c r="E2653" s="130"/>
      <c r="F2653" s="130"/>
      <c r="G2653" s="130"/>
      <c r="H2653" s="130"/>
      <c r="I2653" s="130"/>
    </row>
    <row r="2654" spans="2:9">
      <c r="B2654" s="129">
        <v>878</v>
      </c>
      <c r="C2654" s="130" t="s">
        <v>5071</v>
      </c>
      <c r="D2654" s="130" t="s">
        <v>5340</v>
      </c>
      <c r="E2654" s="130" t="s">
        <v>5320</v>
      </c>
      <c r="F2654" s="130" t="s">
        <v>5111</v>
      </c>
      <c r="G2654" s="130">
        <v>35000</v>
      </c>
      <c r="H2654" s="130" t="s">
        <v>5037</v>
      </c>
      <c r="I2654" s="130" t="s">
        <v>5004</v>
      </c>
    </row>
    <row r="2655" spans="2:9">
      <c r="B2655" s="129"/>
      <c r="C2655" s="130"/>
      <c r="D2655" s="130"/>
      <c r="E2655" s="130"/>
      <c r="F2655" s="130"/>
      <c r="G2655" s="130"/>
      <c r="H2655" s="130"/>
      <c r="I2655" s="130"/>
    </row>
    <row r="2656" spans="2:9">
      <c r="B2656" s="129"/>
      <c r="C2656" s="130"/>
      <c r="D2656" s="130"/>
      <c r="E2656" s="130"/>
      <c r="F2656" s="130"/>
      <c r="G2656" s="130"/>
      <c r="H2656" s="130"/>
      <c r="I2656" s="130"/>
    </row>
    <row r="2657" spans="2:9">
      <c r="B2657" s="129">
        <v>879</v>
      </c>
      <c r="C2657" s="130" t="s">
        <v>5125</v>
      </c>
      <c r="D2657" s="130" t="s">
        <v>5340</v>
      </c>
      <c r="E2657" s="130" t="s">
        <v>5198</v>
      </c>
      <c r="F2657" s="130" t="s">
        <v>5196</v>
      </c>
      <c r="G2657" s="130">
        <v>500000</v>
      </c>
      <c r="H2657" s="130" t="s">
        <v>5037</v>
      </c>
      <c r="I2657" s="130" t="s">
        <v>5004</v>
      </c>
    </row>
    <row r="2658" spans="2:9">
      <c r="B2658" s="129"/>
      <c r="C2658" s="130"/>
      <c r="D2658" s="130"/>
      <c r="E2658" s="130"/>
      <c r="F2658" s="130"/>
      <c r="G2658" s="130"/>
      <c r="H2658" s="130"/>
      <c r="I2658" s="130"/>
    </row>
    <row r="2659" spans="2:9">
      <c r="B2659" s="129"/>
      <c r="C2659" s="130"/>
      <c r="D2659" s="130"/>
      <c r="E2659" s="130"/>
      <c r="F2659" s="130"/>
      <c r="G2659" s="130"/>
      <c r="H2659" s="130"/>
      <c r="I2659" s="130"/>
    </row>
    <row r="2660" spans="2:9">
      <c r="B2660" s="129">
        <v>880</v>
      </c>
      <c r="C2660" s="130" t="s">
        <v>5125</v>
      </c>
      <c r="D2660" s="130" t="s">
        <v>5340</v>
      </c>
      <c r="E2660" s="130" t="s">
        <v>5198</v>
      </c>
      <c r="F2660" s="130" t="s">
        <v>5290</v>
      </c>
      <c r="G2660" s="130">
        <v>500000</v>
      </c>
      <c r="H2660" s="130" t="s">
        <v>5037</v>
      </c>
      <c r="I2660" s="130" t="s">
        <v>5004</v>
      </c>
    </row>
    <row r="2661" spans="2:9">
      <c r="B2661" s="129"/>
      <c r="C2661" s="130"/>
      <c r="D2661" s="130"/>
      <c r="E2661" s="130"/>
      <c r="F2661" s="130"/>
      <c r="G2661" s="130"/>
      <c r="H2661" s="130"/>
      <c r="I2661" s="130"/>
    </row>
    <row r="2662" spans="2:9">
      <c r="B2662" s="129"/>
      <c r="C2662" s="130"/>
      <c r="D2662" s="130"/>
      <c r="E2662" s="130"/>
      <c r="F2662" s="130"/>
      <c r="G2662" s="130"/>
      <c r="H2662" s="130"/>
      <c r="I2662" s="130"/>
    </row>
    <row r="2663" spans="2:9">
      <c r="B2663" s="129">
        <v>881</v>
      </c>
      <c r="C2663" s="130" t="s">
        <v>5128</v>
      </c>
      <c r="D2663" s="130" t="s">
        <v>5340</v>
      </c>
      <c r="E2663" s="130" t="s">
        <v>5127</v>
      </c>
      <c r="F2663" s="130" t="s">
        <v>5111</v>
      </c>
      <c r="G2663" s="130">
        <v>10000</v>
      </c>
      <c r="H2663" s="130">
        <v>49999</v>
      </c>
      <c r="I2663" s="130" t="s">
        <v>5013</v>
      </c>
    </row>
    <row r="2664" spans="2:9">
      <c r="B2664" s="129"/>
      <c r="C2664" s="130"/>
      <c r="D2664" s="130"/>
      <c r="E2664" s="130"/>
      <c r="F2664" s="130"/>
      <c r="G2664" s="130"/>
      <c r="H2664" s="130"/>
      <c r="I2664" s="130"/>
    </row>
    <row r="2665" spans="2:9">
      <c r="B2665" s="129"/>
      <c r="C2665" s="130"/>
      <c r="D2665" s="130"/>
      <c r="E2665" s="130"/>
      <c r="F2665" s="130"/>
      <c r="G2665" s="130"/>
      <c r="H2665" s="130"/>
      <c r="I2665" s="130"/>
    </row>
    <row r="2666" spans="2:9">
      <c r="B2666" s="129">
        <v>882</v>
      </c>
      <c r="C2666" s="130" t="s">
        <v>5128</v>
      </c>
      <c r="D2666" s="130" t="s">
        <v>5340</v>
      </c>
      <c r="E2666" s="130" t="s">
        <v>5127</v>
      </c>
      <c r="F2666" s="130" t="s">
        <v>5310</v>
      </c>
      <c r="G2666" s="130">
        <v>50000</v>
      </c>
      <c r="H2666" s="130" t="s">
        <v>5037</v>
      </c>
      <c r="I2666" s="130" t="s">
        <v>5013</v>
      </c>
    </row>
    <row r="2667" spans="2:9">
      <c r="B2667" s="129"/>
      <c r="C2667" s="130"/>
      <c r="D2667" s="130"/>
      <c r="E2667" s="130"/>
      <c r="F2667" s="130"/>
      <c r="G2667" s="130"/>
      <c r="H2667" s="130"/>
      <c r="I2667" s="130"/>
    </row>
    <row r="2668" spans="2:9">
      <c r="B2668" s="129"/>
      <c r="C2668" s="130"/>
      <c r="D2668" s="130"/>
      <c r="E2668" s="130"/>
      <c r="F2668" s="130"/>
      <c r="G2668" s="130"/>
      <c r="H2668" s="130"/>
      <c r="I2668" s="130"/>
    </row>
    <row r="2669" spans="2:9">
      <c r="B2669" s="129">
        <v>883</v>
      </c>
      <c r="C2669" s="130" t="s">
        <v>5128</v>
      </c>
      <c r="D2669" s="130" t="s">
        <v>5340</v>
      </c>
      <c r="E2669" s="130" t="s">
        <v>5127</v>
      </c>
      <c r="F2669" s="130" t="s">
        <v>5311</v>
      </c>
      <c r="G2669" s="130">
        <v>50000</v>
      </c>
      <c r="H2669" s="130" t="s">
        <v>5037</v>
      </c>
      <c r="I2669" s="130" t="s">
        <v>5013</v>
      </c>
    </row>
    <row r="2670" spans="2:9">
      <c r="B2670" s="129"/>
      <c r="C2670" s="130"/>
      <c r="D2670" s="130"/>
      <c r="E2670" s="130"/>
      <c r="F2670" s="130"/>
      <c r="G2670" s="130"/>
      <c r="H2670" s="130"/>
      <c r="I2670" s="130"/>
    </row>
    <row r="2671" spans="2:9">
      <c r="B2671" s="129"/>
      <c r="C2671" s="130"/>
      <c r="D2671" s="130"/>
      <c r="E2671" s="130"/>
      <c r="F2671" s="130"/>
      <c r="G2671" s="130"/>
      <c r="H2671" s="130"/>
      <c r="I2671" s="130"/>
    </row>
    <row r="2672" spans="2:9">
      <c r="B2672" s="129">
        <v>884</v>
      </c>
      <c r="C2672" s="130" t="s">
        <v>5095</v>
      </c>
      <c r="D2672" s="130" t="s">
        <v>5340</v>
      </c>
      <c r="E2672" s="130" t="s">
        <v>5205</v>
      </c>
      <c r="F2672" s="130" t="s">
        <v>5196</v>
      </c>
      <c r="G2672" s="130">
        <v>25000</v>
      </c>
      <c r="H2672" s="130">
        <v>49999</v>
      </c>
      <c r="I2672" s="130" t="s">
        <v>5004</v>
      </c>
    </row>
    <row r="2673" spans="2:9">
      <c r="B2673" s="129"/>
      <c r="C2673" s="130"/>
      <c r="D2673" s="130"/>
      <c r="E2673" s="130"/>
      <c r="F2673" s="130"/>
      <c r="G2673" s="130"/>
      <c r="H2673" s="130"/>
      <c r="I2673" s="130"/>
    </row>
    <row r="2674" spans="2:9">
      <c r="B2674" s="129"/>
      <c r="C2674" s="130"/>
      <c r="D2674" s="130"/>
      <c r="E2674" s="130"/>
      <c r="F2674" s="130"/>
      <c r="G2674" s="130"/>
      <c r="H2674" s="130"/>
      <c r="I2674" s="130"/>
    </row>
    <row r="2675" spans="2:9">
      <c r="B2675" s="129">
        <v>885</v>
      </c>
      <c r="C2675" s="130" t="s">
        <v>5095</v>
      </c>
      <c r="D2675" s="130" t="s">
        <v>5340</v>
      </c>
      <c r="E2675" s="130" t="s">
        <v>5205</v>
      </c>
      <c r="F2675" s="130" t="s">
        <v>5290</v>
      </c>
      <c r="G2675" s="130">
        <v>25000</v>
      </c>
      <c r="H2675" s="130">
        <v>49999</v>
      </c>
      <c r="I2675" s="130" t="s">
        <v>5004</v>
      </c>
    </row>
    <row r="2676" spans="2:9">
      <c r="B2676" s="129"/>
      <c r="C2676" s="130"/>
      <c r="D2676" s="130"/>
      <c r="E2676" s="130"/>
      <c r="F2676" s="130"/>
      <c r="G2676" s="130"/>
      <c r="H2676" s="130"/>
      <c r="I2676" s="130"/>
    </row>
    <row r="2677" spans="2:9">
      <c r="B2677" s="129"/>
      <c r="C2677" s="130"/>
      <c r="D2677" s="130"/>
      <c r="E2677" s="130"/>
      <c r="F2677" s="130"/>
      <c r="G2677" s="130"/>
      <c r="H2677" s="130"/>
      <c r="I2677" s="130"/>
    </row>
    <row r="2678" spans="2:9">
      <c r="B2678" s="129">
        <v>886</v>
      </c>
      <c r="C2678" s="130" t="s">
        <v>5095</v>
      </c>
      <c r="D2678" s="130" t="s">
        <v>5340</v>
      </c>
      <c r="E2678" s="130" t="s">
        <v>5205</v>
      </c>
      <c r="F2678" s="130" t="s">
        <v>5226</v>
      </c>
      <c r="G2678" s="130">
        <v>25000</v>
      </c>
      <c r="H2678" s="130">
        <v>49999</v>
      </c>
      <c r="I2678" s="130" t="s">
        <v>5004</v>
      </c>
    </row>
    <row r="2679" spans="2:9">
      <c r="B2679" s="129"/>
      <c r="C2679" s="130"/>
      <c r="D2679" s="130"/>
      <c r="E2679" s="130"/>
      <c r="F2679" s="130"/>
      <c r="G2679" s="130"/>
      <c r="H2679" s="130"/>
      <c r="I2679" s="130"/>
    </row>
    <row r="2680" spans="2:9">
      <c r="B2680" s="129"/>
      <c r="C2680" s="130"/>
      <c r="D2680" s="130"/>
      <c r="E2680" s="130"/>
      <c r="F2680" s="130"/>
      <c r="G2680" s="130"/>
      <c r="H2680" s="130"/>
      <c r="I2680" s="130"/>
    </row>
    <row r="2681" spans="2:9">
      <c r="B2681" s="129">
        <v>887</v>
      </c>
      <c r="C2681" s="130" t="s">
        <v>5095</v>
      </c>
      <c r="D2681" s="130" t="s">
        <v>5340</v>
      </c>
      <c r="E2681" s="130" t="s">
        <v>5205</v>
      </c>
      <c r="F2681" s="130" t="s">
        <v>5288</v>
      </c>
      <c r="G2681" s="130">
        <v>25000</v>
      </c>
      <c r="H2681" s="130">
        <v>49999</v>
      </c>
      <c r="I2681" s="130" t="s">
        <v>5004</v>
      </c>
    </row>
    <row r="2682" spans="2:9">
      <c r="B2682" s="129"/>
      <c r="C2682" s="130"/>
      <c r="D2682" s="130"/>
      <c r="E2682" s="130"/>
      <c r="F2682" s="130"/>
      <c r="G2682" s="130"/>
      <c r="H2682" s="130"/>
      <c r="I2682" s="130"/>
    </row>
    <row r="2683" spans="2:9">
      <c r="B2683" s="129"/>
      <c r="C2683" s="130"/>
      <c r="D2683" s="130"/>
      <c r="E2683" s="130"/>
      <c r="F2683" s="130"/>
      <c r="G2683" s="130"/>
      <c r="H2683" s="130"/>
      <c r="I2683" s="130"/>
    </row>
    <row r="2684" spans="2:9">
      <c r="B2684" s="129">
        <v>888</v>
      </c>
      <c r="C2684" s="130" t="s">
        <v>5208</v>
      </c>
      <c r="D2684" s="130" t="s">
        <v>5340</v>
      </c>
      <c r="E2684" s="130" t="s">
        <v>5341</v>
      </c>
      <c r="F2684" s="130" t="s">
        <v>5026</v>
      </c>
      <c r="G2684" s="130">
        <v>500</v>
      </c>
      <c r="H2684" s="130" t="s">
        <v>5037</v>
      </c>
      <c r="I2684" s="130" t="s">
        <v>5004</v>
      </c>
    </row>
    <row r="2685" spans="2:9">
      <c r="B2685" s="129"/>
      <c r="C2685" s="130"/>
      <c r="D2685" s="130"/>
      <c r="E2685" s="130"/>
      <c r="F2685" s="130"/>
      <c r="G2685" s="130"/>
      <c r="H2685" s="130"/>
      <c r="I2685" s="130"/>
    </row>
    <row r="2686" spans="2:9">
      <c r="B2686" s="129"/>
      <c r="C2686" s="130"/>
      <c r="D2686" s="130"/>
      <c r="E2686" s="130"/>
      <c r="F2686" s="130"/>
      <c r="G2686" s="130"/>
      <c r="H2686" s="130"/>
      <c r="I2686" s="130"/>
    </row>
    <row r="2687" spans="2:9">
      <c r="B2687" s="129">
        <v>889</v>
      </c>
      <c r="C2687" s="130" t="s">
        <v>5071</v>
      </c>
      <c r="D2687" s="130" t="s">
        <v>5342</v>
      </c>
      <c r="E2687" s="130" t="s">
        <v>5320</v>
      </c>
      <c r="F2687" s="130" t="s">
        <v>5310</v>
      </c>
      <c r="G2687" s="130">
        <v>35000</v>
      </c>
      <c r="H2687" s="130" t="s">
        <v>5037</v>
      </c>
      <c r="I2687" s="130" t="s">
        <v>5004</v>
      </c>
    </row>
    <row r="2688" spans="2:9">
      <c r="B2688" s="129"/>
      <c r="C2688" s="130"/>
      <c r="D2688" s="130"/>
      <c r="E2688" s="130"/>
      <c r="F2688" s="130"/>
      <c r="G2688" s="130"/>
      <c r="H2688" s="130"/>
      <c r="I2688" s="130"/>
    </row>
    <row r="2689" spans="2:9">
      <c r="B2689" s="129"/>
      <c r="C2689" s="130"/>
      <c r="D2689" s="130"/>
      <c r="E2689" s="130"/>
      <c r="F2689" s="130"/>
      <c r="G2689" s="130"/>
      <c r="H2689" s="130"/>
      <c r="I2689" s="130"/>
    </row>
    <row r="2690" spans="2:9">
      <c r="B2690" s="129">
        <v>890</v>
      </c>
      <c r="C2690" s="130" t="s">
        <v>5071</v>
      </c>
      <c r="D2690" s="130" t="s">
        <v>5342</v>
      </c>
      <c r="E2690" s="130" t="s">
        <v>5320</v>
      </c>
      <c r="F2690" s="130" t="s">
        <v>5003</v>
      </c>
      <c r="G2690" s="130">
        <v>5000</v>
      </c>
      <c r="H2690" s="130">
        <v>35000</v>
      </c>
      <c r="I2690" s="130" t="s">
        <v>5004</v>
      </c>
    </row>
    <row r="2691" spans="2:9">
      <c r="B2691" s="129"/>
      <c r="C2691" s="130"/>
      <c r="D2691" s="130"/>
      <c r="E2691" s="130"/>
      <c r="F2691" s="130"/>
      <c r="G2691" s="130"/>
      <c r="H2691" s="130"/>
      <c r="I2691" s="130"/>
    </row>
    <row r="2692" spans="2:9">
      <c r="B2692" s="129"/>
      <c r="C2692" s="130"/>
      <c r="D2692" s="130"/>
      <c r="E2692" s="130"/>
      <c r="F2692" s="130"/>
      <c r="G2692" s="130"/>
      <c r="H2692" s="130"/>
      <c r="I2692" s="130"/>
    </row>
    <row r="2693" spans="2:9">
      <c r="B2693" s="129">
        <v>891</v>
      </c>
      <c r="C2693" s="130" t="s">
        <v>5071</v>
      </c>
      <c r="D2693" s="130" t="s">
        <v>5342</v>
      </c>
      <c r="E2693" s="130" t="s">
        <v>5320</v>
      </c>
      <c r="F2693" s="130" t="s">
        <v>5310</v>
      </c>
      <c r="G2693" s="130">
        <v>35000</v>
      </c>
      <c r="H2693" s="130" t="s">
        <v>5037</v>
      </c>
      <c r="I2693" s="130" t="s">
        <v>5004</v>
      </c>
    </row>
    <row r="2694" spans="2:9">
      <c r="B2694" s="129"/>
      <c r="C2694" s="130"/>
      <c r="D2694" s="130"/>
      <c r="E2694" s="130"/>
      <c r="F2694" s="130"/>
      <c r="G2694" s="130"/>
      <c r="H2694" s="130"/>
      <c r="I2694" s="130"/>
    </row>
    <row r="2695" spans="2:9">
      <c r="B2695" s="129"/>
      <c r="C2695" s="130"/>
      <c r="D2695" s="130"/>
      <c r="E2695" s="130"/>
      <c r="F2695" s="130"/>
      <c r="G2695" s="130"/>
      <c r="H2695" s="130"/>
      <c r="I2695" s="130"/>
    </row>
    <row r="2696" spans="2:9">
      <c r="B2696" s="129">
        <v>892</v>
      </c>
      <c r="C2696" s="130" t="s">
        <v>5071</v>
      </c>
      <c r="D2696" s="130" t="s">
        <v>5342</v>
      </c>
      <c r="E2696" s="130" t="s">
        <v>5320</v>
      </c>
      <c r="F2696" s="130" t="s">
        <v>5003</v>
      </c>
      <c r="G2696" s="130">
        <v>5000</v>
      </c>
      <c r="H2696" s="130">
        <v>35000</v>
      </c>
      <c r="I2696" s="130" t="s">
        <v>5004</v>
      </c>
    </row>
    <row r="2697" spans="2:9">
      <c r="B2697" s="129"/>
      <c r="C2697" s="130"/>
      <c r="D2697" s="130"/>
      <c r="E2697" s="130"/>
      <c r="F2697" s="130"/>
      <c r="G2697" s="130"/>
      <c r="H2697" s="130"/>
      <c r="I2697" s="130"/>
    </row>
    <row r="2698" spans="2:9">
      <c r="B2698" s="129"/>
      <c r="C2698" s="130"/>
      <c r="D2698" s="130"/>
      <c r="E2698" s="130"/>
      <c r="F2698" s="130"/>
      <c r="G2698" s="130"/>
      <c r="H2698" s="130"/>
      <c r="I2698" s="130"/>
    </row>
    <row r="2699" spans="2:9">
      <c r="B2699" s="129">
        <v>893</v>
      </c>
      <c r="C2699" s="130" t="s">
        <v>5125</v>
      </c>
      <c r="D2699" s="130" t="s">
        <v>5342</v>
      </c>
      <c r="E2699" s="130" t="s">
        <v>5198</v>
      </c>
      <c r="F2699" s="130" t="s">
        <v>5196</v>
      </c>
      <c r="G2699" s="130">
        <v>100000</v>
      </c>
      <c r="H2699" s="130">
        <v>500000</v>
      </c>
      <c r="I2699" s="130" t="s">
        <v>5004</v>
      </c>
    </row>
    <row r="2700" spans="2:9">
      <c r="B2700" s="129"/>
      <c r="C2700" s="130"/>
      <c r="D2700" s="130"/>
      <c r="E2700" s="130"/>
      <c r="F2700" s="130"/>
      <c r="G2700" s="130"/>
      <c r="H2700" s="130"/>
      <c r="I2700" s="130"/>
    </row>
    <row r="2701" spans="2:9">
      <c r="B2701" s="129"/>
      <c r="C2701" s="130"/>
      <c r="D2701" s="130"/>
      <c r="E2701" s="130"/>
      <c r="F2701" s="130"/>
      <c r="G2701" s="130"/>
      <c r="H2701" s="130"/>
      <c r="I2701" s="130"/>
    </row>
    <row r="2702" spans="2:9">
      <c r="B2702" s="129">
        <v>894</v>
      </c>
      <c r="C2702" s="130" t="s">
        <v>5125</v>
      </c>
      <c r="D2702" s="130" t="s">
        <v>5342</v>
      </c>
      <c r="E2702" s="130" t="s">
        <v>5198</v>
      </c>
      <c r="F2702" s="130" t="s">
        <v>5290</v>
      </c>
      <c r="G2702" s="130">
        <v>100000</v>
      </c>
      <c r="H2702" s="130">
        <v>500000</v>
      </c>
      <c r="I2702" s="130" t="s">
        <v>5004</v>
      </c>
    </row>
    <row r="2703" spans="2:9">
      <c r="B2703" s="129"/>
      <c r="C2703" s="130"/>
      <c r="D2703" s="130"/>
      <c r="E2703" s="130"/>
      <c r="F2703" s="130"/>
      <c r="G2703" s="130"/>
      <c r="H2703" s="130"/>
      <c r="I2703" s="130"/>
    </row>
    <row r="2704" spans="2:9">
      <c r="B2704" s="129"/>
      <c r="C2704" s="130"/>
      <c r="D2704" s="130"/>
      <c r="E2704" s="130"/>
      <c r="F2704" s="130"/>
      <c r="G2704" s="130"/>
      <c r="H2704" s="130"/>
      <c r="I2704" s="130"/>
    </row>
    <row r="2705" spans="2:9">
      <c r="B2705" s="129">
        <v>895</v>
      </c>
      <c r="C2705" s="130" t="s">
        <v>5301</v>
      </c>
      <c r="D2705" s="130" t="s">
        <v>5342</v>
      </c>
      <c r="E2705" s="130" t="s">
        <v>5302</v>
      </c>
      <c r="F2705" s="130" t="s">
        <v>5111</v>
      </c>
      <c r="G2705" s="130">
        <v>1000</v>
      </c>
      <c r="H2705" s="130">
        <v>49999</v>
      </c>
      <c r="I2705" s="130" t="s">
        <v>5004</v>
      </c>
    </row>
    <row r="2706" spans="2:9">
      <c r="B2706" s="129"/>
      <c r="C2706" s="130"/>
      <c r="D2706" s="130"/>
      <c r="E2706" s="130"/>
      <c r="F2706" s="130"/>
      <c r="G2706" s="130"/>
      <c r="H2706" s="130"/>
      <c r="I2706" s="130"/>
    </row>
    <row r="2707" spans="2:9">
      <c r="B2707" s="129"/>
      <c r="C2707" s="130"/>
      <c r="D2707" s="130"/>
      <c r="E2707" s="130"/>
      <c r="F2707" s="130"/>
      <c r="G2707" s="130"/>
      <c r="H2707" s="130"/>
      <c r="I2707" s="130"/>
    </row>
    <row r="2708" spans="2:9">
      <c r="B2708" s="129">
        <v>896</v>
      </c>
      <c r="C2708" s="130" t="s">
        <v>5301</v>
      </c>
      <c r="D2708" s="130" t="s">
        <v>5342</v>
      </c>
      <c r="E2708" s="130" t="s">
        <v>5133</v>
      </c>
      <c r="F2708" s="130" t="s">
        <v>5026</v>
      </c>
      <c r="G2708" s="130">
        <v>100000</v>
      </c>
      <c r="H2708" s="130" t="s">
        <v>5037</v>
      </c>
      <c r="I2708" s="130" t="s">
        <v>5004</v>
      </c>
    </row>
    <row r="2709" spans="2:9">
      <c r="B2709" s="129"/>
      <c r="C2709" s="130"/>
      <c r="D2709" s="130"/>
      <c r="E2709" s="130"/>
      <c r="F2709" s="130"/>
      <c r="G2709" s="130"/>
      <c r="H2709" s="130"/>
      <c r="I2709" s="130"/>
    </row>
    <row r="2710" spans="2:9">
      <c r="B2710" s="129"/>
      <c r="C2710" s="130"/>
      <c r="D2710" s="130"/>
      <c r="E2710" s="130"/>
      <c r="F2710" s="130"/>
      <c r="G2710" s="130"/>
      <c r="H2710" s="130"/>
      <c r="I2710" s="130"/>
    </row>
    <row r="2711" spans="2:9">
      <c r="B2711" s="129">
        <v>897</v>
      </c>
      <c r="C2711" s="130" t="s">
        <v>5208</v>
      </c>
      <c r="D2711" s="130" t="s">
        <v>5342</v>
      </c>
      <c r="E2711" s="130" t="s">
        <v>5132</v>
      </c>
      <c r="F2711" s="130" t="s">
        <v>5033</v>
      </c>
      <c r="G2711" s="130">
        <v>10000</v>
      </c>
      <c r="H2711" s="130">
        <v>49999</v>
      </c>
      <c r="I2711" s="130" t="s">
        <v>5004</v>
      </c>
    </row>
    <row r="2712" spans="2:9">
      <c r="B2712" s="129"/>
      <c r="C2712" s="130"/>
      <c r="D2712" s="130"/>
      <c r="E2712" s="130"/>
      <c r="F2712" s="130"/>
      <c r="G2712" s="130"/>
      <c r="H2712" s="130"/>
      <c r="I2712" s="130"/>
    </row>
    <row r="2713" spans="2:9">
      <c r="B2713" s="129"/>
      <c r="C2713" s="130"/>
      <c r="D2713" s="130"/>
      <c r="E2713" s="130"/>
      <c r="F2713" s="130"/>
      <c r="G2713" s="130"/>
      <c r="H2713" s="130"/>
      <c r="I2713" s="130"/>
    </row>
    <row r="2714" spans="2:9">
      <c r="B2714" s="129">
        <v>898</v>
      </c>
      <c r="C2714" s="130" t="s">
        <v>5071</v>
      </c>
      <c r="D2714" s="130" t="s">
        <v>5343</v>
      </c>
      <c r="E2714" s="130" t="s">
        <v>5320</v>
      </c>
      <c r="F2714" s="130" t="s">
        <v>5288</v>
      </c>
      <c r="G2714" s="130">
        <v>35000</v>
      </c>
      <c r="H2714" s="130" t="s">
        <v>5037</v>
      </c>
      <c r="I2714" s="130" t="s">
        <v>5004</v>
      </c>
    </row>
    <row r="2715" spans="2:9">
      <c r="B2715" s="129"/>
      <c r="C2715" s="130"/>
      <c r="D2715" s="130"/>
      <c r="E2715" s="130"/>
      <c r="F2715" s="130"/>
      <c r="G2715" s="130"/>
      <c r="H2715" s="130"/>
      <c r="I2715" s="130"/>
    </row>
    <row r="2716" spans="2:9">
      <c r="B2716" s="129"/>
      <c r="C2716" s="130"/>
      <c r="D2716" s="130"/>
      <c r="E2716" s="130"/>
      <c r="F2716" s="130"/>
      <c r="G2716" s="130"/>
      <c r="H2716" s="130"/>
      <c r="I2716" s="130"/>
    </row>
    <row r="2717" spans="2:9">
      <c r="B2717" s="129">
        <v>899</v>
      </c>
      <c r="C2717" s="130" t="s">
        <v>5071</v>
      </c>
      <c r="D2717" s="130" t="s">
        <v>5343</v>
      </c>
      <c r="E2717" s="130" t="s">
        <v>5320</v>
      </c>
      <c r="F2717" s="130" t="s">
        <v>5111</v>
      </c>
      <c r="G2717" s="130">
        <v>5000</v>
      </c>
      <c r="H2717" s="130">
        <v>35000</v>
      </c>
      <c r="I2717" s="130" t="s">
        <v>5004</v>
      </c>
    </row>
    <row r="2718" spans="2:9">
      <c r="B2718" s="129"/>
      <c r="C2718" s="130"/>
      <c r="D2718" s="130"/>
      <c r="E2718" s="130"/>
      <c r="F2718" s="130"/>
      <c r="G2718" s="130"/>
      <c r="H2718" s="130"/>
      <c r="I2718" s="130"/>
    </row>
    <row r="2719" spans="2:9">
      <c r="B2719" s="129"/>
      <c r="C2719" s="130"/>
      <c r="D2719" s="130"/>
      <c r="E2719" s="130"/>
      <c r="F2719" s="130"/>
      <c r="G2719" s="130"/>
      <c r="H2719" s="130"/>
      <c r="I2719" s="130"/>
    </row>
    <row r="2720" spans="2:9">
      <c r="B2720" s="129">
        <v>900</v>
      </c>
      <c r="C2720" s="130" t="s">
        <v>5071</v>
      </c>
      <c r="D2720" s="130" t="s">
        <v>5343</v>
      </c>
      <c r="E2720" s="130" t="s">
        <v>5320</v>
      </c>
      <c r="F2720" s="130" t="s">
        <v>5288</v>
      </c>
      <c r="G2720" s="130">
        <v>35000</v>
      </c>
      <c r="H2720" s="130" t="s">
        <v>5037</v>
      </c>
      <c r="I2720" s="130" t="s">
        <v>5004</v>
      </c>
    </row>
    <row r="2721" spans="2:9">
      <c r="B2721" s="129"/>
      <c r="C2721" s="130"/>
      <c r="D2721" s="130"/>
      <c r="E2721" s="130"/>
      <c r="F2721" s="130"/>
      <c r="G2721" s="130"/>
      <c r="H2721" s="130"/>
      <c r="I2721" s="130"/>
    </row>
    <row r="2722" spans="2:9">
      <c r="B2722" s="129"/>
      <c r="C2722" s="130"/>
      <c r="D2722" s="130"/>
      <c r="E2722" s="130"/>
      <c r="F2722" s="130"/>
      <c r="G2722" s="130"/>
      <c r="H2722" s="130"/>
      <c r="I2722" s="130"/>
    </row>
    <row r="2723" spans="2:9">
      <c r="B2723" s="129">
        <v>901</v>
      </c>
      <c r="C2723" s="130" t="s">
        <v>5071</v>
      </c>
      <c r="D2723" s="130" t="s">
        <v>5343</v>
      </c>
      <c r="E2723" s="130" t="s">
        <v>5320</v>
      </c>
      <c r="F2723" s="130" t="s">
        <v>5111</v>
      </c>
      <c r="G2723" s="130">
        <v>5000</v>
      </c>
      <c r="H2723" s="130">
        <v>35000</v>
      </c>
      <c r="I2723" s="130" t="s">
        <v>5004</v>
      </c>
    </row>
    <row r="2724" spans="2:9">
      <c r="B2724" s="129"/>
      <c r="C2724" s="130"/>
      <c r="D2724" s="130"/>
      <c r="E2724" s="130"/>
      <c r="F2724" s="130"/>
      <c r="G2724" s="130"/>
      <c r="H2724" s="130"/>
      <c r="I2724" s="130"/>
    </row>
    <row r="2725" spans="2:9">
      <c r="B2725" s="129"/>
      <c r="C2725" s="130"/>
      <c r="D2725" s="130"/>
      <c r="E2725" s="130"/>
      <c r="F2725" s="130"/>
      <c r="G2725" s="130"/>
      <c r="H2725" s="130"/>
      <c r="I2725" s="130"/>
    </row>
    <row r="2726" spans="2:9">
      <c r="B2726" s="129">
        <v>902</v>
      </c>
      <c r="C2726" s="130" t="s">
        <v>5125</v>
      </c>
      <c r="D2726" s="130" t="s">
        <v>5343</v>
      </c>
      <c r="E2726" s="130" t="s">
        <v>5198</v>
      </c>
      <c r="F2726" s="130" t="s">
        <v>5196</v>
      </c>
      <c r="G2726" s="130">
        <v>1000</v>
      </c>
      <c r="H2726" s="130">
        <v>100000</v>
      </c>
      <c r="I2726" s="130" t="s">
        <v>5004</v>
      </c>
    </row>
    <row r="2727" spans="2:9">
      <c r="B2727" s="129"/>
      <c r="C2727" s="130"/>
      <c r="D2727" s="130"/>
      <c r="E2727" s="130"/>
      <c r="F2727" s="130"/>
      <c r="G2727" s="130"/>
      <c r="H2727" s="130"/>
      <c r="I2727" s="130"/>
    </row>
    <row r="2728" spans="2:9">
      <c r="B2728" s="129"/>
      <c r="C2728" s="130"/>
      <c r="D2728" s="130"/>
      <c r="E2728" s="130"/>
      <c r="F2728" s="130"/>
      <c r="G2728" s="130"/>
      <c r="H2728" s="130"/>
      <c r="I2728" s="130"/>
    </row>
    <row r="2729" spans="2:9">
      <c r="B2729" s="129">
        <v>903</v>
      </c>
      <c r="C2729" s="130" t="s">
        <v>5125</v>
      </c>
      <c r="D2729" s="130" t="s">
        <v>5343</v>
      </c>
      <c r="E2729" s="130" t="s">
        <v>5198</v>
      </c>
      <c r="F2729" s="130" t="s">
        <v>5290</v>
      </c>
      <c r="G2729" s="130">
        <v>1000</v>
      </c>
      <c r="H2729" s="130">
        <v>100000</v>
      </c>
      <c r="I2729" s="130" t="s">
        <v>5004</v>
      </c>
    </row>
    <row r="2730" spans="2:9">
      <c r="B2730" s="129"/>
      <c r="C2730" s="130"/>
      <c r="D2730" s="130"/>
      <c r="E2730" s="130"/>
      <c r="F2730" s="130"/>
      <c r="G2730" s="130"/>
      <c r="H2730" s="130"/>
      <c r="I2730" s="130"/>
    </row>
    <row r="2731" spans="2:9">
      <c r="B2731" s="129"/>
      <c r="C2731" s="130"/>
      <c r="D2731" s="130"/>
      <c r="E2731" s="130"/>
      <c r="F2731" s="130"/>
      <c r="G2731" s="130"/>
      <c r="H2731" s="130"/>
      <c r="I2731" s="130"/>
    </row>
    <row r="2732" spans="2:9">
      <c r="B2732" s="129">
        <v>904</v>
      </c>
      <c r="C2732" s="130" t="s">
        <v>5128</v>
      </c>
      <c r="D2732" s="130" t="s">
        <v>5343</v>
      </c>
      <c r="E2732" s="130" t="s">
        <v>5129</v>
      </c>
      <c r="F2732" s="130" t="s">
        <v>5290</v>
      </c>
      <c r="G2732" s="130">
        <v>1000</v>
      </c>
      <c r="H2732" s="130" t="s">
        <v>5037</v>
      </c>
      <c r="I2732" s="130" t="s">
        <v>5004</v>
      </c>
    </row>
    <row r="2733" spans="2:9">
      <c r="B2733" s="129"/>
      <c r="C2733" s="130"/>
      <c r="D2733" s="130"/>
      <c r="E2733" s="130"/>
      <c r="F2733" s="130"/>
      <c r="G2733" s="130"/>
      <c r="H2733" s="130"/>
      <c r="I2733" s="130"/>
    </row>
    <row r="2734" spans="2:9">
      <c r="B2734" s="129"/>
      <c r="C2734" s="130"/>
      <c r="D2734" s="130"/>
      <c r="E2734" s="130"/>
      <c r="F2734" s="130"/>
      <c r="G2734" s="130"/>
      <c r="H2734" s="130"/>
      <c r="I2734" s="130"/>
    </row>
    <row r="2735" spans="2:9">
      <c r="B2735" s="129">
        <v>905</v>
      </c>
      <c r="C2735" s="130" t="s">
        <v>5128</v>
      </c>
      <c r="D2735" s="130" t="s">
        <v>5343</v>
      </c>
      <c r="E2735" s="130" t="s">
        <v>5127</v>
      </c>
      <c r="F2735" s="130" t="s">
        <v>5290</v>
      </c>
      <c r="G2735" s="130">
        <v>50000</v>
      </c>
      <c r="H2735" s="130" t="s">
        <v>5037</v>
      </c>
      <c r="I2735" s="130" t="s">
        <v>5013</v>
      </c>
    </row>
    <row r="2736" spans="2:9">
      <c r="B2736" s="129"/>
      <c r="C2736" s="130"/>
      <c r="D2736" s="130"/>
      <c r="E2736" s="130"/>
      <c r="F2736" s="130"/>
      <c r="G2736" s="130"/>
      <c r="H2736" s="130"/>
      <c r="I2736" s="130"/>
    </row>
    <row r="2737" spans="2:9">
      <c r="B2737" s="129"/>
      <c r="C2737" s="130"/>
      <c r="D2737" s="130"/>
      <c r="E2737" s="130"/>
      <c r="F2737" s="130"/>
      <c r="G2737" s="130"/>
      <c r="H2737" s="130"/>
      <c r="I2737" s="130"/>
    </row>
    <row r="2738" spans="2:9">
      <c r="B2738" s="129">
        <v>906</v>
      </c>
      <c r="C2738" s="130" t="s">
        <v>5128</v>
      </c>
      <c r="D2738" s="130" t="s">
        <v>5343</v>
      </c>
      <c r="E2738" s="130" t="s">
        <v>5127</v>
      </c>
      <c r="F2738" s="130" t="s">
        <v>5288</v>
      </c>
      <c r="G2738" s="130">
        <v>50000</v>
      </c>
      <c r="H2738" s="130" t="s">
        <v>5037</v>
      </c>
      <c r="I2738" s="130" t="s">
        <v>5013</v>
      </c>
    </row>
    <row r="2739" spans="2:9">
      <c r="B2739" s="129"/>
      <c r="C2739" s="130"/>
      <c r="D2739" s="130"/>
      <c r="E2739" s="130"/>
      <c r="F2739" s="130"/>
      <c r="G2739" s="130"/>
      <c r="H2739" s="130"/>
      <c r="I2739" s="130"/>
    </row>
    <row r="2740" spans="2:9">
      <c r="B2740" s="129"/>
      <c r="C2740" s="130"/>
      <c r="D2740" s="130"/>
      <c r="E2740" s="130"/>
      <c r="F2740" s="130"/>
      <c r="G2740" s="130"/>
      <c r="H2740" s="130"/>
      <c r="I2740" s="130"/>
    </row>
    <row r="2741" spans="2:9">
      <c r="B2741" s="129">
        <v>907</v>
      </c>
      <c r="C2741" s="130" t="s">
        <v>5095</v>
      </c>
      <c r="D2741" s="130" t="s">
        <v>5343</v>
      </c>
      <c r="E2741" s="130" t="s">
        <v>5205</v>
      </c>
      <c r="F2741" s="130" t="s">
        <v>5196</v>
      </c>
      <c r="G2741" s="130">
        <v>10000</v>
      </c>
      <c r="H2741" s="130">
        <v>24999</v>
      </c>
      <c r="I2741" s="130" t="s">
        <v>5004</v>
      </c>
    </row>
    <row r="2742" spans="2:9">
      <c r="B2742" s="129"/>
      <c r="C2742" s="130"/>
      <c r="D2742" s="130"/>
      <c r="E2742" s="130"/>
      <c r="F2742" s="130"/>
      <c r="G2742" s="130"/>
      <c r="H2742" s="130"/>
      <c r="I2742" s="130"/>
    </row>
    <row r="2743" spans="2:9">
      <c r="B2743" s="129"/>
      <c r="C2743" s="130"/>
      <c r="D2743" s="130"/>
      <c r="E2743" s="130"/>
      <c r="F2743" s="130"/>
      <c r="G2743" s="130"/>
      <c r="H2743" s="130"/>
      <c r="I2743" s="130"/>
    </row>
    <row r="2744" spans="2:9">
      <c r="B2744" s="129">
        <v>908</v>
      </c>
      <c r="C2744" s="130" t="s">
        <v>5095</v>
      </c>
      <c r="D2744" s="130" t="s">
        <v>5343</v>
      </c>
      <c r="E2744" s="130" t="s">
        <v>5205</v>
      </c>
      <c r="F2744" s="130" t="s">
        <v>5290</v>
      </c>
      <c r="G2744" s="130">
        <v>10000</v>
      </c>
      <c r="H2744" s="130">
        <v>24999</v>
      </c>
      <c r="I2744" s="130" t="s">
        <v>5004</v>
      </c>
    </row>
    <row r="2745" spans="2:9">
      <c r="B2745" s="129"/>
      <c r="C2745" s="130"/>
      <c r="D2745" s="130"/>
      <c r="E2745" s="130"/>
      <c r="F2745" s="130"/>
      <c r="G2745" s="130"/>
      <c r="H2745" s="130"/>
      <c r="I2745" s="130"/>
    </row>
    <row r="2746" spans="2:9">
      <c r="B2746" s="129"/>
      <c r="C2746" s="130"/>
      <c r="D2746" s="130"/>
      <c r="E2746" s="130"/>
      <c r="F2746" s="130"/>
      <c r="G2746" s="130"/>
      <c r="H2746" s="130"/>
      <c r="I2746" s="130"/>
    </row>
    <row r="2747" spans="2:9">
      <c r="B2747" s="129">
        <v>909</v>
      </c>
      <c r="C2747" s="130" t="s">
        <v>5095</v>
      </c>
      <c r="D2747" s="130" t="s">
        <v>5343</v>
      </c>
      <c r="E2747" s="130" t="s">
        <v>5205</v>
      </c>
      <c r="F2747" s="130" t="s">
        <v>5226</v>
      </c>
      <c r="G2747" s="130">
        <v>10000</v>
      </c>
      <c r="H2747" s="130">
        <v>24999</v>
      </c>
      <c r="I2747" s="130" t="s">
        <v>5004</v>
      </c>
    </row>
    <row r="2748" spans="2:9">
      <c r="B2748" s="129"/>
      <c r="C2748" s="130"/>
      <c r="D2748" s="130"/>
      <c r="E2748" s="130"/>
      <c r="F2748" s="130"/>
      <c r="G2748" s="130"/>
      <c r="H2748" s="130"/>
      <c r="I2748" s="130"/>
    </row>
    <row r="2749" spans="2:9">
      <c r="B2749" s="129"/>
      <c r="C2749" s="130"/>
      <c r="D2749" s="130"/>
      <c r="E2749" s="130"/>
      <c r="F2749" s="130"/>
      <c r="G2749" s="130"/>
      <c r="H2749" s="130"/>
      <c r="I2749" s="130"/>
    </row>
    <row r="2750" spans="2:9">
      <c r="B2750" s="129">
        <v>910</v>
      </c>
      <c r="C2750" s="130" t="s">
        <v>5095</v>
      </c>
      <c r="D2750" s="130" t="s">
        <v>5343</v>
      </c>
      <c r="E2750" s="130" t="s">
        <v>5205</v>
      </c>
      <c r="F2750" s="130" t="s">
        <v>5288</v>
      </c>
      <c r="G2750" s="130">
        <v>10000</v>
      </c>
      <c r="H2750" s="130">
        <v>24999</v>
      </c>
      <c r="I2750" s="130" t="s">
        <v>5004</v>
      </c>
    </row>
    <row r="2751" spans="2:9">
      <c r="B2751" s="129"/>
      <c r="C2751" s="130"/>
      <c r="D2751" s="130"/>
      <c r="E2751" s="130"/>
      <c r="F2751" s="130"/>
      <c r="G2751" s="130"/>
      <c r="H2751" s="130"/>
      <c r="I2751" s="130"/>
    </row>
    <row r="2752" spans="2:9">
      <c r="B2752" s="129"/>
      <c r="C2752" s="130"/>
      <c r="D2752" s="130"/>
      <c r="E2752" s="130"/>
      <c r="F2752" s="130"/>
      <c r="G2752" s="130"/>
      <c r="H2752" s="130"/>
      <c r="I2752" s="130"/>
    </row>
    <row r="2753" spans="2:9">
      <c r="B2753" s="129">
        <v>911</v>
      </c>
      <c r="C2753" s="130" t="s">
        <v>5071</v>
      </c>
      <c r="D2753" s="130" t="s">
        <v>5344</v>
      </c>
      <c r="E2753" s="130" t="s">
        <v>5320</v>
      </c>
      <c r="F2753" s="130" t="s">
        <v>5310</v>
      </c>
      <c r="G2753" s="130">
        <v>5000</v>
      </c>
      <c r="H2753" s="130">
        <v>35000</v>
      </c>
      <c r="I2753" s="130" t="s">
        <v>5004</v>
      </c>
    </row>
    <row r="2754" spans="2:9">
      <c r="B2754" s="129"/>
      <c r="C2754" s="130"/>
      <c r="D2754" s="130"/>
      <c r="E2754" s="130"/>
      <c r="F2754" s="130"/>
      <c r="G2754" s="130"/>
      <c r="H2754" s="130"/>
      <c r="I2754" s="130"/>
    </row>
    <row r="2755" spans="2:9">
      <c r="B2755" s="129"/>
      <c r="C2755" s="130"/>
      <c r="D2755" s="130"/>
      <c r="E2755" s="130"/>
      <c r="F2755" s="130"/>
      <c r="G2755" s="130"/>
      <c r="H2755" s="130"/>
      <c r="I2755" s="130"/>
    </row>
    <row r="2756" spans="2:9">
      <c r="B2756" s="129">
        <v>912</v>
      </c>
      <c r="C2756" s="130" t="s">
        <v>5071</v>
      </c>
      <c r="D2756" s="130" t="s">
        <v>5344</v>
      </c>
      <c r="E2756" s="130" t="s">
        <v>5320</v>
      </c>
      <c r="F2756" s="130" t="s">
        <v>5310</v>
      </c>
      <c r="G2756" s="130">
        <v>5000</v>
      </c>
      <c r="H2756" s="130">
        <v>35000</v>
      </c>
      <c r="I2756" s="130" t="s">
        <v>5004</v>
      </c>
    </row>
    <row r="2757" spans="2:9">
      <c r="B2757" s="129"/>
      <c r="C2757" s="130"/>
      <c r="D2757" s="130"/>
      <c r="E2757" s="130"/>
      <c r="F2757" s="130"/>
      <c r="G2757" s="130"/>
      <c r="H2757" s="130"/>
      <c r="I2757" s="130"/>
    </row>
    <row r="2758" spans="2:9">
      <c r="B2758" s="129"/>
      <c r="C2758" s="130"/>
      <c r="D2758" s="130"/>
      <c r="E2758" s="130"/>
      <c r="F2758" s="130"/>
      <c r="G2758" s="130"/>
      <c r="H2758" s="130"/>
      <c r="I2758" s="130"/>
    </row>
    <row r="2759" spans="2:9">
      <c r="B2759" s="129">
        <v>913</v>
      </c>
      <c r="C2759" s="130" t="s">
        <v>5301</v>
      </c>
      <c r="D2759" s="130" t="s">
        <v>5344</v>
      </c>
      <c r="E2759" s="130" t="s">
        <v>5302</v>
      </c>
      <c r="F2759" s="130" t="s">
        <v>5226</v>
      </c>
      <c r="G2759" s="130">
        <v>50000</v>
      </c>
      <c r="H2759" s="130">
        <v>99999</v>
      </c>
      <c r="I2759" s="130" t="s">
        <v>5004</v>
      </c>
    </row>
    <row r="2760" spans="2:9">
      <c r="B2760" s="129"/>
      <c r="C2760" s="130"/>
      <c r="D2760" s="130"/>
      <c r="E2760" s="130"/>
      <c r="F2760" s="130"/>
      <c r="G2760" s="130"/>
      <c r="H2760" s="130"/>
      <c r="I2760" s="130"/>
    </row>
    <row r="2761" spans="2:9">
      <c r="B2761" s="129"/>
      <c r="C2761" s="130"/>
      <c r="D2761" s="130"/>
      <c r="E2761" s="130"/>
      <c r="F2761" s="130"/>
      <c r="G2761" s="130"/>
      <c r="H2761" s="130"/>
      <c r="I2761" s="130"/>
    </row>
    <row r="2762" spans="2:9">
      <c r="B2762" s="129">
        <v>914</v>
      </c>
      <c r="C2762" s="130" t="s">
        <v>5208</v>
      </c>
      <c r="D2762" s="130" t="s">
        <v>5344</v>
      </c>
      <c r="E2762" s="130" t="s">
        <v>5132</v>
      </c>
      <c r="F2762" s="130" t="s">
        <v>5008</v>
      </c>
      <c r="G2762" s="130">
        <v>10000</v>
      </c>
      <c r="H2762" s="130">
        <v>49999</v>
      </c>
      <c r="I2762" s="130" t="s">
        <v>5004</v>
      </c>
    </row>
    <row r="2763" spans="2:9">
      <c r="B2763" s="129"/>
      <c r="C2763" s="130"/>
      <c r="D2763" s="130"/>
      <c r="E2763" s="130"/>
      <c r="F2763" s="130"/>
      <c r="G2763" s="130"/>
      <c r="H2763" s="130"/>
      <c r="I2763" s="130"/>
    </row>
    <row r="2764" spans="2:9">
      <c r="B2764" s="129"/>
      <c r="C2764" s="130"/>
      <c r="D2764" s="130"/>
      <c r="E2764" s="130"/>
      <c r="F2764" s="130"/>
      <c r="G2764" s="130"/>
      <c r="H2764" s="130"/>
      <c r="I2764" s="130"/>
    </row>
    <row r="2765" spans="2:9">
      <c r="B2765" s="129">
        <v>915</v>
      </c>
      <c r="C2765" s="130" t="s">
        <v>5175</v>
      </c>
      <c r="D2765" s="130" t="s">
        <v>5345</v>
      </c>
      <c r="E2765" s="130" t="s">
        <v>5133</v>
      </c>
      <c r="F2765" s="130" t="s">
        <v>5226</v>
      </c>
      <c r="G2765" s="130">
        <v>1000</v>
      </c>
      <c r="H2765" s="130" t="s">
        <v>5037</v>
      </c>
      <c r="I2765" s="130" t="s">
        <v>5004</v>
      </c>
    </row>
    <row r="2766" spans="2:9">
      <c r="B2766" s="129"/>
      <c r="C2766" s="130"/>
      <c r="D2766" s="130"/>
      <c r="E2766" s="130"/>
      <c r="F2766" s="130"/>
      <c r="G2766" s="130"/>
      <c r="H2766" s="130"/>
      <c r="I2766" s="130"/>
    </row>
    <row r="2767" spans="2:9">
      <c r="B2767" s="129"/>
      <c r="C2767" s="130"/>
      <c r="D2767" s="130"/>
      <c r="E2767" s="130"/>
      <c r="F2767" s="130"/>
      <c r="G2767" s="130"/>
      <c r="H2767" s="130"/>
      <c r="I2767" s="130"/>
    </row>
    <row r="2768" spans="2:9">
      <c r="B2768" s="129">
        <v>916</v>
      </c>
      <c r="C2768" s="130" t="s">
        <v>5218</v>
      </c>
      <c r="D2768" s="130" t="s">
        <v>5345</v>
      </c>
      <c r="E2768" s="130" t="s">
        <v>5132</v>
      </c>
      <c r="F2768" s="130" t="s">
        <v>5111</v>
      </c>
      <c r="G2768" s="130">
        <v>1000</v>
      </c>
      <c r="H2768" s="130" t="s">
        <v>5037</v>
      </c>
      <c r="I2768" s="130" t="s">
        <v>5004</v>
      </c>
    </row>
    <row r="2769" spans="2:9">
      <c r="B2769" s="129"/>
      <c r="C2769" s="130"/>
      <c r="D2769" s="130"/>
      <c r="E2769" s="130"/>
      <c r="F2769" s="130"/>
      <c r="G2769" s="130"/>
      <c r="H2769" s="130"/>
      <c r="I2769" s="130"/>
    </row>
    <row r="2770" spans="2:9">
      <c r="B2770" s="129"/>
      <c r="C2770" s="130"/>
      <c r="D2770" s="130"/>
      <c r="E2770" s="130"/>
      <c r="F2770" s="130"/>
      <c r="G2770" s="130"/>
      <c r="H2770" s="130"/>
      <c r="I2770" s="130"/>
    </row>
    <row r="2771" spans="2:9">
      <c r="B2771" s="129">
        <v>917</v>
      </c>
      <c r="C2771" s="130" t="s">
        <v>5218</v>
      </c>
      <c r="D2771" s="130" t="s">
        <v>5345</v>
      </c>
      <c r="E2771" s="130" t="s">
        <v>5132</v>
      </c>
      <c r="F2771" s="130" t="s">
        <v>5008</v>
      </c>
      <c r="G2771" s="130">
        <v>1000</v>
      </c>
      <c r="H2771" s="130" t="s">
        <v>5037</v>
      </c>
      <c r="I2771" s="130" t="s">
        <v>5004</v>
      </c>
    </row>
    <row r="2772" spans="2:9">
      <c r="B2772" s="129"/>
      <c r="C2772" s="130"/>
      <c r="D2772" s="130"/>
      <c r="E2772" s="130"/>
      <c r="F2772" s="130"/>
      <c r="G2772" s="130"/>
      <c r="H2772" s="130"/>
      <c r="I2772" s="130"/>
    </row>
    <row r="2773" spans="2:9">
      <c r="B2773" s="129"/>
      <c r="C2773" s="130"/>
      <c r="D2773" s="130"/>
      <c r="E2773" s="130"/>
      <c r="F2773" s="130"/>
      <c r="G2773" s="130"/>
      <c r="H2773" s="130"/>
      <c r="I2773" s="130"/>
    </row>
    <row r="2774" spans="2:9">
      <c r="B2774" s="129">
        <v>918</v>
      </c>
      <c r="C2774" s="130" t="s">
        <v>5218</v>
      </c>
      <c r="D2774" s="130" t="s">
        <v>5345</v>
      </c>
      <c r="E2774" s="130" t="s">
        <v>5132</v>
      </c>
      <c r="F2774" s="130" t="s">
        <v>5033</v>
      </c>
      <c r="G2774" s="130">
        <v>1000</v>
      </c>
      <c r="H2774" s="130" t="s">
        <v>5037</v>
      </c>
      <c r="I2774" s="130" t="s">
        <v>5004</v>
      </c>
    </row>
    <row r="2775" spans="2:9">
      <c r="B2775" s="129"/>
      <c r="C2775" s="130"/>
      <c r="D2775" s="130"/>
      <c r="E2775" s="130"/>
      <c r="F2775" s="130"/>
      <c r="G2775" s="130"/>
      <c r="H2775" s="130"/>
      <c r="I2775" s="130"/>
    </row>
    <row r="2776" spans="2:9">
      <c r="B2776" s="129"/>
      <c r="C2776" s="130"/>
      <c r="D2776" s="130"/>
      <c r="E2776" s="130"/>
      <c r="F2776" s="130"/>
      <c r="G2776" s="130"/>
      <c r="H2776" s="130"/>
      <c r="I2776" s="130"/>
    </row>
    <row r="2777" spans="2:9">
      <c r="B2777" s="129">
        <v>919</v>
      </c>
      <c r="C2777" s="130" t="s">
        <v>5071</v>
      </c>
      <c r="D2777" s="130" t="s">
        <v>5345</v>
      </c>
      <c r="E2777" s="130" t="s">
        <v>5320</v>
      </c>
      <c r="F2777" s="130" t="s">
        <v>5288</v>
      </c>
      <c r="G2777" s="130">
        <v>5000</v>
      </c>
      <c r="H2777" s="130">
        <v>35000</v>
      </c>
      <c r="I2777" s="130" t="s">
        <v>5004</v>
      </c>
    </row>
    <row r="2778" spans="2:9">
      <c r="B2778" s="129"/>
      <c r="C2778" s="130"/>
      <c r="D2778" s="130"/>
      <c r="E2778" s="130"/>
      <c r="F2778" s="130"/>
      <c r="G2778" s="130"/>
      <c r="H2778" s="130"/>
      <c r="I2778" s="130"/>
    </row>
    <row r="2779" spans="2:9">
      <c r="B2779" s="129"/>
      <c r="C2779" s="130"/>
      <c r="D2779" s="130"/>
      <c r="E2779" s="130"/>
      <c r="F2779" s="130"/>
      <c r="G2779" s="130"/>
      <c r="H2779" s="130"/>
      <c r="I2779" s="130"/>
    </row>
    <row r="2780" spans="2:9">
      <c r="B2780" s="129">
        <v>920</v>
      </c>
      <c r="C2780" s="130" t="s">
        <v>5071</v>
      </c>
      <c r="D2780" s="130" t="s">
        <v>5345</v>
      </c>
      <c r="E2780" s="130" t="s">
        <v>5320</v>
      </c>
      <c r="F2780" s="130" t="s">
        <v>5288</v>
      </c>
      <c r="G2780" s="130">
        <v>5000</v>
      </c>
      <c r="H2780" s="130">
        <v>35000</v>
      </c>
      <c r="I2780" s="130" t="s">
        <v>5004</v>
      </c>
    </row>
    <row r="2781" spans="2:9">
      <c r="B2781" s="129"/>
      <c r="C2781" s="130"/>
      <c r="D2781" s="130"/>
      <c r="E2781" s="130"/>
      <c r="F2781" s="130"/>
      <c r="G2781" s="130"/>
      <c r="H2781" s="130"/>
      <c r="I2781" s="130"/>
    </row>
    <row r="2782" spans="2:9">
      <c r="B2782" s="129"/>
      <c r="C2782" s="130"/>
      <c r="D2782" s="130"/>
      <c r="E2782" s="130"/>
      <c r="F2782" s="130"/>
      <c r="G2782" s="130"/>
      <c r="H2782" s="130"/>
      <c r="I2782" s="130"/>
    </row>
    <row r="2783" spans="2:9">
      <c r="B2783" s="129">
        <v>921</v>
      </c>
      <c r="C2783" s="130" t="s">
        <v>5128</v>
      </c>
      <c r="D2783" s="130" t="s">
        <v>5345</v>
      </c>
      <c r="E2783" s="130" t="s">
        <v>5127</v>
      </c>
      <c r="F2783" s="130" t="s">
        <v>5111</v>
      </c>
      <c r="G2783" s="130">
        <v>1000</v>
      </c>
      <c r="H2783" s="130">
        <v>9999</v>
      </c>
      <c r="I2783" s="130" t="s">
        <v>5013</v>
      </c>
    </row>
    <row r="2784" spans="2:9">
      <c r="B2784" s="129"/>
      <c r="C2784" s="130"/>
      <c r="D2784" s="130"/>
      <c r="E2784" s="130"/>
      <c r="F2784" s="130"/>
      <c r="G2784" s="130"/>
      <c r="H2784" s="130"/>
      <c r="I2784" s="130"/>
    </row>
    <row r="2785" spans="2:9">
      <c r="B2785" s="129"/>
      <c r="C2785" s="130"/>
      <c r="D2785" s="130"/>
      <c r="E2785" s="130"/>
      <c r="F2785" s="130"/>
      <c r="G2785" s="130"/>
      <c r="H2785" s="130"/>
      <c r="I2785" s="130"/>
    </row>
    <row r="2786" spans="2:9">
      <c r="B2786" s="129">
        <v>922</v>
      </c>
      <c r="C2786" s="130" t="s">
        <v>5128</v>
      </c>
      <c r="D2786" s="130" t="s">
        <v>5345</v>
      </c>
      <c r="E2786" s="130" t="s">
        <v>5127</v>
      </c>
      <c r="F2786" s="130" t="s">
        <v>5311</v>
      </c>
      <c r="G2786" s="130">
        <v>10000</v>
      </c>
      <c r="H2786" s="130">
        <v>49999</v>
      </c>
      <c r="I2786" s="130" t="s">
        <v>5013</v>
      </c>
    </row>
    <row r="2787" spans="2:9">
      <c r="B2787" s="129"/>
      <c r="C2787" s="130"/>
      <c r="D2787" s="130"/>
      <c r="E2787" s="130"/>
      <c r="F2787" s="130"/>
      <c r="G2787" s="130"/>
      <c r="H2787" s="130"/>
      <c r="I2787" s="130"/>
    </row>
    <row r="2788" spans="2:9">
      <c r="B2788" s="129"/>
      <c r="C2788" s="130"/>
      <c r="D2788" s="130"/>
      <c r="E2788" s="130"/>
      <c r="F2788" s="130"/>
      <c r="G2788" s="130"/>
      <c r="H2788" s="130"/>
      <c r="I2788" s="130"/>
    </row>
    <row r="2789" spans="2:9">
      <c r="B2789" s="129">
        <v>923</v>
      </c>
      <c r="C2789" s="130" t="s">
        <v>5128</v>
      </c>
      <c r="D2789" s="130" t="s">
        <v>5345</v>
      </c>
      <c r="E2789" s="130" t="s">
        <v>5127</v>
      </c>
      <c r="F2789" s="130" t="s">
        <v>5310</v>
      </c>
      <c r="G2789" s="130">
        <v>10000</v>
      </c>
      <c r="H2789" s="130">
        <v>49999</v>
      </c>
      <c r="I2789" s="130" t="s">
        <v>5013</v>
      </c>
    </row>
    <row r="2790" spans="2:9">
      <c r="B2790" s="129"/>
      <c r="C2790" s="130"/>
      <c r="D2790" s="130"/>
      <c r="E2790" s="130"/>
      <c r="F2790" s="130"/>
      <c r="G2790" s="130"/>
      <c r="H2790" s="130"/>
      <c r="I2790" s="130"/>
    </row>
    <row r="2791" spans="2:9">
      <c r="B2791" s="129"/>
      <c r="C2791" s="130"/>
      <c r="D2791" s="130"/>
      <c r="E2791" s="130"/>
      <c r="F2791" s="130"/>
      <c r="G2791" s="130"/>
      <c r="H2791" s="130"/>
      <c r="I2791" s="130"/>
    </row>
    <row r="2792" spans="2:9">
      <c r="B2792" s="129">
        <v>924</v>
      </c>
      <c r="C2792" s="130" t="s">
        <v>5095</v>
      </c>
      <c r="D2792" s="130" t="s">
        <v>5345</v>
      </c>
      <c r="E2792" s="130" t="s">
        <v>5205</v>
      </c>
      <c r="F2792" s="130" t="s">
        <v>5196</v>
      </c>
      <c r="G2792" s="130">
        <v>500</v>
      </c>
      <c r="H2792" s="130">
        <v>9999</v>
      </c>
      <c r="I2792" s="130" t="s">
        <v>5004</v>
      </c>
    </row>
    <row r="2793" spans="2:9">
      <c r="B2793" s="129"/>
      <c r="C2793" s="130"/>
      <c r="D2793" s="130"/>
      <c r="E2793" s="130"/>
      <c r="F2793" s="130"/>
      <c r="G2793" s="130"/>
      <c r="H2793" s="130"/>
      <c r="I2793" s="130"/>
    </row>
    <row r="2794" spans="2:9">
      <c r="B2794" s="129"/>
      <c r="C2794" s="130"/>
      <c r="D2794" s="130"/>
      <c r="E2794" s="130"/>
      <c r="F2794" s="130"/>
      <c r="G2794" s="130"/>
      <c r="H2794" s="130"/>
      <c r="I2794" s="130"/>
    </row>
    <row r="2795" spans="2:9">
      <c r="B2795" s="129">
        <v>925</v>
      </c>
      <c r="C2795" s="130" t="s">
        <v>5095</v>
      </c>
      <c r="D2795" s="130" t="s">
        <v>5345</v>
      </c>
      <c r="E2795" s="130" t="s">
        <v>5205</v>
      </c>
      <c r="F2795" s="130" t="s">
        <v>5290</v>
      </c>
      <c r="G2795" s="130">
        <v>500</v>
      </c>
      <c r="H2795" s="130">
        <v>9999</v>
      </c>
      <c r="I2795" s="130" t="s">
        <v>5004</v>
      </c>
    </row>
    <row r="2796" spans="2:9">
      <c r="B2796" s="129"/>
      <c r="C2796" s="130"/>
      <c r="D2796" s="130"/>
      <c r="E2796" s="130"/>
      <c r="F2796" s="130"/>
      <c r="G2796" s="130"/>
      <c r="H2796" s="130"/>
      <c r="I2796" s="130"/>
    </row>
    <row r="2797" spans="2:9">
      <c r="B2797" s="129"/>
      <c r="C2797" s="130"/>
      <c r="D2797" s="130"/>
      <c r="E2797" s="130"/>
      <c r="F2797" s="130"/>
      <c r="G2797" s="130"/>
      <c r="H2797" s="130"/>
      <c r="I2797" s="130"/>
    </row>
    <row r="2798" spans="2:9">
      <c r="B2798" s="129">
        <v>926</v>
      </c>
      <c r="C2798" s="130" t="s">
        <v>5095</v>
      </c>
      <c r="D2798" s="130" t="s">
        <v>5345</v>
      </c>
      <c r="E2798" s="130" t="s">
        <v>5205</v>
      </c>
      <c r="F2798" s="130" t="s">
        <v>5226</v>
      </c>
      <c r="G2798" s="130">
        <v>500</v>
      </c>
      <c r="H2798" s="130">
        <v>9999</v>
      </c>
      <c r="I2798" s="130" t="s">
        <v>5004</v>
      </c>
    </row>
    <row r="2799" spans="2:9">
      <c r="B2799" s="129"/>
      <c r="C2799" s="130"/>
      <c r="D2799" s="130"/>
      <c r="E2799" s="130"/>
      <c r="F2799" s="130"/>
      <c r="G2799" s="130"/>
      <c r="H2799" s="130"/>
      <c r="I2799" s="130"/>
    </row>
    <row r="2800" spans="2:9">
      <c r="B2800" s="129"/>
      <c r="C2800" s="130"/>
      <c r="D2800" s="130"/>
      <c r="E2800" s="130"/>
      <c r="F2800" s="130"/>
      <c r="G2800" s="130"/>
      <c r="H2800" s="130"/>
      <c r="I2800" s="130"/>
    </row>
    <row r="2801" spans="2:9">
      <c r="B2801" s="129">
        <v>927</v>
      </c>
      <c r="C2801" s="130" t="s">
        <v>5095</v>
      </c>
      <c r="D2801" s="130" t="s">
        <v>5345</v>
      </c>
      <c r="E2801" s="130" t="s">
        <v>5205</v>
      </c>
      <c r="F2801" s="130" t="s">
        <v>5288</v>
      </c>
      <c r="G2801" s="130">
        <v>500</v>
      </c>
      <c r="H2801" s="130">
        <v>9999</v>
      </c>
      <c r="I2801" s="130" t="s">
        <v>5004</v>
      </c>
    </row>
    <row r="2802" spans="2:9">
      <c r="B2802" s="129"/>
      <c r="C2802" s="130"/>
      <c r="D2802" s="130"/>
      <c r="E2802" s="130"/>
      <c r="F2802" s="130"/>
      <c r="G2802" s="130"/>
      <c r="H2802" s="130"/>
      <c r="I2802" s="130"/>
    </row>
    <row r="2803" spans="2:9">
      <c r="B2803" s="129"/>
      <c r="C2803" s="130"/>
      <c r="D2803" s="130"/>
      <c r="E2803" s="130"/>
      <c r="F2803" s="130"/>
      <c r="G2803" s="130"/>
      <c r="H2803" s="130"/>
      <c r="I2803" s="130"/>
    </row>
    <row r="2804" spans="2:9">
      <c r="B2804" s="129">
        <v>928</v>
      </c>
      <c r="C2804" s="130" t="s">
        <v>5301</v>
      </c>
      <c r="D2804" s="130" t="s">
        <v>5345</v>
      </c>
      <c r="E2804" s="130" t="s">
        <v>5133</v>
      </c>
      <c r="F2804" s="130" t="s">
        <v>5111</v>
      </c>
      <c r="G2804" s="130">
        <v>100000</v>
      </c>
      <c r="H2804" s="130" t="s">
        <v>5037</v>
      </c>
      <c r="I2804" s="130" t="s">
        <v>5004</v>
      </c>
    </row>
    <row r="2805" spans="2:9">
      <c r="B2805" s="129"/>
      <c r="C2805" s="130"/>
      <c r="D2805" s="130"/>
      <c r="E2805" s="130"/>
      <c r="F2805" s="130"/>
      <c r="G2805" s="130"/>
      <c r="H2805" s="130"/>
      <c r="I2805" s="130"/>
    </row>
    <row r="2806" spans="2:9">
      <c r="B2806" s="129"/>
      <c r="C2806" s="130"/>
      <c r="D2806" s="130"/>
      <c r="E2806" s="130"/>
      <c r="F2806" s="130"/>
      <c r="G2806" s="130"/>
      <c r="H2806" s="130"/>
      <c r="I2806" s="130"/>
    </row>
    <row r="2807" spans="2:9">
      <c r="B2807" s="129">
        <v>929</v>
      </c>
      <c r="C2807" s="130" t="s">
        <v>5301</v>
      </c>
      <c r="D2807" s="130" t="s">
        <v>5345</v>
      </c>
      <c r="E2807" s="130" t="s">
        <v>5133</v>
      </c>
      <c r="F2807" s="130" t="s">
        <v>5003</v>
      </c>
      <c r="G2807" s="130">
        <v>100000</v>
      </c>
      <c r="H2807" s="130" t="s">
        <v>5037</v>
      </c>
      <c r="I2807" s="130" t="s">
        <v>5004</v>
      </c>
    </row>
    <row r="2808" spans="2:9">
      <c r="B2808" s="129"/>
      <c r="C2808" s="130"/>
      <c r="D2808" s="130"/>
      <c r="E2808" s="130"/>
      <c r="F2808" s="130"/>
      <c r="G2808" s="130"/>
      <c r="H2808" s="130"/>
      <c r="I2808" s="130"/>
    </row>
    <row r="2809" spans="2:9">
      <c r="B2809" s="129"/>
      <c r="C2809" s="130"/>
      <c r="D2809" s="130"/>
      <c r="E2809" s="130"/>
      <c r="F2809" s="130"/>
      <c r="G2809" s="130"/>
      <c r="H2809" s="130"/>
      <c r="I2809" s="130"/>
    </row>
    <row r="2810" spans="2:9">
      <c r="B2810" s="129">
        <v>930</v>
      </c>
      <c r="C2810" s="130" t="s">
        <v>5301</v>
      </c>
      <c r="D2810" s="130" t="s">
        <v>5345</v>
      </c>
      <c r="E2810" s="130" t="s">
        <v>5133</v>
      </c>
      <c r="F2810" s="130" t="s">
        <v>5008</v>
      </c>
      <c r="G2810" s="130">
        <v>100000</v>
      </c>
      <c r="H2810" s="130" t="s">
        <v>5037</v>
      </c>
      <c r="I2810" s="130" t="s">
        <v>5004</v>
      </c>
    </row>
    <row r="2811" spans="2:9">
      <c r="B2811" s="129"/>
      <c r="C2811" s="130"/>
      <c r="D2811" s="130"/>
      <c r="E2811" s="130"/>
      <c r="F2811" s="130"/>
      <c r="G2811" s="130"/>
      <c r="H2811" s="130"/>
      <c r="I2811" s="130"/>
    </row>
    <row r="2812" spans="2:9">
      <c r="B2812" s="129"/>
      <c r="C2812" s="130"/>
      <c r="D2812" s="130"/>
      <c r="E2812" s="130"/>
      <c r="F2812" s="130"/>
      <c r="G2812" s="130"/>
      <c r="H2812" s="130"/>
      <c r="I2812" s="130"/>
    </row>
    <row r="2813" spans="2:9">
      <c r="B2813" s="129">
        <v>931</v>
      </c>
      <c r="C2813" s="130" t="s">
        <v>5301</v>
      </c>
      <c r="D2813" s="130" t="s">
        <v>5345</v>
      </c>
      <c r="E2813" s="130" t="s">
        <v>5133</v>
      </c>
      <c r="F2813" s="130" t="s">
        <v>5033</v>
      </c>
      <c r="G2813" s="130">
        <v>100000</v>
      </c>
      <c r="H2813" s="130" t="s">
        <v>5037</v>
      </c>
      <c r="I2813" s="130" t="s">
        <v>5004</v>
      </c>
    </row>
    <row r="2814" spans="2:9">
      <c r="B2814" s="129"/>
      <c r="C2814" s="130"/>
      <c r="D2814" s="130"/>
      <c r="E2814" s="130"/>
      <c r="F2814" s="130"/>
      <c r="G2814" s="130"/>
      <c r="H2814" s="130"/>
      <c r="I2814" s="130"/>
    </row>
    <row r="2815" spans="2:9">
      <c r="B2815" s="129"/>
      <c r="C2815" s="130"/>
      <c r="D2815" s="130"/>
      <c r="E2815" s="130"/>
      <c r="F2815" s="130"/>
      <c r="G2815" s="130"/>
      <c r="H2815" s="130"/>
      <c r="I2815" s="130"/>
    </row>
    <row r="2816" spans="2:9">
      <c r="B2816" s="129">
        <v>932</v>
      </c>
      <c r="C2816" s="130" t="s">
        <v>5301</v>
      </c>
      <c r="D2816" s="130" t="s">
        <v>5346</v>
      </c>
      <c r="E2816" s="130" t="s">
        <v>5302</v>
      </c>
      <c r="F2816" s="130" t="s">
        <v>5226</v>
      </c>
      <c r="G2816" s="130">
        <v>1000</v>
      </c>
      <c r="H2816" s="130">
        <v>49999</v>
      </c>
      <c r="I2816" s="130" t="s">
        <v>5004</v>
      </c>
    </row>
    <row r="2817" spans="2:9">
      <c r="B2817" s="129"/>
      <c r="C2817" s="130"/>
      <c r="D2817" s="130"/>
      <c r="E2817" s="130"/>
      <c r="F2817" s="130"/>
      <c r="G2817" s="130"/>
      <c r="H2817" s="130"/>
      <c r="I2817" s="130"/>
    </row>
    <row r="2818" spans="2:9">
      <c r="B2818" s="129"/>
      <c r="C2818" s="130"/>
      <c r="D2818" s="130"/>
      <c r="E2818" s="130"/>
      <c r="F2818" s="130"/>
      <c r="G2818" s="130"/>
      <c r="H2818" s="130"/>
      <c r="I2818" s="130"/>
    </row>
    <row r="2819" spans="2:9">
      <c r="B2819" s="129">
        <v>933</v>
      </c>
      <c r="C2819" s="130" t="s">
        <v>5301</v>
      </c>
      <c r="D2819" s="130" t="s">
        <v>5346</v>
      </c>
      <c r="E2819" s="130" t="s">
        <v>5133</v>
      </c>
      <c r="F2819" s="130" t="s">
        <v>5031</v>
      </c>
      <c r="G2819" s="130">
        <v>100000</v>
      </c>
      <c r="H2819" s="130" t="s">
        <v>5037</v>
      </c>
      <c r="I2819" s="130" t="s">
        <v>5004</v>
      </c>
    </row>
    <row r="2820" spans="2:9">
      <c r="B2820" s="129"/>
      <c r="C2820" s="130"/>
      <c r="D2820" s="130"/>
      <c r="E2820" s="130"/>
      <c r="F2820" s="130"/>
      <c r="G2820" s="130"/>
      <c r="H2820" s="130"/>
      <c r="I2820" s="130"/>
    </row>
    <row r="2821" spans="2:9">
      <c r="B2821" s="129"/>
      <c r="C2821" s="130"/>
      <c r="D2821" s="130"/>
      <c r="E2821" s="130"/>
      <c r="F2821" s="130"/>
      <c r="G2821" s="130"/>
      <c r="H2821" s="130"/>
      <c r="I2821" s="130"/>
    </row>
    <row r="2822" spans="2:9">
      <c r="B2822" s="129">
        <v>934</v>
      </c>
      <c r="C2822" s="130" t="s">
        <v>5301</v>
      </c>
      <c r="D2822" s="130" t="s">
        <v>5346</v>
      </c>
      <c r="E2822" s="130" t="s">
        <v>5133</v>
      </c>
      <c r="F2822" s="130" t="s">
        <v>5026</v>
      </c>
      <c r="G2822" s="130">
        <v>50000</v>
      </c>
      <c r="H2822" s="130">
        <v>99999</v>
      </c>
      <c r="I2822" s="130" t="s">
        <v>5004</v>
      </c>
    </row>
    <row r="2823" spans="2:9">
      <c r="B2823" s="129"/>
      <c r="C2823" s="130"/>
      <c r="D2823" s="130"/>
      <c r="E2823" s="130"/>
      <c r="F2823" s="130"/>
      <c r="G2823" s="130"/>
      <c r="H2823" s="130"/>
      <c r="I2823" s="130"/>
    </row>
    <row r="2824" spans="2:9">
      <c r="B2824" s="129"/>
      <c r="C2824" s="130"/>
      <c r="D2824" s="130"/>
      <c r="E2824" s="130"/>
      <c r="F2824" s="130"/>
      <c r="G2824" s="130"/>
      <c r="H2824" s="130"/>
      <c r="I2824" s="130"/>
    </row>
    <row r="2825" spans="2:9">
      <c r="B2825" s="129">
        <v>935</v>
      </c>
      <c r="C2825" s="130" t="s">
        <v>5301</v>
      </c>
      <c r="D2825" s="130" t="s">
        <v>5346</v>
      </c>
      <c r="E2825" s="130" t="s">
        <v>5133</v>
      </c>
      <c r="F2825" s="130" t="s">
        <v>5043</v>
      </c>
      <c r="G2825" s="130">
        <v>500</v>
      </c>
      <c r="H2825" s="130">
        <v>49999</v>
      </c>
      <c r="I2825" s="130" t="s">
        <v>5004</v>
      </c>
    </row>
    <row r="2826" spans="2:9">
      <c r="B2826" s="129"/>
      <c r="C2826" s="130"/>
      <c r="D2826" s="130"/>
      <c r="E2826" s="130"/>
      <c r="F2826" s="130"/>
      <c r="G2826" s="130"/>
      <c r="H2826" s="130"/>
      <c r="I2826" s="130"/>
    </row>
    <row r="2827" spans="2:9">
      <c r="B2827" s="129"/>
      <c r="C2827" s="130"/>
      <c r="D2827" s="130"/>
      <c r="E2827" s="130"/>
      <c r="F2827" s="130"/>
      <c r="G2827" s="130"/>
      <c r="H2827" s="130"/>
      <c r="I2827" s="130"/>
    </row>
    <row r="2828" spans="2:9">
      <c r="B2828" s="129">
        <v>936</v>
      </c>
      <c r="C2828" s="130" t="s">
        <v>5128</v>
      </c>
      <c r="D2828" s="130" t="s">
        <v>5347</v>
      </c>
      <c r="E2828" s="130" t="s">
        <v>5127</v>
      </c>
      <c r="F2828" s="130" t="s">
        <v>5310</v>
      </c>
      <c r="G2828" s="130">
        <v>1000</v>
      </c>
      <c r="H2828" s="130">
        <v>9999</v>
      </c>
      <c r="I2828" s="130" t="s">
        <v>5013</v>
      </c>
    </row>
    <row r="2829" spans="2:9">
      <c r="B2829" s="129"/>
      <c r="C2829" s="130"/>
      <c r="D2829" s="130"/>
      <c r="E2829" s="130"/>
      <c r="F2829" s="130"/>
      <c r="G2829" s="130"/>
      <c r="H2829" s="130"/>
      <c r="I2829" s="130"/>
    </row>
    <row r="2830" spans="2:9">
      <c r="B2830" s="129"/>
      <c r="C2830" s="130"/>
      <c r="D2830" s="130"/>
      <c r="E2830" s="130"/>
      <c r="F2830" s="130"/>
      <c r="G2830" s="130"/>
      <c r="H2830" s="130"/>
      <c r="I2830" s="130"/>
    </row>
    <row r="2831" spans="2:9">
      <c r="B2831" s="129">
        <v>937</v>
      </c>
      <c r="C2831" s="130" t="s">
        <v>5128</v>
      </c>
      <c r="D2831" s="130" t="s">
        <v>5347</v>
      </c>
      <c r="E2831" s="130" t="s">
        <v>5127</v>
      </c>
      <c r="F2831" s="130" t="s">
        <v>5311</v>
      </c>
      <c r="G2831" s="130">
        <v>1000</v>
      </c>
      <c r="H2831" s="130">
        <v>9999</v>
      </c>
      <c r="I2831" s="130" t="s">
        <v>5013</v>
      </c>
    </row>
    <row r="2832" spans="2:9">
      <c r="B2832" s="129"/>
      <c r="C2832" s="130"/>
      <c r="D2832" s="130"/>
      <c r="E2832" s="130"/>
      <c r="F2832" s="130"/>
      <c r="G2832" s="130"/>
      <c r="H2832" s="130"/>
      <c r="I2832" s="130"/>
    </row>
    <row r="2833" spans="2:9">
      <c r="B2833" s="129"/>
      <c r="C2833" s="130"/>
      <c r="D2833" s="130"/>
      <c r="E2833" s="130"/>
      <c r="F2833" s="130"/>
      <c r="G2833" s="130"/>
      <c r="H2833" s="130"/>
      <c r="I2833" s="130"/>
    </row>
    <row r="2834" spans="2:9">
      <c r="B2834" s="129">
        <v>938</v>
      </c>
      <c r="C2834" s="130" t="s">
        <v>5128</v>
      </c>
      <c r="D2834" s="130" t="s">
        <v>5347</v>
      </c>
      <c r="E2834" s="130" t="s">
        <v>5127</v>
      </c>
      <c r="F2834" s="130" t="s">
        <v>5288</v>
      </c>
      <c r="G2834" s="130">
        <v>10000</v>
      </c>
      <c r="H2834" s="130">
        <v>49999</v>
      </c>
      <c r="I2834" s="130" t="s">
        <v>5013</v>
      </c>
    </row>
    <row r="2835" spans="2:9">
      <c r="B2835" s="129"/>
      <c r="C2835" s="130"/>
      <c r="D2835" s="130"/>
      <c r="E2835" s="130"/>
      <c r="F2835" s="130"/>
      <c r="G2835" s="130"/>
      <c r="H2835" s="130"/>
      <c r="I2835" s="130"/>
    </row>
    <row r="2836" spans="2:9">
      <c r="B2836" s="129"/>
      <c r="C2836" s="130"/>
      <c r="D2836" s="130"/>
      <c r="E2836" s="130"/>
      <c r="F2836" s="130"/>
      <c r="G2836" s="130"/>
      <c r="H2836" s="130"/>
      <c r="I2836" s="130"/>
    </row>
    <row r="2837" spans="2:9">
      <c r="B2837" s="129">
        <v>939</v>
      </c>
      <c r="C2837" s="130" t="s">
        <v>5128</v>
      </c>
      <c r="D2837" s="130" t="s">
        <v>5347</v>
      </c>
      <c r="E2837" s="130" t="s">
        <v>5127</v>
      </c>
      <c r="F2837" s="130" t="s">
        <v>5290</v>
      </c>
      <c r="G2837" s="130">
        <v>10000</v>
      </c>
      <c r="H2837" s="130">
        <v>49999</v>
      </c>
      <c r="I2837" s="130" t="s">
        <v>5013</v>
      </c>
    </row>
    <row r="2838" spans="2:9">
      <c r="B2838" s="129"/>
      <c r="C2838" s="130"/>
      <c r="D2838" s="130"/>
      <c r="E2838" s="130"/>
      <c r="F2838" s="130"/>
      <c r="G2838" s="130"/>
      <c r="H2838" s="130"/>
      <c r="I2838" s="130"/>
    </row>
    <row r="2839" spans="2:9">
      <c r="B2839" s="129"/>
      <c r="C2839" s="130"/>
      <c r="D2839" s="130"/>
      <c r="E2839" s="130"/>
      <c r="F2839" s="130"/>
      <c r="G2839" s="130"/>
      <c r="H2839" s="130"/>
      <c r="I2839" s="130"/>
    </row>
    <row r="2840" spans="2:9">
      <c r="B2840" s="129">
        <v>940</v>
      </c>
      <c r="C2840" s="130" t="s">
        <v>5208</v>
      </c>
      <c r="D2840" s="130" t="s">
        <v>5347</v>
      </c>
      <c r="E2840" s="130" t="s">
        <v>5132</v>
      </c>
      <c r="F2840" s="130" t="s">
        <v>5003</v>
      </c>
      <c r="G2840" s="130">
        <v>10000</v>
      </c>
      <c r="H2840" s="130">
        <v>49999</v>
      </c>
      <c r="I2840" s="130" t="s">
        <v>5004</v>
      </c>
    </row>
    <row r="2841" spans="2:9">
      <c r="B2841" s="129"/>
      <c r="C2841" s="130"/>
      <c r="D2841" s="130"/>
      <c r="E2841" s="130"/>
      <c r="F2841" s="130"/>
      <c r="G2841" s="130"/>
      <c r="H2841" s="130"/>
      <c r="I2841" s="130"/>
    </row>
    <row r="2842" spans="2:9">
      <c r="B2842" s="129"/>
      <c r="C2842" s="130"/>
      <c r="D2842" s="130"/>
      <c r="E2842" s="130"/>
      <c r="F2842" s="130"/>
      <c r="G2842" s="130"/>
      <c r="H2842" s="130"/>
      <c r="I2842" s="130"/>
    </row>
    <row r="2843" spans="2:9">
      <c r="B2843" s="129">
        <v>941</v>
      </c>
      <c r="C2843" s="130" t="s">
        <v>5208</v>
      </c>
      <c r="D2843" s="130" t="s">
        <v>5348</v>
      </c>
      <c r="E2843" s="130" t="s">
        <v>5132</v>
      </c>
      <c r="F2843" s="130" t="s">
        <v>5033</v>
      </c>
      <c r="G2843" s="130">
        <v>1000</v>
      </c>
      <c r="H2843" s="130">
        <v>10000</v>
      </c>
      <c r="I2843" s="130" t="s">
        <v>5004</v>
      </c>
    </row>
    <row r="2844" spans="2:9">
      <c r="B2844" s="129"/>
      <c r="C2844" s="130"/>
      <c r="D2844" s="130"/>
      <c r="E2844" s="130"/>
      <c r="F2844" s="130"/>
      <c r="G2844" s="130"/>
      <c r="H2844" s="130"/>
      <c r="I2844" s="130"/>
    </row>
    <row r="2845" spans="2:9">
      <c r="B2845" s="129"/>
      <c r="C2845" s="130"/>
      <c r="D2845" s="130"/>
      <c r="E2845" s="130"/>
      <c r="F2845" s="130"/>
      <c r="G2845" s="130"/>
      <c r="H2845" s="130"/>
      <c r="I2845" s="130"/>
    </row>
    <row r="2846" spans="2:9">
      <c r="B2846" s="129">
        <v>942</v>
      </c>
      <c r="C2846" s="130" t="s">
        <v>5009</v>
      </c>
      <c r="D2846" s="130" t="s">
        <v>5349</v>
      </c>
      <c r="E2846" s="130" t="s">
        <v>5079</v>
      </c>
      <c r="F2846" s="130" t="s">
        <v>5288</v>
      </c>
      <c r="G2846" s="130">
        <v>2000</v>
      </c>
      <c r="H2846" s="130" t="s">
        <v>5037</v>
      </c>
      <c r="I2846" s="130" t="s">
        <v>5004</v>
      </c>
    </row>
    <row r="2847" spans="2:9">
      <c r="B2847" s="129"/>
      <c r="C2847" s="130"/>
      <c r="D2847" s="130"/>
      <c r="E2847" s="130"/>
      <c r="F2847" s="130"/>
      <c r="G2847" s="130"/>
      <c r="H2847" s="130"/>
      <c r="I2847" s="130"/>
    </row>
    <row r="2848" spans="2:9">
      <c r="B2848" s="129"/>
      <c r="C2848" s="130"/>
      <c r="D2848" s="130"/>
      <c r="E2848" s="130"/>
      <c r="F2848" s="130"/>
      <c r="G2848" s="130"/>
      <c r="H2848" s="130"/>
      <c r="I2848" s="130"/>
    </row>
    <row r="2849" spans="2:9">
      <c r="B2849" s="129">
        <v>943</v>
      </c>
      <c r="C2849" s="130" t="s">
        <v>5024</v>
      </c>
      <c r="D2849" s="130" t="s">
        <v>5349</v>
      </c>
      <c r="E2849" s="130" t="s">
        <v>5025</v>
      </c>
      <c r="F2849" s="130" t="s">
        <v>5288</v>
      </c>
      <c r="G2849" s="130">
        <v>3000</v>
      </c>
      <c r="H2849" s="130">
        <v>2000000</v>
      </c>
      <c r="I2849" s="130" t="s">
        <v>5004</v>
      </c>
    </row>
    <row r="2850" spans="2:9">
      <c r="B2850" s="129"/>
      <c r="C2850" s="130"/>
      <c r="D2850" s="130"/>
      <c r="E2850" s="130"/>
      <c r="F2850" s="130"/>
      <c r="G2850" s="130"/>
      <c r="H2850" s="130"/>
      <c r="I2850" s="130"/>
    </row>
    <row r="2851" spans="2:9">
      <c r="B2851" s="129"/>
      <c r="C2851" s="130"/>
      <c r="D2851" s="130"/>
      <c r="E2851" s="130"/>
      <c r="F2851" s="130"/>
      <c r="G2851" s="130"/>
      <c r="H2851" s="130"/>
      <c r="I2851" s="130"/>
    </row>
    <row r="2852" spans="2:9">
      <c r="B2852" s="129">
        <v>944</v>
      </c>
      <c r="C2852" s="130" t="s">
        <v>5128</v>
      </c>
      <c r="D2852" s="130" t="s">
        <v>5349</v>
      </c>
      <c r="E2852" s="130" t="s">
        <v>5127</v>
      </c>
      <c r="F2852" s="130" t="s">
        <v>5196</v>
      </c>
      <c r="G2852" s="130">
        <v>1000</v>
      </c>
      <c r="H2852" s="130">
        <v>9999</v>
      </c>
      <c r="I2852" s="130" t="s">
        <v>5013</v>
      </c>
    </row>
    <row r="2853" spans="2:9">
      <c r="B2853" s="129"/>
      <c r="C2853" s="130"/>
      <c r="D2853" s="130"/>
      <c r="E2853" s="130"/>
      <c r="F2853" s="130"/>
      <c r="G2853" s="130"/>
      <c r="H2853" s="130"/>
      <c r="I2853" s="130"/>
    </row>
    <row r="2854" spans="2:9">
      <c r="B2854" s="129"/>
      <c r="C2854" s="130"/>
      <c r="D2854" s="130"/>
      <c r="E2854" s="130"/>
      <c r="F2854" s="130"/>
      <c r="G2854" s="130"/>
      <c r="H2854" s="130"/>
      <c r="I2854" s="130"/>
    </row>
    <row r="2855" spans="2:9">
      <c r="B2855" s="129">
        <v>945</v>
      </c>
      <c r="C2855" s="130" t="s">
        <v>5128</v>
      </c>
      <c r="D2855" s="130" t="s">
        <v>5349</v>
      </c>
      <c r="E2855" s="130" t="s">
        <v>5127</v>
      </c>
      <c r="F2855" s="130" t="s">
        <v>5290</v>
      </c>
      <c r="G2855" s="130">
        <v>1000</v>
      </c>
      <c r="H2855" s="130">
        <v>9999</v>
      </c>
      <c r="I2855" s="130" t="s">
        <v>5013</v>
      </c>
    </row>
    <row r="2856" spans="2:9">
      <c r="B2856" s="129"/>
      <c r="C2856" s="130"/>
      <c r="D2856" s="130"/>
      <c r="E2856" s="130"/>
      <c r="F2856" s="130"/>
      <c r="G2856" s="130"/>
      <c r="H2856" s="130"/>
      <c r="I2856" s="130"/>
    </row>
    <row r="2857" spans="2:9">
      <c r="B2857" s="129"/>
      <c r="C2857" s="130"/>
      <c r="D2857" s="130"/>
      <c r="E2857" s="130"/>
      <c r="F2857" s="130"/>
      <c r="G2857" s="130"/>
      <c r="H2857" s="130"/>
      <c r="I2857" s="130"/>
    </row>
    <row r="2858" spans="2:9">
      <c r="B2858" s="129">
        <v>946</v>
      </c>
      <c r="C2858" s="130" t="s">
        <v>5128</v>
      </c>
      <c r="D2858" s="130" t="s">
        <v>5349</v>
      </c>
      <c r="E2858" s="130" t="s">
        <v>5127</v>
      </c>
      <c r="F2858" s="130" t="s">
        <v>5288</v>
      </c>
      <c r="G2858" s="130">
        <v>1000</v>
      </c>
      <c r="H2858" s="130">
        <v>9999</v>
      </c>
      <c r="I2858" s="130" t="s">
        <v>5013</v>
      </c>
    </row>
    <row r="2859" spans="2:9">
      <c r="B2859" s="129"/>
      <c r="C2859" s="130"/>
      <c r="D2859" s="130"/>
      <c r="E2859" s="130"/>
      <c r="F2859" s="130"/>
      <c r="G2859" s="130"/>
      <c r="H2859" s="130"/>
      <c r="I2859" s="130"/>
    </row>
    <row r="2860" spans="2:9">
      <c r="B2860" s="129"/>
      <c r="C2860" s="130"/>
      <c r="D2860" s="130"/>
      <c r="E2860" s="130"/>
      <c r="F2860" s="130"/>
      <c r="G2860" s="130"/>
      <c r="H2860" s="130"/>
      <c r="I2860" s="130"/>
    </row>
    <row r="2861" spans="2:9">
      <c r="B2861" s="129">
        <v>947</v>
      </c>
      <c r="C2861" s="130" t="s">
        <v>5301</v>
      </c>
      <c r="D2861" s="130" t="s">
        <v>5350</v>
      </c>
      <c r="E2861" s="130" t="s">
        <v>5133</v>
      </c>
      <c r="F2861" s="130" t="s">
        <v>5139</v>
      </c>
      <c r="G2861" s="130">
        <v>100000</v>
      </c>
      <c r="H2861" s="130" t="s">
        <v>5037</v>
      </c>
      <c r="I2861" s="130" t="s">
        <v>5004</v>
      </c>
    </row>
    <row r="2862" spans="2:9">
      <c r="B2862" s="129"/>
      <c r="C2862" s="130"/>
      <c r="D2862" s="130"/>
      <c r="E2862" s="130"/>
      <c r="F2862" s="130"/>
      <c r="G2862" s="130"/>
      <c r="H2862" s="130"/>
      <c r="I2862" s="130"/>
    </row>
    <row r="2863" spans="2:9">
      <c r="B2863" s="129"/>
      <c r="C2863" s="130"/>
      <c r="D2863" s="130"/>
      <c r="E2863" s="130"/>
      <c r="F2863" s="130"/>
      <c r="G2863" s="130"/>
      <c r="H2863" s="130"/>
      <c r="I2863" s="130"/>
    </row>
    <row r="2864" spans="2:9">
      <c r="B2864" s="129">
        <v>948</v>
      </c>
      <c r="C2864" s="130" t="s">
        <v>5301</v>
      </c>
      <c r="D2864" s="130" t="s">
        <v>5350</v>
      </c>
      <c r="E2864" s="130" t="s">
        <v>5133</v>
      </c>
      <c r="F2864" s="130" t="s">
        <v>5031</v>
      </c>
      <c r="G2864" s="130">
        <v>50000</v>
      </c>
      <c r="H2864" s="130">
        <v>99999</v>
      </c>
      <c r="I2864" s="130" t="s">
        <v>5004</v>
      </c>
    </row>
    <row r="2865" spans="2:9">
      <c r="B2865" s="129"/>
      <c r="C2865" s="130"/>
      <c r="D2865" s="130"/>
      <c r="E2865" s="130"/>
      <c r="F2865" s="130"/>
      <c r="G2865" s="130"/>
      <c r="H2865" s="130"/>
      <c r="I2865" s="130"/>
    </row>
    <row r="2866" spans="2:9">
      <c r="B2866" s="129"/>
      <c r="C2866" s="130"/>
      <c r="D2866" s="130"/>
      <c r="E2866" s="130"/>
      <c r="F2866" s="130"/>
      <c r="G2866" s="130"/>
      <c r="H2866" s="130"/>
      <c r="I2866" s="130"/>
    </row>
    <row r="2867" spans="2:9">
      <c r="B2867" s="129">
        <v>949</v>
      </c>
      <c r="C2867" s="130" t="s">
        <v>5301</v>
      </c>
      <c r="D2867" s="130" t="s">
        <v>5350</v>
      </c>
      <c r="E2867" s="130" t="s">
        <v>5133</v>
      </c>
      <c r="F2867" s="130" t="s">
        <v>5026</v>
      </c>
      <c r="G2867" s="130">
        <v>500</v>
      </c>
      <c r="H2867" s="130">
        <v>49999</v>
      </c>
      <c r="I2867" s="130" t="s">
        <v>5004</v>
      </c>
    </row>
    <row r="2868" spans="2:9">
      <c r="B2868" s="129"/>
      <c r="C2868" s="130"/>
      <c r="D2868" s="130"/>
      <c r="E2868" s="130"/>
      <c r="F2868" s="130"/>
      <c r="G2868" s="130"/>
      <c r="H2868" s="130"/>
      <c r="I2868" s="130"/>
    </row>
    <row r="2869" spans="2:9">
      <c r="B2869" s="129"/>
      <c r="C2869" s="130"/>
      <c r="D2869" s="130"/>
      <c r="E2869" s="130"/>
      <c r="F2869" s="130"/>
      <c r="G2869" s="130"/>
      <c r="H2869" s="130"/>
      <c r="I2869" s="130"/>
    </row>
    <row r="2870" spans="2:9">
      <c r="B2870" s="129">
        <v>950</v>
      </c>
      <c r="C2870" s="130" t="s">
        <v>5208</v>
      </c>
      <c r="D2870" s="130" t="s">
        <v>5350</v>
      </c>
      <c r="E2870" s="130" t="s">
        <v>5132</v>
      </c>
      <c r="F2870" s="130" t="s">
        <v>5033</v>
      </c>
      <c r="G2870" s="130">
        <v>1000</v>
      </c>
      <c r="H2870" s="130">
        <v>10000</v>
      </c>
      <c r="I2870" s="130" t="s">
        <v>5004</v>
      </c>
    </row>
    <row r="2871" spans="2:9">
      <c r="B2871" s="129"/>
      <c r="C2871" s="130"/>
      <c r="D2871" s="130"/>
      <c r="E2871" s="130"/>
      <c r="F2871" s="130"/>
      <c r="G2871" s="130"/>
      <c r="H2871" s="130"/>
      <c r="I2871" s="130"/>
    </row>
    <row r="2872" spans="2:9">
      <c r="B2872" s="129"/>
      <c r="C2872" s="130"/>
      <c r="D2872" s="130"/>
      <c r="E2872" s="130"/>
      <c r="F2872" s="130"/>
      <c r="G2872" s="130"/>
      <c r="H2872" s="130"/>
      <c r="I2872" s="130"/>
    </row>
    <row r="2873" spans="2:9">
      <c r="B2873" s="129">
        <v>951</v>
      </c>
      <c r="C2873" s="130" t="s">
        <v>5208</v>
      </c>
      <c r="D2873" s="130" t="s">
        <v>5350</v>
      </c>
      <c r="E2873" s="130" t="s">
        <v>5132</v>
      </c>
      <c r="F2873" s="130" t="s">
        <v>5111</v>
      </c>
      <c r="G2873" s="130">
        <v>10000</v>
      </c>
      <c r="H2873" s="130">
        <v>49999</v>
      </c>
      <c r="I2873" s="130" t="s">
        <v>5004</v>
      </c>
    </row>
    <row r="2874" spans="2:9">
      <c r="B2874" s="129"/>
      <c r="C2874" s="130"/>
      <c r="D2874" s="130"/>
      <c r="E2874" s="130"/>
      <c r="F2874" s="130"/>
      <c r="G2874" s="130"/>
      <c r="H2874" s="130"/>
      <c r="I2874" s="130"/>
    </row>
    <row r="2875" spans="2:9">
      <c r="B2875" s="129"/>
      <c r="C2875" s="130"/>
      <c r="D2875" s="130"/>
      <c r="E2875" s="130"/>
      <c r="F2875" s="130"/>
      <c r="G2875" s="130"/>
      <c r="H2875" s="130"/>
      <c r="I2875" s="130"/>
    </row>
    <row r="2876" spans="2:9">
      <c r="B2876" s="129">
        <v>952</v>
      </c>
      <c r="C2876" s="130" t="s">
        <v>5208</v>
      </c>
      <c r="D2876" s="130" t="s">
        <v>5351</v>
      </c>
      <c r="E2876" s="130" t="s">
        <v>5132</v>
      </c>
      <c r="F2876" s="130" t="s">
        <v>5008</v>
      </c>
      <c r="G2876" s="130">
        <v>1000</v>
      </c>
      <c r="H2876" s="130">
        <v>10000</v>
      </c>
      <c r="I2876" s="130" t="s">
        <v>5004</v>
      </c>
    </row>
    <row r="2877" spans="2:9">
      <c r="B2877" s="129"/>
      <c r="C2877" s="130"/>
      <c r="D2877" s="130"/>
      <c r="E2877" s="130"/>
      <c r="F2877" s="130"/>
      <c r="G2877" s="130"/>
      <c r="H2877" s="130"/>
      <c r="I2877" s="130"/>
    </row>
    <row r="2878" spans="2:9">
      <c r="B2878" s="129"/>
      <c r="C2878" s="130"/>
      <c r="D2878" s="130"/>
      <c r="E2878" s="130"/>
      <c r="F2878" s="130"/>
      <c r="G2878" s="130"/>
      <c r="H2878" s="130"/>
      <c r="I2878" s="130"/>
    </row>
    <row r="2879" spans="2:9">
      <c r="B2879" s="129">
        <v>953</v>
      </c>
      <c r="C2879" s="130" t="s">
        <v>5208</v>
      </c>
      <c r="D2879" s="130" t="s">
        <v>5352</v>
      </c>
      <c r="E2879" s="130" t="s">
        <v>5341</v>
      </c>
      <c r="F2879" s="130" t="s">
        <v>5033</v>
      </c>
      <c r="G2879" s="130">
        <v>500</v>
      </c>
      <c r="H2879" s="130" t="s">
        <v>5037</v>
      </c>
      <c r="I2879" s="130" t="s">
        <v>5004</v>
      </c>
    </row>
    <row r="2880" spans="2:9">
      <c r="B2880" s="129"/>
      <c r="C2880" s="130"/>
      <c r="D2880" s="130"/>
      <c r="E2880" s="130"/>
      <c r="F2880" s="130"/>
      <c r="G2880" s="130"/>
      <c r="H2880" s="130"/>
      <c r="I2880" s="130"/>
    </row>
    <row r="2881" spans="2:9">
      <c r="B2881" s="129"/>
      <c r="C2881" s="130"/>
      <c r="D2881" s="130"/>
      <c r="E2881" s="130"/>
      <c r="F2881" s="130"/>
      <c r="G2881" s="130"/>
      <c r="H2881" s="130"/>
      <c r="I2881" s="130"/>
    </row>
    <row r="2882" spans="2:9">
      <c r="B2882" s="129">
        <v>954</v>
      </c>
      <c r="C2882" s="130" t="s">
        <v>5301</v>
      </c>
      <c r="D2882" s="130" t="s">
        <v>5353</v>
      </c>
      <c r="E2882" s="130" t="s">
        <v>5133</v>
      </c>
      <c r="F2882" s="130" t="s">
        <v>5139</v>
      </c>
      <c r="G2882" s="130">
        <v>50000</v>
      </c>
      <c r="H2882" s="130">
        <v>99999</v>
      </c>
      <c r="I2882" s="130" t="s">
        <v>5004</v>
      </c>
    </row>
    <row r="2883" spans="2:9">
      <c r="B2883" s="129"/>
      <c r="C2883" s="130"/>
      <c r="D2883" s="130"/>
      <c r="E2883" s="130"/>
      <c r="F2883" s="130"/>
      <c r="G2883" s="130"/>
      <c r="H2883" s="130"/>
      <c r="I2883" s="130"/>
    </row>
    <row r="2884" spans="2:9">
      <c r="B2884" s="129"/>
      <c r="C2884" s="130"/>
      <c r="D2884" s="130"/>
      <c r="E2884" s="130"/>
      <c r="F2884" s="130"/>
      <c r="G2884" s="130"/>
      <c r="H2884" s="130"/>
      <c r="I2884" s="130"/>
    </row>
    <row r="2885" spans="2:9">
      <c r="B2885" s="129">
        <v>955</v>
      </c>
      <c r="C2885" s="130" t="s">
        <v>5301</v>
      </c>
      <c r="D2885" s="130" t="s">
        <v>5353</v>
      </c>
      <c r="E2885" s="130" t="s">
        <v>5133</v>
      </c>
      <c r="F2885" s="130" t="s">
        <v>5031</v>
      </c>
      <c r="G2885" s="130">
        <v>500</v>
      </c>
      <c r="H2885" s="130">
        <v>49999</v>
      </c>
      <c r="I2885" s="130" t="s">
        <v>5004</v>
      </c>
    </row>
    <row r="2886" spans="2:9">
      <c r="B2886" s="129"/>
      <c r="C2886" s="130"/>
      <c r="D2886" s="130"/>
      <c r="E2886" s="130"/>
      <c r="F2886" s="130"/>
      <c r="G2886" s="130"/>
      <c r="H2886" s="130"/>
      <c r="I2886" s="130"/>
    </row>
    <row r="2887" spans="2:9">
      <c r="B2887" s="129"/>
      <c r="C2887" s="130"/>
      <c r="D2887" s="130"/>
      <c r="E2887" s="130"/>
      <c r="F2887" s="130"/>
      <c r="G2887" s="130"/>
      <c r="H2887" s="130"/>
      <c r="I2887" s="130"/>
    </row>
    <row r="2888" spans="2:9">
      <c r="B2888" s="129">
        <v>956</v>
      </c>
      <c r="C2888" s="130" t="s">
        <v>5009</v>
      </c>
      <c r="D2888" s="130" t="s">
        <v>5354</v>
      </c>
      <c r="E2888" s="130" t="s">
        <v>5079</v>
      </c>
      <c r="F2888" s="130" t="s">
        <v>5290</v>
      </c>
      <c r="G2888" s="130">
        <v>2000</v>
      </c>
      <c r="H2888" s="130" t="s">
        <v>5037</v>
      </c>
      <c r="I2888" s="130" t="s">
        <v>5004</v>
      </c>
    </row>
    <row r="2889" spans="2:9">
      <c r="B2889" s="129"/>
      <c r="C2889" s="130"/>
      <c r="D2889" s="130"/>
      <c r="E2889" s="130"/>
      <c r="F2889" s="130"/>
      <c r="G2889" s="130"/>
      <c r="H2889" s="130"/>
      <c r="I2889" s="130"/>
    </row>
    <row r="2890" spans="2:9">
      <c r="B2890" s="129"/>
      <c r="C2890" s="130"/>
      <c r="D2890" s="130"/>
      <c r="E2890" s="130"/>
      <c r="F2890" s="130"/>
      <c r="G2890" s="130"/>
      <c r="H2890" s="130"/>
      <c r="I2890" s="130"/>
    </row>
    <row r="2891" spans="2:9">
      <c r="B2891" s="129">
        <v>957</v>
      </c>
      <c r="C2891" s="130" t="s">
        <v>5024</v>
      </c>
      <c r="D2891" s="130" t="s">
        <v>5354</v>
      </c>
      <c r="E2891" s="130" t="s">
        <v>5025</v>
      </c>
      <c r="F2891" s="130" t="s">
        <v>5290</v>
      </c>
      <c r="G2891" s="130">
        <v>3000</v>
      </c>
      <c r="H2891" s="130">
        <v>2000000</v>
      </c>
      <c r="I2891" s="130" t="s">
        <v>5004</v>
      </c>
    </row>
    <row r="2892" spans="2:9">
      <c r="B2892" s="129"/>
      <c r="C2892" s="130"/>
      <c r="D2892" s="130"/>
      <c r="E2892" s="130"/>
      <c r="F2892" s="130"/>
      <c r="G2892" s="130"/>
      <c r="H2892" s="130"/>
      <c r="I2892" s="130"/>
    </row>
    <row r="2893" spans="2:9">
      <c r="B2893" s="129"/>
      <c r="C2893" s="130"/>
      <c r="D2893" s="130"/>
      <c r="E2893" s="130"/>
      <c r="F2893" s="130"/>
      <c r="G2893" s="130"/>
      <c r="H2893" s="130"/>
      <c r="I2893" s="130"/>
    </row>
    <row r="2894" spans="2:9">
      <c r="B2894" s="129">
        <v>958</v>
      </c>
      <c r="C2894" s="130" t="s">
        <v>5301</v>
      </c>
      <c r="D2894" s="130" t="s">
        <v>5354</v>
      </c>
      <c r="E2894" s="130" t="s">
        <v>5133</v>
      </c>
      <c r="F2894" s="130" t="s">
        <v>5111</v>
      </c>
      <c r="G2894" s="130">
        <v>50000</v>
      </c>
      <c r="H2894" s="130">
        <v>99999</v>
      </c>
      <c r="I2894" s="130" t="s">
        <v>5004</v>
      </c>
    </row>
    <row r="2895" spans="2:9">
      <c r="B2895" s="129"/>
      <c r="C2895" s="130"/>
      <c r="D2895" s="130"/>
      <c r="E2895" s="130"/>
      <c r="F2895" s="130"/>
      <c r="G2895" s="130"/>
      <c r="H2895" s="130"/>
      <c r="I2895" s="130"/>
    </row>
    <row r="2896" spans="2:9">
      <c r="B2896" s="129"/>
      <c r="C2896" s="130"/>
      <c r="D2896" s="130"/>
      <c r="E2896" s="130"/>
      <c r="F2896" s="130"/>
      <c r="G2896" s="130"/>
      <c r="H2896" s="130"/>
      <c r="I2896" s="130"/>
    </row>
    <row r="2897" spans="2:9">
      <c r="B2897" s="129">
        <v>959</v>
      </c>
      <c r="C2897" s="130" t="s">
        <v>5301</v>
      </c>
      <c r="D2897" s="130" t="s">
        <v>5354</v>
      </c>
      <c r="E2897" s="130" t="s">
        <v>5133</v>
      </c>
      <c r="F2897" s="130" t="s">
        <v>5003</v>
      </c>
      <c r="G2897" s="130">
        <v>50000</v>
      </c>
      <c r="H2897" s="130">
        <v>99999</v>
      </c>
      <c r="I2897" s="130" t="s">
        <v>5004</v>
      </c>
    </row>
    <row r="2898" spans="2:9">
      <c r="B2898" s="129"/>
      <c r="C2898" s="130"/>
      <c r="D2898" s="130"/>
      <c r="E2898" s="130"/>
      <c r="F2898" s="130"/>
      <c r="G2898" s="130"/>
      <c r="H2898" s="130"/>
      <c r="I2898" s="130"/>
    </row>
    <row r="2899" spans="2:9">
      <c r="B2899" s="129"/>
      <c r="C2899" s="130"/>
      <c r="D2899" s="130"/>
      <c r="E2899" s="130"/>
      <c r="F2899" s="130"/>
      <c r="G2899" s="130"/>
      <c r="H2899" s="130"/>
      <c r="I2899" s="130"/>
    </row>
    <row r="2900" spans="2:9">
      <c r="B2900" s="129">
        <v>960</v>
      </c>
      <c r="C2900" s="130" t="s">
        <v>5301</v>
      </c>
      <c r="D2900" s="130" t="s">
        <v>5354</v>
      </c>
      <c r="E2900" s="130" t="s">
        <v>5133</v>
      </c>
      <c r="F2900" s="130" t="s">
        <v>5008</v>
      </c>
      <c r="G2900" s="130">
        <v>50000</v>
      </c>
      <c r="H2900" s="130">
        <v>99999</v>
      </c>
      <c r="I2900" s="130" t="s">
        <v>5004</v>
      </c>
    </row>
    <row r="2901" spans="2:9">
      <c r="B2901" s="129"/>
      <c r="C2901" s="130"/>
      <c r="D2901" s="130"/>
      <c r="E2901" s="130"/>
      <c r="F2901" s="130"/>
      <c r="G2901" s="130"/>
      <c r="H2901" s="130"/>
      <c r="I2901" s="130"/>
    </row>
    <row r="2902" spans="2:9">
      <c r="B2902" s="129"/>
      <c r="C2902" s="130"/>
      <c r="D2902" s="130"/>
      <c r="E2902" s="130"/>
      <c r="F2902" s="130"/>
      <c r="G2902" s="130"/>
      <c r="H2902" s="130"/>
      <c r="I2902" s="130"/>
    </row>
    <row r="2903" spans="2:9">
      <c r="B2903" s="129">
        <v>961</v>
      </c>
      <c r="C2903" s="130" t="s">
        <v>5301</v>
      </c>
      <c r="D2903" s="130" t="s">
        <v>5354</v>
      </c>
      <c r="E2903" s="130" t="s">
        <v>5133</v>
      </c>
      <c r="F2903" s="130" t="s">
        <v>5033</v>
      </c>
      <c r="G2903" s="130">
        <v>50000</v>
      </c>
      <c r="H2903" s="130">
        <v>99999</v>
      </c>
      <c r="I2903" s="130" t="s">
        <v>5004</v>
      </c>
    </row>
    <row r="2904" spans="2:9">
      <c r="B2904" s="129"/>
      <c r="C2904" s="130"/>
      <c r="D2904" s="130"/>
      <c r="E2904" s="130"/>
      <c r="F2904" s="130"/>
      <c r="G2904" s="130"/>
      <c r="H2904" s="130"/>
      <c r="I2904" s="130"/>
    </row>
    <row r="2905" spans="2:9">
      <c r="B2905" s="129"/>
      <c r="C2905" s="130"/>
      <c r="D2905" s="130"/>
      <c r="E2905" s="130"/>
      <c r="F2905" s="130"/>
      <c r="G2905" s="130"/>
      <c r="H2905" s="130"/>
      <c r="I2905" s="130"/>
    </row>
    <row r="2906" spans="2:9">
      <c r="B2906" s="129">
        <v>962</v>
      </c>
      <c r="C2906" s="130" t="s">
        <v>5208</v>
      </c>
      <c r="D2906" s="130" t="s">
        <v>5354</v>
      </c>
      <c r="E2906" s="130" t="s">
        <v>5132</v>
      </c>
      <c r="F2906" s="130" t="s">
        <v>5003</v>
      </c>
      <c r="G2906" s="130">
        <v>1000</v>
      </c>
      <c r="H2906" s="130">
        <v>10000</v>
      </c>
      <c r="I2906" s="130" t="s">
        <v>5004</v>
      </c>
    </row>
    <row r="2907" spans="2:9">
      <c r="B2907" s="129"/>
      <c r="C2907" s="130"/>
      <c r="D2907" s="130"/>
      <c r="E2907" s="130"/>
      <c r="F2907" s="130"/>
      <c r="G2907" s="130"/>
      <c r="H2907" s="130"/>
      <c r="I2907" s="130"/>
    </row>
    <row r="2908" spans="2:9">
      <c r="B2908" s="129"/>
      <c r="C2908" s="130"/>
      <c r="D2908" s="130"/>
      <c r="E2908" s="130"/>
      <c r="F2908" s="130"/>
      <c r="G2908" s="130"/>
      <c r="H2908" s="130"/>
      <c r="I2908" s="130"/>
    </row>
    <row r="2909" spans="2:9">
      <c r="B2909" s="129">
        <v>963</v>
      </c>
      <c r="C2909" s="130" t="s">
        <v>5208</v>
      </c>
      <c r="D2909" s="130" t="s">
        <v>5355</v>
      </c>
      <c r="E2909" s="130" t="s">
        <v>5341</v>
      </c>
      <c r="F2909" s="130" t="s">
        <v>5008</v>
      </c>
      <c r="G2909" s="130">
        <v>500</v>
      </c>
      <c r="H2909" s="130" t="s">
        <v>5037</v>
      </c>
      <c r="I2909" s="130" t="s">
        <v>5004</v>
      </c>
    </row>
    <row r="2910" spans="2:9">
      <c r="B2910" s="129"/>
      <c r="C2910" s="130"/>
      <c r="D2910" s="130"/>
      <c r="E2910" s="130"/>
      <c r="F2910" s="130"/>
      <c r="G2910" s="130"/>
      <c r="H2910" s="130"/>
      <c r="I2910" s="130"/>
    </row>
    <row r="2911" spans="2:9">
      <c r="B2911" s="129"/>
      <c r="C2911" s="130"/>
      <c r="D2911" s="130"/>
      <c r="E2911" s="130"/>
      <c r="F2911" s="130"/>
      <c r="G2911" s="130"/>
      <c r="H2911" s="130"/>
      <c r="I2911" s="130"/>
    </row>
    <row r="2912" spans="2:9">
      <c r="B2912" s="129">
        <v>964</v>
      </c>
      <c r="C2912" s="130" t="s">
        <v>5301</v>
      </c>
      <c r="D2912" s="130" t="s">
        <v>5356</v>
      </c>
      <c r="E2912" s="130" t="s">
        <v>5133</v>
      </c>
      <c r="F2912" s="130" t="s">
        <v>5139</v>
      </c>
      <c r="G2912" s="130">
        <v>500</v>
      </c>
      <c r="H2912" s="130">
        <v>49999</v>
      </c>
      <c r="I2912" s="130" t="s">
        <v>5004</v>
      </c>
    </row>
    <row r="2913" spans="2:9">
      <c r="B2913" s="129"/>
      <c r="C2913" s="130"/>
      <c r="D2913" s="130"/>
      <c r="E2913" s="130"/>
      <c r="F2913" s="130"/>
      <c r="G2913" s="130"/>
      <c r="H2913" s="130"/>
      <c r="I2913" s="130"/>
    </row>
    <row r="2914" spans="2:9">
      <c r="B2914" s="129"/>
      <c r="C2914" s="130"/>
      <c r="D2914" s="130"/>
      <c r="E2914" s="130"/>
      <c r="F2914" s="130"/>
      <c r="G2914" s="130"/>
      <c r="H2914" s="130"/>
      <c r="I2914" s="130"/>
    </row>
    <row r="2915" spans="2:9">
      <c r="B2915" s="129">
        <v>965</v>
      </c>
      <c r="C2915" s="130" t="s">
        <v>5208</v>
      </c>
      <c r="D2915" s="130" t="s">
        <v>5356</v>
      </c>
      <c r="E2915" s="130" t="s">
        <v>5132</v>
      </c>
      <c r="F2915" s="130" t="s">
        <v>5111</v>
      </c>
      <c r="G2915" s="130">
        <v>1000</v>
      </c>
      <c r="H2915" s="130">
        <v>10000</v>
      </c>
      <c r="I2915" s="130" t="s">
        <v>5004</v>
      </c>
    </row>
    <row r="2916" spans="2:9">
      <c r="B2916" s="129"/>
      <c r="C2916" s="130"/>
      <c r="D2916" s="130"/>
      <c r="E2916" s="130"/>
      <c r="F2916" s="130"/>
      <c r="G2916" s="130"/>
      <c r="H2916" s="130"/>
      <c r="I2916" s="130"/>
    </row>
    <row r="2917" spans="2:9">
      <c r="B2917" s="129"/>
      <c r="C2917" s="130"/>
      <c r="D2917" s="130"/>
      <c r="E2917" s="130"/>
      <c r="F2917" s="130"/>
      <c r="G2917" s="130"/>
      <c r="H2917" s="130"/>
      <c r="I2917" s="130"/>
    </row>
    <row r="2918" spans="2:9">
      <c r="B2918" s="129">
        <v>966</v>
      </c>
      <c r="C2918" s="130" t="s">
        <v>5184</v>
      </c>
      <c r="D2918" s="130" t="s">
        <v>5357</v>
      </c>
      <c r="E2918" s="130" t="s">
        <v>5358</v>
      </c>
      <c r="F2918" s="130" t="s">
        <v>5012</v>
      </c>
      <c r="G2918" s="130">
        <v>0</v>
      </c>
      <c r="H2918" s="130" t="s">
        <v>5037</v>
      </c>
      <c r="I2918" s="130" t="s">
        <v>5029</v>
      </c>
    </row>
    <row r="2919" spans="2:9">
      <c r="B2919" s="129"/>
      <c r="C2919" s="130"/>
      <c r="D2919" s="130"/>
      <c r="E2919" s="130"/>
      <c r="F2919" s="130"/>
      <c r="G2919" s="130"/>
      <c r="H2919" s="130"/>
      <c r="I2919" s="130"/>
    </row>
    <row r="2920" spans="2:9">
      <c r="B2920" s="129"/>
      <c r="C2920" s="130"/>
      <c r="D2920" s="130"/>
      <c r="E2920" s="130"/>
      <c r="F2920" s="130"/>
      <c r="G2920" s="130"/>
      <c r="H2920" s="130"/>
      <c r="I2920" s="130"/>
    </row>
    <row r="2921" spans="2:9">
      <c r="B2921" s="129">
        <v>967</v>
      </c>
      <c r="C2921" s="130" t="s">
        <v>5301</v>
      </c>
      <c r="D2921" s="130" t="s">
        <v>5357</v>
      </c>
      <c r="E2921" s="130" t="s">
        <v>5133</v>
      </c>
      <c r="F2921" s="130" t="s">
        <v>5111</v>
      </c>
      <c r="G2921" s="130">
        <v>500</v>
      </c>
      <c r="H2921" s="130">
        <v>49999</v>
      </c>
      <c r="I2921" s="130" t="s">
        <v>5004</v>
      </c>
    </row>
    <row r="2922" spans="2:9">
      <c r="B2922" s="129"/>
      <c r="C2922" s="130"/>
      <c r="D2922" s="130"/>
      <c r="E2922" s="130"/>
      <c r="F2922" s="130"/>
      <c r="G2922" s="130"/>
      <c r="H2922" s="130"/>
      <c r="I2922" s="130"/>
    </row>
    <row r="2923" spans="2:9">
      <c r="B2923" s="129"/>
      <c r="C2923" s="130"/>
      <c r="D2923" s="130"/>
      <c r="E2923" s="130"/>
      <c r="F2923" s="130"/>
      <c r="G2923" s="130"/>
      <c r="H2923" s="130"/>
      <c r="I2923" s="130"/>
    </row>
    <row r="2924" spans="2:9">
      <c r="B2924" s="129">
        <v>968</v>
      </c>
      <c r="C2924" s="130" t="s">
        <v>5301</v>
      </c>
      <c r="D2924" s="130" t="s">
        <v>5357</v>
      </c>
      <c r="E2924" s="130" t="s">
        <v>5133</v>
      </c>
      <c r="F2924" s="130" t="s">
        <v>5003</v>
      </c>
      <c r="G2924" s="130">
        <v>500</v>
      </c>
      <c r="H2924" s="130">
        <v>49999</v>
      </c>
      <c r="I2924" s="130" t="s">
        <v>5004</v>
      </c>
    </row>
    <row r="2925" spans="2:9">
      <c r="B2925" s="129"/>
      <c r="C2925" s="130"/>
      <c r="D2925" s="130"/>
      <c r="E2925" s="130"/>
      <c r="F2925" s="130"/>
      <c r="G2925" s="130"/>
      <c r="H2925" s="130"/>
      <c r="I2925" s="130"/>
    </row>
    <row r="2926" spans="2:9">
      <c r="B2926" s="129"/>
      <c r="C2926" s="130"/>
      <c r="D2926" s="130"/>
      <c r="E2926" s="130"/>
      <c r="F2926" s="130"/>
      <c r="G2926" s="130"/>
      <c r="H2926" s="130"/>
      <c r="I2926" s="130"/>
    </row>
    <row r="2927" spans="2:9">
      <c r="B2927" s="129">
        <v>969</v>
      </c>
      <c r="C2927" s="130" t="s">
        <v>5301</v>
      </c>
      <c r="D2927" s="130" t="s">
        <v>5357</v>
      </c>
      <c r="E2927" s="130" t="s">
        <v>5133</v>
      </c>
      <c r="F2927" s="130" t="s">
        <v>5008</v>
      </c>
      <c r="G2927" s="130">
        <v>500</v>
      </c>
      <c r="H2927" s="130">
        <v>49999</v>
      </c>
      <c r="I2927" s="130" t="s">
        <v>5004</v>
      </c>
    </row>
    <row r="2928" spans="2:9">
      <c r="B2928" s="129"/>
      <c r="C2928" s="130"/>
      <c r="D2928" s="130"/>
      <c r="E2928" s="130"/>
      <c r="F2928" s="130"/>
      <c r="G2928" s="130"/>
      <c r="H2928" s="130"/>
      <c r="I2928" s="130"/>
    </row>
    <row r="2929" spans="2:9">
      <c r="B2929" s="129"/>
      <c r="C2929" s="130"/>
      <c r="D2929" s="130"/>
      <c r="E2929" s="130"/>
      <c r="F2929" s="130"/>
      <c r="G2929" s="130"/>
      <c r="H2929" s="130"/>
      <c r="I2929" s="130"/>
    </row>
    <row r="2930" spans="2:9">
      <c r="B2930" s="129">
        <v>970</v>
      </c>
      <c r="C2930" s="130" t="s">
        <v>5301</v>
      </c>
      <c r="D2930" s="130" t="s">
        <v>5357</v>
      </c>
      <c r="E2930" s="130" t="s">
        <v>5133</v>
      </c>
      <c r="F2930" s="130" t="s">
        <v>5033</v>
      </c>
      <c r="G2930" s="130">
        <v>500</v>
      </c>
      <c r="H2930" s="130">
        <v>49999</v>
      </c>
      <c r="I2930" s="130" t="s">
        <v>5004</v>
      </c>
    </row>
    <row r="2931" spans="2:9">
      <c r="B2931" s="129"/>
      <c r="C2931" s="130"/>
      <c r="D2931" s="130"/>
      <c r="E2931" s="130"/>
      <c r="F2931" s="130"/>
      <c r="G2931" s="130"/>
      <c r="H2931" s="130"/>
      <c r="I2931" s="130"/>
    </row>
    <row r="2932" spans="2:9">
      <c r="B2932" s="129"/>
      <c r="C2932" s="130"/>
      <c r="D2932" s="130"/>
      <c r="E2932" s="130"/>
      <c r="F2932" s="130"/>
      <c r="G2932" s="130"/>
      <c r="H2932" s="130"/>
      <c r="I2932" s="130"/>
    </row>
    <row r="2933" spans="2:9">
      <c r="B2933" s="129">
        <v>971</v>
      </c>
      <c r="C2933" s="130" t="s">
        <v>5005</v>
      </c>
      <c r="D2933" s="130" t="s">
        <v>5357</v>
      </c>
      <c r="E2933" s="130" t="s">
        <v>5243</v>
      </c>
      <c r="F2933" s="130" t="s">
        <v>5012</v>
      </c>
      <c r="G2933" s="130">
        <v>0</v>
      </c>
      <c r="H2933" s="130">
        <v>999</v>
      </c>
      <c r="I2933" s="130" t="s">
        <v>5013</v>
      </c>
    </row>
    <row r="2934" spans="2:9">
      <c r="B2934" s="129"/>
      <c r="C2934" s="130"/>
      <c r="D2934" s="130"/>
      <c r="E2934" s="130"/>
      <c r="F2934" s="130"/>
      <c r="G2934" s="130"/>
      <c r="H2934" s="130"/>
      <c r="I2934" s="130"/>
    </row>
    <row r="2935" spans="2:9">
      <c r="B2935" s="129"/>
      <c r="C2935" s="130"/>
      <c r="D2935" s="130"/>
      <c r="E2935" s="130"/>
      <c r="F2935" s="130"/>
      <c r="G2935" s="130"/>
      <c r="H2935" s="130"/>
      <c r="I2935" s="130"/>
    </row>
    <row r="2936" spans="2:9">
      <c r="B2936" s="129">
        <v>972</v>
      </c>
      <c r="C2936" s="130" t="s">
        <v>5009</v>
      </c>
      <c r="D2936" s="130" t="s">
        <v>5359</v>
      </c>
      <c r="E2936" s="130" t="s">
        <v>5360</v>
      </c>
      <c r="F2936" s="130" t="s">
        <v>5026</v>
      </c>
      <c r="G2936" s="130">
        <v>1000</v>
      </c>
      <c r="H2936" s="130" t="s">
        <v>5037</v>
      </c>
      <c r="I2936" s="130" t="s">
        <v>5004</v>
      </c>
    </row>
    <row r="2937" spans="2:9">
      <c r="B2937" s="129"/>
      <c r="C2937" s="130"/>
      <c r="D2937" s="130"/>
      <c r="E2937" s="130"/>
      <c r="F2937" s="130"/>
      <c r="G2937" s="130"/>
      <c r="H2937" s="130"/>
      <c r="I2937" s="130"/>
    </row>
    <row r="2938" spans="2:9">
      <c r="B2938" s="129"/>
      <c r="C2938" s="130"/>
      <c r="D2938" s="130"/>
      <c r="E2938" s="130"/>
      <c r="F2938" s="130"/>
      <c r="G2938" s="130"/>
      <c r="H2938" s="130"/>
      <c r="I2938" s="130"/>
    </row>
    <row r="2939" spans="2:9">
      <c r="B2939" s="129">
        <v>973</v>
      </c>
      <c r="C2939" s="130" t="s">
        <v>5208</v>
      </c>
      <c r="D2939" s="130" t="s">
        <v>5361</v>
      </c>
      <c r="E2939" s="130" t="s">
        <v>5132</v>
      </c>
      <c r="F2939" s="130" t="s">
        <v>5310</v>
      </c>
      <c r="G2939" s="130">
        <v>10000</v>
      </c>
      <c r="H2939" s="130" t="s">
        <v>5037</v>
      </c>
      <c r="I2939" s="130" t="s">
        <v>5004</v>
      </c>
    </row>
    <row r="2940" spans="2:9">
      <c r="B2940" s="129"/>
      <c r="C2940" s="130"/>
      <c r="D2940" s="130"/>
      <c r="E2940" s="130"/>
      <c r="F2940" s="130"/>
      <c r="G2940" s="130"/>
      <c r="H2940" s="130"/>
      <c r="I2940" s="130"/>
    </row>
    <row r="2941" spans="2:9">
      <c r="B2941" s="129"/>
      <c r="C2941" s="130"/>
      <c r="D2941" s="130"/>
      <c r="E2941" s="130"/>
      <c r="F2941" s="130"/>
      <c r="G2941" s="130"/>
      <c r="H2941" s="130"/>
      <c r="I2941" s="130"/>
    </row>
    <row r="2942" spans="2:9">
      <c r="B2942" s="129">
        <v>974</v>
      </c>
      <c r="C2942" s="130" t="s">
        <v>5208</v>
      </c>
      <c r="D2942" s="130" t="s">
        <v>5362</v>
      </c>
      <c r="E2942" s="130" t="s">
        <v>5132</v>
      </c>
      <c r="F2942" s="130" t="s">
        <v>5288</v>
      </c>
      <c r="G2942" s="130">
        <v>10000</v>
      </c>
      <c r="H2942" s="130" t="s">
        <v>5037</v>
      </c>
      <c r="I2942" s="130" t="s">
        <v>5004</v>
      </c>
    </row>
  </sheetData>
  <dataValidations count="1">
    <dataValidation type="list" allowBlank="1" showInputMessage="1" showErrorMessage="1" sqref="D8" xr:uid="{00000000-0002-0000-0600-000000000000}">
      <formula1>"TAK,NIE"</formula1>
    </dataValidation>
  </dataValidations>
  <pageMargins left="0.7" right="0.7" top="0.75" bottom="0.75" header="0.3" footer="0.3"/>
  <pageSetup paperSize="9" orientation="portrait" horizontalDpi="4294967293" r:id="rId1"/>
  <headerFooter>
    <oddFooter>&amp;Lã LabMasters.pl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07"/>
  <dimension ref="A1:D23"/>
  <sheetViews>
    <sheetView zoomScaleNormal="100" workbookViewId="0"/>
  </sheetViews>
  <sheetFormatPr defaultRowHeight="12.75" customHeight="1"/>
  <cols>
    <col min="1" max="1" width="9.109375" style="10"/>
    <col min="2" max="2" width="36.5546875" style="10" customWidth="1"/>
    <col min="3" max="3" width="11.33203125" style="10" customWidth="1"/>
    <col min="4" max="258" width="9.109375" style="10"/>
    <col min="259" max="259" width="12.33203125" style="10" customWidth="1"/>
    <col min="260" max="514" width="9.109375" style="10"/>
    <col min="515" max="515" width="12.33203125" style="10" customWidth="1"/>
    <col min="516" max="770" width="9.109375" style="10"/>
    <col min="771" max="771" width="12.33203125" style="10" customWidth="1"/>
    <col min="772" max="1026" width="9.109375" style="10"/>
    <col min="1027" max="1027" width="12.33203125" style="10" customWidth="1"/>
    <col min="1028" max="1282" width="9.109375" style="10"/>
    <col min="1283" max="1283" width="12.33203125" style="10" customWidth="1"/>
    <col min="1284" max="1538" width="9.109375" style="10"/>
    <col min="1539" max="1539" width="12.33203125" style="10" customWidth="1"/>
    <col min="1540" max="1794" width="9.109375" style="10"/>
    <col min="1795" max="1795" width="12.33203125" style="10" customWidth="1"/>
    <col min="1796" max="2050" width="9.109375" style="10"/>
    <col min="2051" max="2051" width="12.33203125" style="10" customWidth="1"/>
    <col min="2052" max="2306" width="9.109375" style="10"/>
    <col min="2307" max="2307" width="12.33203125" style="10" customWidth="1"/>
    <col min="2308" max="2562" width="9.109375" style="10"/>
    <col min="2563" max="2563" width="12.33203125" style="10" customWidth="1"/>
    <col min="2564" max="2818" width="9.109375" style="10"/>
    <col min="2819" max="2819" width="12.33203125" style="10" customWidth="1"/>
    <col min="2820" max="3074" width="9.109375" style="10"/>
    <col min="3075" max="3075" width="12.33203125" style="10" customWidth="1"/>
    <col min="3076" max="3330" width="9.109375" style="10"/>
    <col min="3331" max="3331" width="12.33203125" style="10" customWidth="1"/>
    <col min="3332" max="3586" width="9.109375" style="10"/>
    <col min="3587" max="3587" width="12.33203125" style="10" customWidth="1"/>
    <col min="3588" max="3842" width="9.109375" style="10"/>
    <col min="3843" max="3843" width="12.33203125" style="10" customWidth="1"/>
    <col min="3844" max="4098" width="9.109375" style="10"/>
    <col min="4099" max="4099" width="12.33203125" style="10" customWidth="1"/>
    <col min="4100" max="4354" width="9.109375" style="10"/>
    <col min="4355" max="4355" width="12.33203125" style="10" customWidth="1"/>
    <col min="4356" max="4610" width="9.109375" style="10"/>
    <col min="4611" max="4611" width="12.33203125" style="10" customWidth="1"/>
    <col min="4612" max="4866" width="9.109375" style="10"/>
    <col min="4867" max="4867" width="12.33203125" style="10" customWidth="1"/>
    <col min="4868" max="5122" width="9.109375" style="10"/>
    <col min="5123" max="5123" width="12.33203125" style="10" customWidth="1"/>
    <col min="5124" max="5378" width="9.109375" style="10"/>
    <col min="5379" max="5379" width="12.33203125" style="10" customWidth="1"/>
    <col min="5380" max="5634" width="9.109375" style="10"/>
    <col min="5635" max="5635" width="12.33203125" style="10" customWidth="1"/>
    <col min="5636" max="5890" width="9.109375" style="10"/>
    <col min="5891" max="5891" width="12.33203125" style="10" customWidth="1"/>
    <col min="5892" max="6146" width="9.109375" style="10"/>
    <col min="6147" max="6147" width="12.33203125" style="10" customWidth="1"/>
    <col min="6148" max="6402" width="9.109375" style="10"/>
    <col min="6403" max="6403" width="12.33203125" style="10" customWidth="1"/>
    <col min="6404" max="6658" width="9.109375" style="10"/>
    <col min="6659" max="6659" width="12.33203125" style="10" customWidth="1"/>
    <col min="6660" max="6914" width="9.109375" style="10"/>
    <col min="6915" max="6915" width="12.33203125" style="10" customWidth="1"/>
    <col min="6916" max="7170" width="9.109375" style="10"/>
    <col min="7171" max="7171" width="12.33203125" style="10" customWidth="1"/>
    <col min="7172" max="7426" width="9.109375" style="10"/>
    <col min="7427" max="7427" width="12.33203125" style="10" customWidth="1"/>
    <col min="7428" max="7682" width="9.109375" style="10"/>
    <col min="7683" max="7683" width="12.33203125" style="10" customWidth="1"/>
    <col min="7684" max="7938" width="9.109375" style="10"/>
    <col min="7939" max="7939" width="12.33203125" style="10" customWidth="1"/>
    <col min="7940" max="8194" width="9.109375" style="10"/>
    <col min="8195" max="8195" width="12.33203125" style="10" customWidth="1"/>
    <col min="8196" max="8450" width="9.109375" style="10"/>
    <col min="8451" max="8451" width="12.33203125" style="10" customWidth="1"/>
    <col min="8452" max="8706" width="9.109375" style="10"/>
    <col min="8707" max="8707" width="12.33203125" style="10" customWidth="1"/>
    <col min="8708" max="8962" width="9.109375" style="10"/>
    <col min="8963" max="8963" width="12.33203125" style="10" customWidth="1"/>
    <col min="8964" max="9218" width="9.109375" style="10"/>
    <col min="9219" max="9219" width="12.33203125" style="10" customWidth="1"/>
    <col min="9220" max="9474" width="9.109375" style="10"/>
    <col min="9475" max="9475" width="12.33203125" style="10" customWidth="1"/>
    <col min="9476" max="9730" width="9.109375" style="10"/>
    <col min="9731" max="9731" width="12.33203125" style="10" customWidth="1"/>
    <col min="9732" max="9986" width="9.109375" style="10"/>
    <col min="9987" max="9987" width="12.33203125" style="10" customWidth="1"/>
    <col min="9988" max="10242" width="9.109375" style="10"/>
    <col min="10243" max="10243" width="12.33203125" style="10" customWidth="1"/>
    <col min="10244" max="10498" width="9.109375" style="10"/>
    <col min="10499" max="10499" width="12.33203125" style="10" customWidth="1"/>
    <col min="10500" max="10754" width="9.109375" style="10"/>
    <col min="10755" max="10755" width="12.33203125" style="10" customWidth="1"/>
    <col min="10756" max="11010" width="9.109375" style="10"/>
    <col min="11011" max="11011" width="12.33203125" style="10" customWidth="1"/>
    <col min="11012" max="11266" width="9.109375" style="10"/>
    <col min="11267" max="11267" width="12.33203125" style="10" customWidth="1"/>
    <col min="11268" max="11522" width="9.109375" style="10"/>
    <col min="11523" max="11523" width="12.33203125" style="10" customWidth="1"/>
    <col min="11524" max="11778" width="9.109375" style="10"/>
    <col min="11779" max="11779" width="12.33203125" style="10" customWidth="1"/>
    <col min="11780" max="12034" width="9.109375" style="10"/>
    <col min="12035" max="12035" width="12.33203125" style="10" customWidth="1"/>
    <col min="12036" max="12290" width="9.109375" style="10"/>
    <col min="12291" max="12291" width="12.33203125" style="10" customWidth="1"/>
    <col min="12292" max="12546" width="9.109375" style="10"/>
    <col min="12547" max="12547" width="12.33203125" style="10" customWidth="1"/>
    <col min="12548" max="12802" width="9.109375" style="10"/>
    <col min="12803" max="12803" width="12.33203125" style="10" customWidth="1"/>
    <col min="12804" max="13058" width="9.109375" style="10"/>
    <col min="13059" max="13059" width="12.33203125" style="10" customWidth="1"/>
    <col min="13060" max="13314" width="9.109375" style="10"/>
    <col min="13315" max="13315" width="12.33203125" style="10" customWidth="1"/>
    <col min="13316" max="13570" width="9.109375" style="10"/>
    <col min="13571" max="13571" width="12.33203125" style="10" customWidth="1"/>
    <col min="13572" max="13826" width="9.109375" style="10"/>
    <col min="13827" max="13827" width="12.33203125" style="10" customWidth="1"/>
    <col min="13828" max="14082" width="9.109375" style="10"/>
    <col min="14083" max="14083" width="12.33203125" style="10" customWidth="1"/>
    <col min="14084" max="14338" width="9.109375" style="10"/>
    <col min="14339" max="14339" width="12.33203125" style="10" customWidth="1"/>
    <col min="14340" max="14594" width="9.109375" style="10"/>
    <col min="14595" max="14595" width="12.33203125" style="10" customWidth="1"/>
    <col min="14596" max="14850" width="9.109375" style="10"/>
    <col min="14851" max="14851" width="12.33203125" style="10" customWidth="1"/>
    <col min="14852" max="15106" width="9.109375" style="10"/>
    <col min="15107" max="15107" width="12.33203125" style="10" customWidth="1"/>
    <col min="15108" max="15362" width="9.109375" style="10"/>
    <col min="15363" max="15363" width="12.33203125" style="10" customWidth="1"/>
    <col min="15364" max="15618" width="9.109375" style="10"/>
    <col min="15619" max="15619" width="12.33203125" style="10" customWidth="1"/>
    <col min="15620" max="15874" width="9.109375" style="10"/>
    <col min="15875" max="15875" width="12.33203125" style="10" customWidth="1"/>
    <col min="15876" max="16130" width="9.109375" style="10"/>
    <col min="16131" max="16131" width="12.33203125" style="10" customWidth="1"/>
    <col min="16132" max="16384" width="9.109375" style="10"/>
  </cols>
  <sheetData>
    <row r="1" spans="1:4" ht="12.75" customHeight="1">
      <c r="A1" s="134"/>
    </row>
    <row r="2" spans="1:4" ht="12.75" customHeight="1">
      <c r="B2" s="9"/>
    </row>
    <row r="4" spans="1:4" ht="12.75" customHeight="1">
      <c r="A4" s="135" t="s">
        <v>5363</v>
      </c>
      <c r="B4" s="10" t="s">
        <v>5364</v>
      </c>
    </row>
    <row r="5" spans="1:4" ht="12.75" customHeight="1">
      <c r="B5" s="10" t="s">
        <v>5365</v>
      </c>
    </row>
    <row r="7" spans="1:4" ht="12.75" customHeight="1">
      <c r="B7" s="136" t="s">
        <v>5366</v>
      </c>
      <c r="C7" s="137" t="s">
        <v>5367</v>
      </c>
      <c r="D7" s="12"/>
    </row>
    <row r="8" spans="1:4" ht="12.75" customHeight="1">
      <c r="B8" s="138" t="s">
        <v>5368</v>
      </c>
      <c r="C8" s="139" t="s">
        <v>5422</v>
      </c>
    </row>
    <row r="9" spans="1:4" ht="12.75" customHeight="1">
      <c r="B9" s="138" t="s">
        <v>5369</v>
      </c>
      <c r="C9" s="139" t="s">
        <v>5423</v>
      </c>
    </row>
    <row r="10" spans="1:4" ht="12.75" customHeight="1">
      <c r="B10" s="140" t="s">
        <v>5370</v>
      </c>
      <c r="C10" s="141" t="s">
        <v>5424</v>
      </c>
    </row>
    <row r="12" spans="1:4" ht="12.75" customHeight="1">
      <c r="A12" s="135" t="s">
        <v>5371</v>
      </c>
      <c r="B12" s="10" t="s">
        <v>5372</v>
      </c>
    </row>
    <row r="14" spans="1:4" ht="12.75" customHeight="1">
      <c r="B14" s="142" t="s">
        <v>5373</v>
      </c>
      <c r="C14" s="143" t="s">
        <v>5367</v>
      </c>
    </row>
    <row r="15" spans="1:4" ht="12.75" customHeight="1">
      <c r="B15" s="144" t="s">
        <v>5374</v>
      </c>
      <c r="C15" s="144" t="s">
        <v>5425</v>
      </c>
    </row>
    <row r="16" spans="1:4" ht="12.75" customHeight="1">
      <c r="B16" s="138" t="s">
        <v>5375</v>
      </c>
      <c r="C16" s="138" t="s">
        <v>5426</v>
      </c>
    </row>
    <row r="17" spans="2:3" ht="12.75" customHeight="1">
      <c r="B17" s="138" t="s">
        <v>5376</v>
      </c>
      <c r="C17" s="138" t="s">
        <v>5427</v>
      </c>
    </row>
    <row r="18" spans="2:3" ht="12.75" customHeight="1">
      <c r="B18" s="138" t="s">
        <v>5447</v>
      </c>
      <c r="C18" s="138" t="s">
        <v>5428</v>
      </c>
    </row>
    <row r="19" spans="2:3" ht="12.75" customHeight="1">
      <c r="B19" s="138" t="s">
        <v>5377</v>
      </c>
      <c r="C19" s="138" t="s">
        <v>5429</v>
      </c>
    </row>
    <row r="20" spans="2:3" ht="12.75" customHeight="1">
      <c r="B20" s="138" t="s">
        <v>5378</v>
      </c>
      <c r="C20" s="138" t="s">
        <v>5430</v>
      </c>
    </row>
    <row r="21" spans="2:3" ht="12.75" customHeight="1">
      <c r="B21" s="138" t="s">
        <v>5379</v>
      </c>
      <c r="C21" s="138" t="s">
        <v>5431</v>
      </c>
    </row>
    <row r="22" spans="2:3" ht="12.75" customHeight="1">
      <c r="B22" s="138" t="s">
        <v>5380</v>
      </c>
      <c r="C22" s="138" t="s">
        <v>5432</v>
      </c>
    </row>
    <row r="23" spans="2:3" ht="12.75" customHeight="1">
      <c r="B23" s="140" t="s">
        <v>5381</v>
      </c>
      <c r="C23" s="140" t="s">
        <v>5433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08"/>
  <dimension ref="B2:M30"/>
  <sheetViews>
    <sheetView workbookViewId="0"/>
  </sheetViews>
  <sheetFormatPr defaultRowHeight="12.75" customHeight="1"/>
  <cols>
    <col min="1" max="2" width="9.109375" style="10"/>
    <col min="3" max="8" width="7.109375" style="10" customWidth="1"/>
    <col min="9" max="258" width="9.109375" style="10"/>
    <col min="259" max="264" width="7.109375" style="10" customWidth="1"/>
    <col min="265" max="514" width="9.109375" style="10"/>
    <col min="515" max="520" width="7.109375" style="10" customWidth="1"/>
    <col min="521" max="770" width="9.109375" style="10"/>
    <col min="771" max="776" width="7.109375" style="10" customWidth="1"/>
    <col min="777" max="1026" width="9.109375" style="10"/>
    <col min="1027" max="1032" width="7.109375" style="10" customWidth="1"/>
    <col min="1033" max="1282" width="9.109375" style="10"/>
    <col min="1283" max="1288" width="7.109375" style="10" customWidth="1"/>
    <col min="1289" max="1538" width="9.109375" style="10"/>
    <col min="1539" max="1544" width="7.109375" style="10" customWidth="1"/>
    <col min="1545" max="1794" width="9.109375" style="10"/>
    <col min="1795" max="1800" width="7.109375" style="10" customWidth="1"/>
    <col min="1801" max="2050" width="9.109375" style="10"/>
    <col min="2051" max="2056" width="7.109375" style="10" customWidth="1"/>
    <col min="2057" max="2306" width="9.109375" style="10"/>
    <col min="2307" max="2312" width="7.109375" style="10" customWidth="1"/>
    <col min="2313" max="2562" width="9.109375" style="10"/>
    <col min="2563" max="2568" width="7.109375" style="10" customWidth="1"/>
    <col min="2569" max="2818" width="9.109375" style="10"/>
    <col min="2819" max="2824" width="7.109375" style="10" customWidth="1"/>
    <col min="2825" max="3074" width="9.109375" style="10"/>
    <col min="3075" max="3080" width="7.109375" style="10" customWidth="1"/>
    <col min="3081" max="3330" width="9.109375" style="10"/>
    <col min="3331" max="3336" width="7.109375" style="10" customWidth="1"/>
    <col min="3337" max="3586" width="9.109375" style="10"/>
    <col min="3587" max="3592" width="7.109375" style="10" customWidth="1"/>
    <col min="3593" max="3842" width="9.109375" style="10"/>
    <col min="3843" max="3848" width="7.109375" style="10" customWidth="1"/>
    <col min="3849" max="4098" width="9.109375" style="10"/>
    <col min="4099" max="4104" width="7.109375" style="10" customWidth="1"/>
    <col min="4105" max="4354" width="9.109375" style="10"/>
    <col min="4355" max="4360" width="7.109375" style="10" customWidth="1"/>
    <col min="4361" max="4610" width="9.109375" style="10"/>
    <col min="4611" max="4616" width="7.109375" style="10" customWidth="1"/>
    <col min="4617" max="4866" width="9.109375" style="10"/>
    <col min="4867" max="4872" width="7.109375" style="10" customWidth="1"/>
    <col min="4873" max="5122" width="9.109375" style="10"/>
    <col min="5123" max="5128" width="7.109375" style="10" customWidth="1"/>
    <col min="5129" max="5378" width="9.109375" style="10"/>
    <col min="5379" max="5384" width="7.109375" style="10" customWidth="1"/>
    <col min="5385" max="5634" width="9.109375" style="10"/>
    <col min="5635" max="5640" width="7.109375" style="10" customWidth="1"/>
    <col min="5641" max="5890" width="9.109375" style="10"/>
    <col min="5891" max="5896" width="7.109375" style="10" customWidth="1"/>
    <col min="5897" max="6146" width="9.109375" style="10"/>
    <col min="6147" max="6152" width="7.109375" style="10" customWidth="1"/>
    <col min="6153" max="6402" width="9.109375" style="10"/>
    <col min="6403" max="6408" width="7.109375" style="10" customWidth="1"/>
    <col min="6409" max="6658" width="9.109375" style="10"/>
    <col min="6659" max="6664" width="7.109375" style="10" customWidth="1"/>
    <col min="6665" max="6914" width="9.109375" style="10"/>
    <col min="6915" max="6920" width="7.109375" style="10" customWidth="1"/>
    <col min="6921" max="7170" width="9.109375" style="10"/>
    <col min="7171" max="7176" width="7.109375" style="10" customWidth="1"/>
    <col min="7177" max="7426" width="9.109375" style="10"/>
    <col min="7427" max="7432" width="7.109375" style="10" customWidth="1"/>
    <col min="7433" max="7682" width="9.109375" style="10"/>
    <col min="7683" max="7688" width="7.109375" style="10" customWidth="1"/>
    <col min="7689" max="7938" width="9.109375" style="10"/>
    <col min="7939" max="7944" width="7.109375" style="10" customWidth="1"/>
    <col min="7945" max="8194" width="9.109375" style="10"/>
    <col min="8195" max="8200" width="7.109375" style="10" customWidth="1"/>
    <col min="8201" max="8450" width="9.109375" style="10"/>
    <col min="8451" max="8456" width="7.109375" style="10" customWidth="1"/>
    <col min="8457" max="8706" width="9.109375" style="10"/>
    <col min="8707" max="8712" width="7.109375" style="10" customWidth="1"/>
    <col min="8713" max="8962" width="9.109375" style="10"/>
    <col min="8963" max="8968" width="7.109375" style="10" customWidth="1"/>
    <col min="8969" max="9218" width="9.109375" style="10"/>
    <col min="9219" max="9224" width="7.109375" style="10" customWidth="1"/>
    <col min="9225" max="9474" width="9.109375" style="10"/>
    <col min="9475" max="9480" width="7.109375" style="10" customWidth="1"/>
    <col min="9481" max="9730" width="9.109375" style="10"/>
    <col min="9731" max="9736" width="7.109375" style="10" customWidth="1"/>
    <col min="9737" max="9986" width="9.109375" style="10"/>
    <col min="9987" max="9992" width="7.109375" style="10" customWidth="1"/>
    <col min="9993" max="10242" width="9.109375" style="10"/>
    <col min="10243" max="10248" width="7.109375" style="10" customWidth="1"/>
    <col min="10249" max="10498" width="9.109375" style="10"/>
    <col min="10499" max="10504" width="7.109375" style="10" customWidth="1"/>
    <col min="10505" max="10754" width="9.109375" style="10"/>
    <col min="10755" max="10760" width="7.109375" style="10" customWidth="1"/>
    <col min="10761" max="11010" width="9.109375" style="10"/>
    <col min="11011" max="11016" width="7.109375" style="10" customWidth="1"/>
    <col min="11017" max="11266" width="9.109375" style="10"/>
    <col min="11267" max="11272" width="7.109375" style="10" customWidth="1"/>
    <col min="11273" max="11522" width="9.109375" style="10"/>
    <col min="11523" max="11528" width="7.109375" style="10" customWidth="1"/>
    <col min="11529" max="11778" width="9.109375" style="10"/>
    <col min="11779" max="11784" width="7.109375" style="10" customWidth="1"/>
    <col min="11785" max="12034" width="9.109375" style="10"/>
    <col min="12035" max="12040" width="7.109375" style="10" customWidth="1"/>
    <col min="12041" max="12290" width="9.109375" style="10"/>
    <col min="12291" max="12296" width="7.109375" style="10" customWidth="1"/>
    <col min="12297" max="12546" width="9.109375" style="10"/>
    <col min="12547" max="12552" width="7.109375" style="10" customWidth="1"/>
    <col min="12553" max="12802" width="9.109375" style="10"/>
    <col min="12803" max="12808" width="7.109375" style="10" customWidth="1"/>
    <col min="12809" max="13058" width="9.109375" style="10"/>
    <col min="13059" max="13064" width="7.109375" style="10" customWidth="1"/>
    <col min="13065" max="13314" width="9.109375" style="10"/>
    <col min="13315" max="13320" width="7.109375" style="10" customWidth="1"/>
    <col min="13321" max="13570" width="9.109375" style="10"/>
    <col min="13571" max="13576" width="7.109375" style="10" customWidth="1"/>
    <col min="13577" max="13826" width="9.109375" style="10"/>
    <col min="13827" max="13832" width="7.109375" style="10" customWidth="1"/>
    <col min="13833" max="14082" width="9.109375" style="10"/>
    <col min="14083" max="14088" width="7.109375" style="10" customWidth="1"/>
    <col min="14089" max="14338" width="9.109375" style="10"/>
    <col min="14339" max="14344" width="7.109375" style="10" customWidth="1"/>
    <col min="14345" max="14594" width="9.109375" style="10"/>
    <col min="14595" max="14600" width="7.109375" style="10" customWidth="1"/>
    <col min="14601" max="14850" width="9.109375" style="10"/>
    <col min="14851" max="14856" width="7.109375" style="10" customWidth="1"/>
    <col min="14857" max="15106" width="9.109375" style="10"/>
    <col min="15107" max="15112" width="7.109375" style="10" customWidth="1"/>
    <col min="15113" max="15362" width="9.109375" style="10"/>
    <col min="15363" max="15368" width="7.109375" style="10" customWidth="1"/>
    <col min="15369" max="15618" width="9.109375" style="10"/>
    <col min="15619" max="15624" width="7.109375" style="10" customWidth="1"/>
    <col min="15625" max="15874" width="9.109375" style="10"/>
    <col min="15875" max="15880" width="7.109375" style="10" customWidth="1"/>
    <col min="15881" max="16130" width="9.109375" style="10"/>
    <col min="16131" max="16136" width="7.109375" style="10" customWidth="1"/>
    <col min="16137" max="16384" width="9.109375" style="10"/>
  </cols>
  <sheetData>
    <row r="2" spans="2:2" ht="12.75" customHeight="1">
      <c r="B2" s="9"/>
    </row>
    <row r="4" spans="2:2" ht="12.75" customHeight="1">
      <c r="B4" s="167" t="s">
        <v>5434</v>
      </c>
    </row>
    <row r="5" spans="2:2" ht="12.75" customHeight="1">
      <c r="B5" s="10" t="s">
        <v>5435</v>
      </c>
    </row>
    <row r="6" spans="2:2" ht="12.75" customHeight="1">
      <c r="B6" s="10" t="s">
        <v>5436</v>
      </c>
    </row>
    <row r="7" spans="2:2" ht="12.75" customHeight="1">
      <c r="B7" s="10" t="s">
        <v>5437</v>
      </c>
    </row>
    <row r="8" spans="2:2" ht="12.75" customHeight="1">
      <c r="B8" s="10" t="s">
        <v>5438</v>
      </c>
    </row>
    <row r="9" spans="2:2" ht="12.75" customHeight="1">
      <c r="B9" s="10" t="s">
        <v>5440</v>
      </c>
    </row>
    <row r="10" spans="2:2" ht="12.75" customHeight="1">
      <c r="B10" s="10" t="s">
        <v>5441</v>
      </c>
    </row>
    <row r="11" spans="2:2" ht="12.75" customHeight="1">
      <c r="B11" s="10" t="s">
        <v>5442</v>
      </c>
    </row>
    <row r="12" spans="2:2" ht="12.75" customHeight="1">
      <c r="B12" s="167" t="s">
        <v>5443</v>
      </c>
    </row>
    <row r="13" spans="2:2" ht="12.75" customHeight="1">
      <c r="B13" s="168" t="s">
        <v>5444</v>
      </c>
    </row>
    <row r="14" spans="2:2" ht="12.75" customHeight="1">
      <c r="B14" s="10" t="s">
        <v>5445</v>
      </c>
    </row>
    <row r="15" spans="2:2" ht="12.75" customHeight="1">
      <c r="B15" s="167" t="s">
        <v>5446</v>
      </c>
    </row>
    <row r="16" spans="2:2" ht="12.75" customHeight="1">
      <c r="B16" s="10" t="s">
        <v>5439</v>
      </c>
    </row>
    <row r="18" spans="2:13" ht="12.75" customHeight="1">
      <c r="M18" s="166"/>
    </row>
    <row r="19" spans="2:13" ht="12.75" customHeight="1">
      <c r="B19" s="145" t="s">
        <v>5382</v>
      </c>
      <c r="D19" s="146" t="s">
        <v>5383</v>
      </c>
    </row>
    <row r="20" spans="2:13" ht="12.75" customHeight="1">
      <c r="D20" s="10" t="s">
        <v>5384</v>
      </c>
      <c r="H20" s="147" t="s">
        <v>5385</v>
      </c>
    </row>
    <row r="22" spans="2:13" ht="18.75" customHeight="1">
      <c r="D22" s="216" t="s">
        <v>5386</v>
      </c>
      <c r="E22" s="217"/>
      <c r="F22" s="218"/>
      <c r="G22" s="148"/>
    </row>
    <row r="23" spans="2:13" ht="18.75" customHeight="1">
      <c r="C23" s="149"/>
      <c r="D23" s="219" t="s">
        <v>5387</v>
      </c>
      <c r="E23" s="220"/>
      <c r="F23" s="221"/>
      <c r="G23" s="150"/>
      <c r="H23" s="149"/>
    </row>
    <row r="24" spans="2:13" ht="12.75" customHeight="1">
      <c r="C24" s="149"/>
      <c r="D24" s="149"/>
      <c r="E24" s="149"/>
      <c r="F24" s="149"/>
      <c r="G24" s="149"/>
      <c r="H24" s="149"/>
    </row>
    <row r="25" spans="2:13" ht="22.5" customHeight="1">
      <c r="C25" s="151">
        <v>1</v>
      </c>
      <c r="D25" s="152">
        <v>2</v>
      </c>
      <c r="E25" s="152">
        <v>3</v>
      </c>
      <c r="F25" s="152">
        <v>4</v>
      </c>
      <c r="G25" s="152">
        <v>5</v>
      </c>
      <c r="H25" s="153">
        <v>6</v>
      </c>
      <c r="K25" s="154"/>
    </row>
    <row r="26" spans="2:13" ht="22.5" customHeight="1">
      <c r="C26" s="155">
        <v>7</v>
      </c>
      <c r="D26" s="154">
        <v>8</v>
      </c>
      <c r="E26" s="154">
        <v>9</v>
      </c>
      <c r="F26" s="154">
        <v>10</v>
      </c>
      <c r="G26" s="154">
        <v>11</v>
      </c>
      <c r="H26" s="156">
        <v>12</v>
      </c>
    </row>
    <row r="27" spans="2:13" ht="22.5" customHeight="1">
      <c r="C27" s="155">
        <v>13</v>
      </c>
      <c r="D27" s="154">
        <v>14</v>
      </c>
      <c r="E27" s="154">
        <v>15</v>
      </c>
      <c r="F27" s="154">
        <v>16</v>
      </c>
      <c r="G27" s="154">
        <v>17</v>
      </c>
      <c r="H27" s="156">
        <v>18</v>
      </c>
    </row>
    <row r="28" spans="2:13" ht="22.5" customHeight="1">
      <c r="C28" s="155">
        <v>19</v>
      </c>
      <c r="D28" s="154">
        <v>20</v>
      </c>
      <c r="E28" s="154">
        <v>21</v>
      </c>
      <c r="F28" s="154">
        <v>22</v>
      </c>
      <c r="G28" s="154">
        <v>23</v>
      </c>
      <c r="H28" s="156">
        <v>24</v>
      </c>
    </row>
    <row r="29" spans="2:13" ht="22.5" customHeight="1">
      <c r="C29" s="155">
        <v>25</v>
      </c>
      <c r="D29" s="154">
        <v>26</v>
      </c>
      <c r="E29" s="154">
        <v>27</v>
      </c>
      <c r="F29" s="154">
        <v>28</v>
      </c>
      <c r="G29" s="154">
        <v>29</v>
      </c>
      <c r="H29" s="156">
        <v>30</v>
      </c>
    </row>
    <row r="30" spans="2:13" ht="22.5" customHeight="1">
      <c r="C30" s="157">
        <v>31</v>
      </c>
      <c r="D30" s="158">
        <v>32</v>
      </c>
      <c r="E30" s="158">
        <v>33</v>
      </c>
      <c r="F30" s="158">
        <v>34</v>
      </c>
      <c r="G30" s="158">
        <v>35</v>
      </c>
      <c r="H30" s="159">
        <v>36</v>
      </c>
    </row>
  </sheetData>
  <mergeCells count="2">
    <mergeCell ref="D22:F22"/>
    <mergeCell ref="D23:F23"/>
  </mergeCells>
  <conditionalFormatting sqref="D20:J20">
    <cfRule type="expression" dxfId="0" priority="1">
      <formula>$D$19="Nie"</formula>
    </cfRule>
  </conditionalFormatting>
  <dataValidations count="1">
    <dataValidation type="list" allowBlank="1" showInputMessage="1" showErrorMessage="1" sqref="D19" xr:uid="{00000000-0002-0000-0800-000000000000}">
      <formula1>"Tak,Nie"</formula1>
    </dataValidation>
  </dataValidations>
  <pageMargins left="0.7" right="0.7" top="0.75" bottom="0.75" header="0.3" footer="0.3"/>
  <pageSetup paperSize="9" orientation="portrait" horizontalDpi="4294967293" r:id="rId1"/>
  <headerFooter>
    <oddFooter>&amp;Lã LabMasters.pl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09"/>
  <dimension ref="B2:D38"/>
  <sheetViews>
    <sheetView workbookViewId="0"/>
  </sheetViews>
  <sheetFormatPr defaultRowHeight="12.75" customHeight="1"/>
  <cols>
    <col min="1" max="1" width="9.109375" style="10"/>
    <col min="2" max="2" width="21.88671875" style="10" customWidth="1"/>
    <col min="3" max="3" width="16.44140625" style="10" customWidth="1"/>
    <col min="4" max="257" width="9.109375" style="10"/>
    <col min="258" max="258" width="21.88671875" style="10" customWidth="1"/>
    <col min="259" max="259" width="16.44140625" style="10" customWidth="1"/>
    <col min="260" max="513" width="9.109375" style="10"/>
    <col min="514" max="514" width="21.88671875" style="10" customWidth="1"/>
    <col min="515" max="515" width="16.44140625" style="10" customWidth="1"/>
    <col min="516" max="769" width="9.109375" style="10"/>
    <col min="770" max="770" width="21.88671875" style="10" customWidth="1"/>
    <col min="771" max="771" width="16.44140625" style="10" customWidth="1"/>
    <col min="772" max="1025" width="9.109375" style="10"/>
    <col min="1026" max="1026" width="21.88671875" style="10" customWidth="1"/>
    <col min="1027" max="1027" width="16.44140625" style="10" customWidth="1"/>
    <col min="1028" max="1281" width="9.109375" style="10"/>
    <col min="1282" max="1282" width="21.88671875" style="10" customWidth="1"/>
    <col min="1283" max="1283" width="16.44140625" style="10" customWidth="1"/>
    <col min="1284" max="1537" width="9.109375" style="10"/>
    <col min="1538" max="1538" width="21.88671875" style="10" customWidth="1"/>
    <col min="1539" max="1539" width="16.44140625" style="10" customWidth="1"/>
    <col min="1540" max="1793" width="9.109375" style="10"/>
    <col min="1794" max="1794" width="21.88671875" style="10" customWidth="1"/>
    <col min="1795" max="1795" width="16.44140625" style="10" customWidth="1"/>
    <col min="1796" max="2049" width="9.109375" style="10"/>
    <col min="2050" max="2050" width="21.88671875" style="10" customWidth="1"/>
    <col min="2051" max="2051" width="16.44140625" style="10" customWidth="1"/>
    <col min="2052" max="2305" width="9.109375" style="10"/>
    <col min="2306" max="2306" width="21.88671875" style="10" customWidth="1"/>
    <col min="2307" max="2307" width="16.44140625" style="10" customWidth="1"/>
    <col min="2308" max="2561" width="9.109375" style="10"/>
    <col min="2562" max="2562" width="21.88671875" style="10" customWidth="1"/>
    <col min="2563" max="2563" width="16.44140625" style="10" customWidth="1"/>
    <col min="2564" max="2817" width="9.109375" style="10"/>
    <col min="2818" max="2818" width="21.88671875" style="10" customWidth="1"/>
    <col min="2819" max="2819" width="16.44140625" style="10" customWidth="1"/>
    <col min="2820" max="3073" width="9.109375" style="10"/>
    <col min="3074" max="3074" width="21.88671875" style="10" customWidth="1"/>
    <col min="3075" max="3075" width="16.44140625" style="10" customWidth="1"/>
    <col min="3076" max="3329" width="9.109375" style="10"/>
    <col min="3330" max="3330" width="21.88671875" style="10" customWidth="1"/>
    <col min="3331" max="3331" width="16.44140625" style="10" customWidth="1"/>
    <col min="3332" max="3585" width="9.109375" style="10"/>
    <col min="3586" max="3586" width="21.88671875" style="10" customWidth="1"/>
    <col min="3587" max="3587" width="16.44140625" style="10" customWidth="1"/>
    <col min="3588" max="3841" width="9.109375" style="10"/>
    <col min="3842" max="3842" width="21.88671875" style="10" customWidth="1"/>
    <col min="3843" max="3843" width="16.44140625" style="10" customWidth="1"/>
    <col min="3844" max="4097" width="9.109375" style="10"/>
    <col min="4098" max="4098" width="21.88671875" style="10" customWidth="1"/>
    <col min="4099" max="4099" width="16.44140625" style="10" customWidth="1"/>
    <col min="4100" max="4353" width="9.109375" style="10"/>
    <col min="4354" max="4354" width="21.88671875" style="10" customWidth="1"/>
    <col min="4355" max="4355" width="16.44140625" style="10" customWidth="1"/>
    <col min="4356" max="4609" width="9.109375" style="10"/>
    <col min="4610" max="4610" width="21.88671875" style="10" customWidth="1"/>
    <col min="4611" max="4611" width="16.44140625" style="10" customWidth="1"/>
    <col min="4612" max="4865" width="9.109375" style="10"/>
    <col min="4866" max="4866" width="21.88671875" style="10" customWidth="1"/>
    <col min="4867" max="4867" width="16.44140625" style="10" customWidth="1"/>
    <col min="4868" max="5121" width="9.109375" style="10"/>
    <col min="5122" max="5122" width="21.88671875" style="10" customWidth="1"/>
    <col min="5123" max="5123" width="16.44140625" style="10" customWidth="1"/>
    <col min="5124" max="5377" width="9.109375" style="10"/>
    <col min="5378" max="5378" width="21.88671875" style="10" customWidth="1"/>
    <col min="5379" max="5379" width="16.44140625" style="10" customWidth="1"/>
    <col min="5380" max="5633" width="9.109375" style="10"/>
    <col min="5634" max="5634" width="21.88671875" style="10" customWidth="1"/>
    <col min="5635" max="5635" width="16.44140625" style="10" customWidth="1"/>
    <col min="5636" max="5889" width="9.109375" style="10"/>
    <col min="5890" max="5890" width="21.88671875" style="10" customWidth="1"/>
    <col min="5891" max="5891" width="16.44140625" style="10" customWidth="1"/>
    <col min="5892" max="6145" width="9.109375" style="10"/>
    <col min="6146" max="6146" width="21.88671875" style="10" customWidth="1"/>
    <col min="6147" max="6147" width="16.44140625" style="10" customWidth="1"/>
    <col min="6148" max="6401" width="9.109375" style="10"/>
    <col min="6402" max="6402" width="21.88671875" style="10" customWidth="1"/>
    <col min="6403" max="6403" width="16.44140625" style="10" customWidth="1"/>
    <col min="6404" max="6657" width="9.109375" style="10"/>
    <col min="6658" max="6658" width="21.88671875" style="10" customWidth="1"/>
    <col min="6659" max="6659" width="16.44140625" style="10" customWidth="1"/>
    <col min="6660" max="6913" width="9.109375" style="10"/>
    <col min="6914" max="6914" width="21.88671875" style="10" customWidth="1"/>
    <col min="6915" max="6915" width="16.44140625" style="10" customWidth="1"/>
    <col min="6916" max="7169" width="9.109375" style="10"/>
    <col min="7170" max="7170" width="21.88671875" style="10" customWidth="1"/>
    <col min="7171" max="7171" width="16.44140625" style="10" customWidth="1"/>
    <col min="7172" max="7425" width="9.109375" style="10"/>
    <col min="7426" max="7426" width="21.88671875" style="10" customWidth="1"/>
    <col min="7427" max="7427" width="16.44140625" style="10" customWidth="1"/>
    <col min="7428" max="7681" width="9.109375" style="10"/>
    <col min="7682" max="7682" width="21.88671875" style="10" customWidth="1"/>
    <col min="7683" max="7683" width="16.44140625" style="10" customWidth="1"/>
    <col min="7684" max="7937" width="9.109375" style="10"/>
    <col min="7938" max="7938" width="21.88671875" style="10" customWidth="1"/>
    <col min="7939" max="7939" width="16.44140625" style="10" customWidth="1"/>
    <col min="7940" max="8193" width="9.109375" style="10"/>
    <col min="8194" max="8194" width="21.88671875" style="10" customWidth="1"/>
    <col min="8195" max="8195" width="16.44140625" style="10" customWidth="1"/>
    <col min="8196" max="8449" width="9.109375" style="10"/>
    <col min="8450" max="8450" width="21.88671875" style="10" customWidth="1"/>
    <col min="8451" max="8451" width="16.44140625" style="10" customWidth="1"/>
    <col min="8452" max="8705" width="9.109375" style="10"/>
    <col min="8706" max="8706" width="21.88671875" style="10" customWidth="1"/>
    <col min="8707" max="8707" width="16.44140625" style="10" customWidth="1"/>
    <col min="8708" max="8961" width="9.109375" style="10"/>
    <col min="8962" max="8962" width="21.88671875" style="10" customWidth="1"/>
    <col min="8963" max="8963" width="16.44140625" style="10" customWidth="1"/>
    <col min="8964" max="9217" width="9.109375" style="10"/>
    <col min="9218" max="9218" width="21.88671875" style="10" customWidth="1"/>
    <col min="9219" max="9219" width="16.44140625" style="10" customWidth="1"/>
    <col min="9220" max="9473" width="9.109375" style="10"/>
    <col min="9474" max="9474" width="21.88671875" style="10" customWidth="1"/>
    <col min="9475" max="9475" width="16.44140625" style="10" customWidth="1"/>
    <col min="9476" max="9729" width="9.109375" style="10"/>
    <col min="9730" max="9730" width="21.88671875" style="10" customWidth="1"/>
    <col min="9731" max="9731" width="16.44140625" style="10" customWidth="1"/>
    <col min="9732" max="9985" width="9.109375" style="10"/>
    <col min="9986" max="9986" width="21.88671875" style="10" customWidth="1"/>
    <col min="9987" max="9987" width="16.44140625" style="10" customWidth="1"/>
    <col min="9988" max="10241" width="9.109375" style="10"/>
    <col min="10242" max="10242" width="21.88671875" style="10" customWidth="1"/>
    <col min="10243" max="10243" width="16.44140625" style="10" customWidth="1"/>
    <col min="10244" max="10497" width="9.109375" style="10"/>
    <col min="10498" max="10498" width="21.88671875" style="10" customWidth="1"/>
    <col min="10499" max="10499" width="16.44140625" style="10" customWidth="1"/>
    <col min="10500" max="10753" width="9.109375" style="10"/>
    <col min="10754" max="10754" width="21.88671875" style="10" customWidth="1"/>
    <col min="10755" max="10755" width="16.44140625" style="10" customWidth="1"/>
    <col min="10756" max="11009" width="9.109375" style="10"/>
    <col min="11010" max="11010" width="21.88671875" style="10" customWidth="1"/>
    <col min="11011" max="11011" width="16.44140625" style="10" customWidth="1"/>
    <col min="11012" max="11265" width="9.109375" style="10"/>
    <col min="11266" max="11266" width="21.88671875" style="10" customWidth="1"/>
    <col min="11267" max="11267" width="16.44140625" style="10" customWidth="1"/>
    <col min="11268" max="11521" width="9.109375" style="10"/>
    <col min="11522" max="11522" width="21.88671875" style="10" customWidth="1"/>
    <col min="11523" max="11523" width="16.44140625" style="10" customWidth="1"/>
    <col min="11524" max="11777" width="9.109375" style="10"/>
    <col min="11778" max="11778" width="21.88671875" style="10" customWidth="1"/>
    <col min="11779" max="11779" width="16.44140625" style="10" customWidth="1"/>
    <col min="11780" max="12033" width="9.109375" style="10"/>
    <col min="12034" max="12034" width="21.88671875" style="10" customWidth="1"/>
    <col min="12035" max="12035" width="16.44140625" style="10" customWidth="1"/>
    <col min="12036" max="12289" width="9.109375" style="10"/>
    <col min="12290" max="12290" width="21.88671875" style="10" customWidth="1"/>
    <col min="12291" max="12291" width="16.44140625" style="10" customWidth="1"/>
    <col min="12292" max="12545" width="9.109375" style="10"/>
    <col min="12546" max="12546" width="21.88671875" style="10" customWidth="1"/>
    <col min="12547" max="12547" width="16.44140625" style="10" customWidth="1"/>
    <col min="12548" max="12801" width="9.109375" style="10"/>
    <col min="12802" max="12802" width="21.88671875" style="10" customWidth="1"/>
    <col min="12803" max="12803" width="16.44140625" style="10" customWidth="1"/>
    <col min="12804" max="13057" width="9.109375" style="10"/>
    <col min="13058" max="13058" width="21.88671875" style="10" customWidth="1"/>
    <col min="13059" max="13059" width="16.44140625" style="10" customWidth="1"/>
    <col min="13060" max="13313" width="9.109375" style="10"/>
    <col min="13314" max="13314" width="21.88671875" style="10" customWidth="1"/>
    <col min="13315" max="13315" width="16.44140625" style="10" customWidth="1"/>
    <col min="13316" max="13569" width="9.109375" style="10"/>
    <col min="13570" max="13570" width="21.88671875" style="10" customWidth="1"/>
    <col min="13571" max="13571" width="16.44140625" style="10" customWidth="1"/>
    <col min="13572" max="13825" width="9.109375" style="10"/>
    <col min="13826" max="13826" width="21.88671875" style="10" customWidth="1"/>
    <col min="13827" max="13827" width="16.44140625" style="10" customWidth="1"/>
    <col min="13828" max="14081" width="9.109375" style="10"/>
    <col min="14082" max="14082" width="21.88671875" style="10" customWidth="1"/>
    <col min="14083" max="14083" width="16.44140625" style="10" customWidth="1"/>
    <col min="14084" max="14337" width="9.109375" style="10"/>
    <col min="14338" max="14338" width="21.88671875" style="10" customWidth="1"/>
    <col min="14339" max="14339" width="16.44140625" style="10" customWidth="1"/>
    <col min="14340" max="14593" width="9.109375" style="10"/>
    <col min="14594" max="14594" width="21.88671875" style="10" customWidth="1"/>
    <col min="14595" max="14595" width="16.44140625" style="10" customWidth="1"/>
    <col min="14596" max="14849" width="9.109375" style="10"/>
    <col min="14850" max="14850" width="21.88671875" style="10" customWidth="1"/>
    <col min="14851" max="14851" width="16.44140625" style="10" customWidth="1"/>
    <col min="14852" max="15105" width="9.109375" style="10"/>
    <col min="15106" max="15106" width="21.88671875" style="10" customWidth="1"/>
    <col min="15107" max="15107" width="16.44140625" style="10" customWidth="1"/>
    <col min="15108" max="15361" width="9.109375" style="10"/>
    <col min="15362" max="15362" width="21.88671875" style="10" customWidth="1"/>
    <col min="15363" max="15363" width="16.44140625" style="10" customWidth="1"/>
    <col min="15364" max="15617" width="9.109375" style="10"/>
    <col min="15618" max="15618" width="21.88671875" style="10" customWidth="1"/>
    <col min="15619" max="15619" width="16.44140625" style="10" customWidth="1"/>
    <col min="15620" max="15873" width="9.109375" style="10"/>
    <col min="15874" max="15874" width="21.88671875" style="10" customWidth="1"/>
    <col min="15875" max="15875" width="16.44140625" style="10" customWidth="1"/>
    <col min="15876" max="16129" width="9.109375" style="10"/>
    <col min="16130" max="16130" width="21.88671875" style="10" customWidth="1"/>
    <col min="16131" max="16131" width="16.44140625" style="10" customWidth="1"/>
    <col min="16132" max="16384" width="9.109375" style="10"/>
  </cols>
  <sheetData>
    <row r="2" spans="2:2" ht="12.75" customHeight="1">
      <c r="B2" s="9"/>
    </row>
    <row r="4" spans="2:2" ht="12.75" customHeight="1">
      <c r="B4" s="63" t="s">
        <v>5388</v>
      </c>
    </row>
    <row r="5" spans="2:2" ht="12.75" customHeight="1">
      <c r="B5" s="10" t="s">
        <v>5389</v>
      </c>
    </row>
    <row r="6" spans="2:2" ht="12.75" customHeight="1">
      <c r="B6" s="10" t="s">
        <v>5390</v>
      </c>
    </row>
    <row r="8" spans="2:2" ht="12.75" customHeight="1">
      <c r="B8" s="10" t="s">
        <v>5391</v>
      </c>
    </row>
    <row r="9" spans="2:2" ht="12.75" customHeight="1">
      <c r="B9" s="10" t="s">
        <v>5392</v>
      </c>
    </row>
    <row r="10" spans="2:2" ht="12.75" customHeight="1">
      <c r="B10" s="10" t="s">
        <v>5393</v>
      </c>
    </row>
    <row r="11" spans="2:2" ht="12.75" customHeight="1">
      <c r="B11" s="10" t="s">
        <v>5394</v>
      </c>
    </row>
    <row r="12" spans="2:2" ht="12.75" customHeight="1">
      <c r="B12" s="160" t="s">
        <v>5395</v>
      </c>
    </row>
    <row r="14" spans="2:2" ht="12.75" customHeight="1">
      <c r="B14" s="10" t="s">
        <v>5396</v>
      </c>
    </row>
    <row r="15" spans="2:2" ht="12.75" customHeight="1">
      <c r="B15" s="10" t="s">
        <v>5397</v>
      </c>
    </row>
    <row r="16" spans="2:2" ht="12.75" customHeight="1">
      <c r="B16" s="10" t="s">
        <v>5398</v>
      </c>
    </row>
    <row r="17" spans="2:4" ht="12.75" customHeight="1">
      <c r="B17" s="10" t="s">
        <v>5399</v>
      </c>
    </row>
    <row r="19" spans="2:4" ht="12.75" customHeight="1">
      <c r="B19" s="10" t="s">
        <v>5400</v>
      </c>
    </row>
    <row r="20" spans="2:4" ht="12.75" customHeight="1">
      <c r="B20" s="10" t="s">
        <v>5401</v>
      </c>
    </row>
    <row r="21" spans="2:4" ht="12.75" customHeight="1">
      <c r="B21" s="10" t="s">
        <v>5402</v>
      </c>
    </row>
    <row r="22" spans="2:4" ht="12.75" customHeight="1">
      <c r="B22" s="10" t="s">
        <v>5403</v>
      </c>
    </row>
    <row r="24" spans="2:4" ht="12.75" customHeight="1">
      <c r="B24" s="161" t="s">
        <v>5404</v>
      </c>
      <c r="C24" s="161">
        <v>0</v>
      </c>
    </row>
    <row r="26" spans="2:4" ht="12.75" customHeight="1">
      <c r="B26" s="161" t="s">
        <v>5405</v>
      </c>
      <c r="C26" s="10" t="s">
        <v>5406</v>
      </c>
      <c r="D26" s="10" t="s">
        <v>5407</v>
      </c>
    </row>
    <row r="27" spans="2:4" ht="12.75" customHeight="1">
      <c r="B27" s="161"/>
      <c r="C27" s="162"/>
    </row>
    <row r="28" spans="2:4" ht="12.75" customHeight="1">
      <c r="B28" s="161"/>
      <c r="C28" s="162"/>
    </row>
    <row r="29" spans="2:4" ht="12.75" customHeight="1">
      <c r="B29" s="161"/>
      <c r="C29" s="162"/>
    </row>
    <row r="30" spans="2:4" ht="12.75" customHeight="1">
      <c r="C30" s="162"/>
    </row>
    <row r="31" spans="2:4" ht="12.75" customHeight="1">
      <c r="B31" s="161"/>
      <c r="C31" s="162"/>
    </row>
    <row r="32" spans="2:4" ht="12.75" customHeight="1">
      <c r="B32" s="161"/>
      <c r="C32" s="162"/>
    </row>
    <row r="33" spans="2:3" ht="12.75" customHeight="1">
      <c r="B33" s="161"/>
      <c r="C33" s="162"/>
    </row>
    <row r="34" spans="2:3" ht="12.75" customHeight="1">
      <c r="B34" s="161"/>
      <c r="C34" s="162"/>
    </row>
    <row r="35" spans="2:3" ht="12.75" customHeight="1">
      <c r="B35" s="161"/>
      <c r="C35" s="162"/>
    </row>
    <row r="36" spans="2:3" ht="12.75" customHeight="1">
      <c r="B36" s="161"/>
      <c r="C36" s="162"/>
    </row>
    <row r="37" spans="2:3" ht="12.75" customHeight="1">
      <c r="B37" s="161"/>
      <c r="C37" s="162"/>
    </row>
    <row r="38" spans="2:3" ht="12.75" customHeight="1">
      <c r="B38" s="161"/>
      <c r="C38" s="162"/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0"/>
  <dimension ref="B2:B16"/>
  <sheetViews>
    <sheetView workbookViewId="0"/>
  </sheetViews>
  <sheetFormatPr defaultColWidth="9.109375" defaultRowHeight="12.75" customHeight="1"/>
  <cols>
    <col min="1" max="16384" width="9.109375" style="10"/>
  </cols>
  <sheetData>
    <row r="2" spans="2:2" ht="12.75" customHeight="1">
      <c r="B2" s="9"/>
    </row>
    <row r="4" spans="2:2" ht="12.75" customHeight="1">
      <c r="B4" s="10" t="s">
        <v>5408</v>
      </c>
    </row>
    <row r="5" spans="2:2" ht="12.75" customHeight="1">
      <c r="B5" s="10" t="s">
        <v>5409</v>
      </c>
    </row>
    <row r="7" spans="2:2" ht="12.75" customHeight="1">
      <c r="B7" s="10" t="s">
        <v>5410</v>
      </c>
    </row>
    <row r="8" spans="2:2" ht="12.75" customHeight="1">
      <c r="B8" s="10" t="s">
        <v>5411</v>
      </c>
    </row>
    <row r="9" spans="2:2" ht="12.75" customHeight="1">
      <c r="B9" s="10" t="s">
        <v>5412</v>
      </c>
    </row>
    <row r="10" spans="2:2" ht="12.75" customHeight="1">
      <c r="B10" s="10" t="s">
        <v>5413</v>
      </c>
    </row>
    <row r="11" spans="2:2" ht="12.75" customHeight="1">
      <c r="B11" s="10" t="s">
        <v>5414</v>
      </c>
    </row>
    <row r="13" spans="2:2" ht="12.75" customHeight="1">
      <c r="B13" s="10" t="s">
        <v>5415</v>
      </c>
    </row>
    <row r="14" spans="2:2" ht="12.75" customHeight="1">
      <c r="B14" s="10" t="s">
        <v>5416</v>
      </c>
    </row>
    <row r="16" spans="2:2" ht="12.75" customHeight="1">
      <c r="B16" s="10" t="s">
        <v>5417</v>
      </c>
    </row>
  </sheetData>
  <pageMargins left="0.7" right="0.7" top="0.75" bottom="0.75" header="0.3" footer="0.3"/>
  <pageSetup paperSize="9" orientation="portrait" horizontalDpi="4294967293" r:id="rId1"/>
  <headerFooter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11</vt:i4>
      </vt:variant>
      <vt:variant>
        <vt:lpstr>Nazwane zakresy</vt:lpstr>
      </vt:variant>
      <vt:variant>
        <vt:i4>1</vt:i4>
      </vt:variant>
    </vt:vector>
  </HeadingPairs>
  <TitlesOfParts>
    <vt:vector size="12" baseType="lpstr">
      <vt:lpstr>Info</vt:lpstr>
      <vt:lpstr>Arkusz2</vt:lpstr>
      <vt:lpstr>Arkusz3</vt:lpstr>
      <vt:lpstr>Arkusz4</vt:lpstr>
      <vt:lpstr>Arkusz5</vt:lpstr>
      <vt:lpstr>Arkusz6</vt:lpstr>
      <vt:lpstr>Arkusz7</vt:lpstr>
      <vt:lpstr>Arkusz8</vt:lpstr>
      <vt:lpstr>Arkusz9</vt:lpstr>
      <vt:lpstr>Arkusz10</vt:lpstr>
      <vt:lpstr>Arkusz11</vt:lpstr>
      <vt:lpstr>Info!Obszar_wydruku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Martin Bernstein</cp:lastModifiedBy>
  <dcterms:created xsi:type="dcterms:W3CDTF">2016-04-20T22:05:50Z</dcterms:created>
  <dcterms:modified xsi:type="dcterms:W3CDTF">2020-05-02T11:24:31Z</dcterms:modified>
</cp:coreProperties>
</file>