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stumm\Desktop\VBA i Excel\Rozwiązania\"/>
    </mc:Choice>
  </mc:AlternateContent>
  <xr:revisionPtr revIDLastSave="0" documentId="8_{7B89A6A7-BB2B-4A62-9623-F593E1E85B82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amouczek" sheetId="1" r:id="rId1"/>
    <sheet name="Zadanie 1" sheetId="2" r:id="rId2"/>
    <sheet name="Zadanie 2" sheetId="3" r:id="rId3"/>
    <sheet name="Zadanie 3" sheetId="4" r:id="rId4"/>
    <sheet name="Zadanie 4" sheetId="5" r:id="rId5"/>
    <sheet name="Zadanie 5" sheetId="6" r:id="rId6"/>
    <sheet name="Zadanie 6" sheetId="7" r:id="rId7"/>
    <sheet name="Zadanie 7" sheetId="8" r:id="rId8"/>
  </sheets>
  <definedNames>
    <definedName name="Dane" localSheetId="0">OFFSET(#REF!,,,COUNTA(#REF!),3)</definedName>
    <definedName name="Dane">OFFSET('Zadanie 2'!$G$11,,,COUNTA('Zadanie 2'!$G$11:$G$1048576),3)</definedName>
    <definedName name="_xlnm.Print_Area" localSheetId="0">Samouczek!$A$1:$K$294</definedName>
    <definedName name="_xlnm.Print_Area" localSheetId="7">'Zadanie 7'!$B$11:$I$23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8" l="1"/>
  <c r="E19" i="8"/>
  <c r="I13" i="8"/>
  <c r="I12" i="8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</calcChain>
</file>

<file path=xl/sharedStrings.xml><?xml version="1.0" encoding="utf-8"?>
<sst xmlns="http://schemas.openxmlformats.org/spreadsheetml/2006/main" count="821" uniqueCount="545">
  <si>
    <t>Obiekty VBA</t>
  </si>
  <si>
    <t>Na ostatnich zajęciach nauczyliśmy się rejestrować makra w Excelu oraz modyfikować i porządkować</t>
  </si>
  <si>
    <t>kod. Na dzisiejszych zajęciach sformalizujemy poznane dotąd informacje, wyjaśnimy składnię języka</t>
  </si>
  <si>
    <r>
      <t>VBA oraz budowę samego programu do pisania makr, czyli VBE (</t>
    </r>
    <r>
      <rPr>
        <i/>
        <sz val="10"/>
        <rFont val="Arial"/>
        <family val="2"/>
        <charset val="238"/>
      </rPr>
      <t>Visual Basic Editor</t>
    </r>
    <r>
      <rPr>
        <sz val="10"/>
        <rFont val="Arial"/>
        <family val="2"/>
        <charset val="238"/>
      </rPr>
      <t>).</t>
    </r>
  </si>
  <si>
    <t>Klasy obiektów:</t>
  </si>
  <si>
    <t>VBA jest językiem obiektowym. W Excelu zdefiniowanych jest ponad 100 różnych typów obiektów</t>
  </si>
  <si>
    <r>
      <t xml:space="preserve">(tzw. </t>
    </r>
    <r>
      <rPr>
        <b/>
        <sz val="10"/>
        <rFont val="Arial"/>
        <family val="2"/>
        <charset val="238"/>
      </rPr>
      <t>klas obiektów</t>
    </r>
    <r>
      <rPr>
        <sz val="10"/>
        <rFont val="Arial"/>
        <family val="2"/>
        <charset val="238"/>
      </rPr>
      <t>), m.in.</t>
    </r>
  </si>
  <si>
    <r>
      <t>o Application</t>
    </r>
    <r>
      <rPr>
        <sz val="10"/>
        <rFont val="Arial"/>
        <family val="2"/>
        <charset val="238"/>
      </rPr>
      <t xml:space="preserve"> - program, na którym pracujemy - w naszym przypadku jest to MS Excel;</t>
    </r>
  </si>
  <si>
    <r>
      <t>o Workbook</t>
    </r>
    <r>
      <rPr>
        <sz val="10"/>
        <rFont val="Arial"/>
        <family val="2"/>
        <charset val="238"/>
      </rPr>
      <t xml:space="preserve"> - plik Excela;</t>
    </r>
  </si>
  <si>
    <r>
      <t>o Worksheet</t>
    </r>
    <r>
      <rPr>
        <sz val="10"/>
        <rFont val="Arial"/>
        <family val="2"/>
        <charset val="238"/>
      </rPr>
      <t xml:space="preserve"> - arkusz pliku Excela (tzw. zakładka);</t>
    </r>
  </si>
  <si>
    <r>
      <t>o Range</t>
    </r>
    <r>
      <rPr>
        <sz val="10"/>
        <rFont val="Arial"/>
        <family val="2"/>
        <charset val="238"/>
      </rPr>
      <t xml:space="preserve"> - zakres komórek w danym arkuszu i danym pliku;</t>
    </r>
  </si>
  <si>
    <r>
      <t>o Chart</t>
    </r>
    <r>
      <rPr>
        <sz val="10"/>
        <rFont val="Arial"/>
        <family val="2"/>
        <charset val="238"/>
      </rPr>
      <t xml:space="preserve"> - wykres;</t>
    </r>
  </si>
  <si>
    <r>
      <t>o PivotTable</t>
    </r>
    <r>
      <rPr>
        <sz val="10"/>
        <rFont val="Arial"/>
        <family val="2"/>
        <charset val="238"/>
      </rPr>
      <t xml:space="preserve"> - tabela przestawna.</t>
    </r>
  </si>
  <si>
    <t>Chcąc wykonać polecenie w VBA, należy wskazać obiekt, na którym działamy oraz określić czynność.</t>
  </si>
  <si>
    <r>
      <t>Sub</t>
    </r>
    <r>
      <rPr>
        <sz val="10"/>
        <color rgb="FF000000"/>
        <rFont val="Arial"/>
        <family val="2"/>
        <charset val="238"/>
      </rPr>
      <t xml:space="preserve"> Przyklad1()</t>
    </r>
  </si>
  <si>
    <t>'Wpisanie do komórki A21 tekstu: "Kurs VBA"</t>
  </si>
  <si>
    <t xml:space="preserve">    Range("A21").Value = "Kurs VBA"</t>
  </si>
  <si>
    <r>
      <t>End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Sub</t>
    </r>
  </si>
  <si>
    <t>Właściwości i metody obiektów:</t>
  </si>
  <si>
    <t>Każda klasa obiektów posiada swój własny zbiór właściwości i metod. W celu wybrania danej właściwości,</t>
  </si>
  <si>
    <t>bądź metody wskazujemy obiekt, wstawiamy znak kropki i z listy rozwijanej wybieramy odpowiednią</t>
  </si>
  <si>
    <t>pozycję. Właściwości obiektów są oznaczone znakiem koperty, zaś metody znakiem gumki.</t>
  </si>
  <si>
    <t>Właściwości:</t>
  </si>
  <si>
    <t>Właściwości obiektów pełnią w głównej mierze rolę informacyjną - określają, gdzie dany obiekt się znajduje,</t>
  </si>
  <si>
    <t>jak się nazywa, z ilu elementów się składa. Niektóre właściwości można modyfikować (np. wartość</t>
  </si>
  <si>
    <t>komórki), a innych nie (np. numer wiersza, w którym znajduje się komórka).</t>
  </si>
  <si>
    <t>o Modyfikacja właściwości Value</t>
  </si>
  <si>
    <r>
      <t xml:space="preserve">Range("A48").Value = 5.5 </t>
    </r>
    <r>
      <rPr>
        <sz val="10"/>
        <color rgb="FF008000"/>
        <rFont val="Arial"/>
        <family val="2"/>
        <charset val="238"/>
      </rPr>
      <t>'w komórce A48 wstawia wartość 5,5</t>
    </r>
  </si>
  <si>
    <t>o Pobranie właściwości Value</t>
  </si>
  <si>
    <r>
      <t xml:space="preserve">Range("A51").Value = Range("B43").Value </t>
    </r>
    <r>
      <rPr>
        <sz val="10"/>
        <color rgb="FF008000"/>
        <rFont val="Arial"/>
        <family val="2"/>
        <charset val="238"/>
      </rPr>
      <t>'w komórce A51 wstawia wartość komórki B43</t>
    </r>
  </si>
  <si>
    <t>o Odczytanie numeru wiersza</t>
  </si>
  <si>
    <r>
      <t xml:space="preserve">Range("A54").Value = Range("C54").Row </t>
    </r>
    <r>
      <rPr>
        <sz val="10"/>
        <color rgb="FF008000"/>
        <rFont val="Arial"/>
        <family val="2"/>
        <charset val="238"/>
      </rPr>
      <t>'w komórce A54 wstawia numer wiersza komórki C54</t>
    </r>
  </si>
  <si>
    <t>o Modyfikacja koloru wypełnienia komórek</t>
  </si>
  <si>
    <r>
      <t xml:space="preserve">Range("A47:A58").Interior.Color = RGB(0, 255, 0) </t>
    </r>
    <r>
      <rPr>
        <sz val="10"/>
        <color rgb="FF008000"/>
        <rFont val="Arial"/>
        <family val="2"/>
        <charset val="238"/>
      </rPr>
      <t>'w komórkach A47:A58 zmienia kolor</t>
    </r>
  </si>
  <si>
    <r>
      <t xml:space="preserve">                                                                                          </t>
    </r>
    <r>
      <rPr>
        <sz val="10"/>
        <color rgb="FF008000"/>
        <rFont val="Arial"/>
        <family val="2"/>
        <charset val="238"/>
      </rPr>
      <t>'wypełnienia na zielony</t>
    </r>
  </si>
  <si>
    <t>Metody:</t>
  </si>
  <si>
    <t>Metody to operacje, jakie można wykonywać na danych obiektach.</t>
  </si>
  <si>
    <t>o Zaznaczenie</t>
  </si>
  <si>
    <r>
      <t xml:space="preserve">Range("A63").Select </t>
    </r>
    <r>
      <rPr>
        <sz val="10"/>
        <color rgb="FF008000"/>
        <rFont val="Arial"/>
        <family val="2"/>
        <charset val="238"/>
      </rPr>
      <t>'zaznacza komórkę A63</t>
    </r>
  </si>
  <si>
    <t>o Kopiowanie</t>
  </si>
  <si>
    <r>
      <t xml:space="preserve">Range("A47:A58").Copy </t>
    </r>
    <r>
      <rPr>
        <sz val="10"/>
        <color rgb="FF008000"/>
        <rFont val="Arial"/>
        <family val="2"/>
        <charset val="238"/>
      </rPr>
      <t>'kopiuje zakres komórek A47:A58</t>
    </r>
  </si>
  <si>
    <t>o Wklejanie</t>
  </si>
  <si>
    <r>
      <t xml:space="preserve">Range("A62").PasteSpecial </t>
    </r>
    <r>
      <rPr>
        <sz val="10"/>
        <color rgb="FF008000"/>
        <rFont val="Arial"/>
        <family val="2"/>
        <charset val="238"/>
      </rPr>
      <t>'wkleja skopiowany wcześniej zakres komórek</t>
    </r>
  </si>
  <si>
    <t>o Czyszczenie</t>
  </si>
  <si>
    <r>
      <t xml:space="preserve">Range("A47:A73").Clear </t>
    </r>
    <r>
      <rPr>
        <sz val="10"/>
        <color rgb="FF008000"/>
        <rFont val="Arial"/>
        <family val="2"/>
        <charset val="238"/>
      </rPr>
      <t>'czyści (usuwa formatowanie i wartości) komórek z zakresu A47:A73</t>
    </r>
  </si>
  <si>
    <t>Konstrukcja With … End With:</t>
  </si>
  <si>
    <r>
      <t xml:space="preserve">Konstrukcja </t>
    </r>
    <r>
      <rPr>
        <i/>
        <sz val="10"/>
        <rFont val="Arial"/>
        <family val="2"/>
        <charset val="238"/>
      </rPr>
      <t>With … End With</t>
    </r>
    <r>
      <rPr>
        <sz val="10"/>
        <rFont val="Arial"/>
        <family val="2"/>
        <charset val="238"/>
      </rPr>
      <t xml:space="preserve"> pozwala na wykonywanie wielu operacji na jednym obiekcie bez konieczności</t>
    </r>
  </si>
  <si>
    <t>każdorazowego jego definiowania, co przyspiesza działanie kodu oraz zwiększa jego czytelność.</t>
  </si>
  <si>
    <t>Przykład:</t>
  </si>
  <si>
    <r>
      <t>Sub</t>
    </r>
    <r>
      <rPr>
        <sz val="10"/>
        <color rgb="FF000000"/>
        <rFont val="Arial"/>
        <family val="2"/>
        <charset val="238"/>
      </rPr>
      <t xml:space="preserve"> With2()</t>
    </r>
  </si>
  <si>
    <t>'Formatuje czcionkę w zakresie komórek</t>
  </si>
  <si>
    <t>'Działa na zakresie komórek (bez zaznaczania ich) - na obiekcie Range</t>
  </si>
  <si>
    <t>'Uwaga: dla obiektu Range, VBA podpowiada właściwości oraz metody!</t>
  </si>
  <si>
    <r>
      <t xml:space="preserve">    </t>
    </r>
    <r>
      <rPr>
        <sz val="10"/>
        <color rgb="FF008000"/>
        <rFont val="Arial"/>
        <family val="2"/>
        <charset val="238"/>
      </rPr>
      <t>'Czyści formatowanie komórki B78</t>
    </r>
  </si>
  <si>
    <t xml:space="preserve">    Range("B78").ClearFormats</t>
  </si>
  <si>
    <t xml:space="preserve">    </t>
  </si>
  <si>
    <r>
      <t xml:space="preserve">    </t>
    </r>
    <r>
      <rPr>
        <sz val="10"/>
        <color rgb="FF008000"/>
        <rFont val="Arial"/>
        <family val="2"/>
        <charset val="238"/>
      </rPr>
      <t>'Wykonuje poniższe instrukcje na czcionce komórki B78</t>
    </r>
  </si>
  <si>
    <r>
      <t xml:space="preserve">    </t>
    </r>
    <r>
      <rPr>
        <sz val="10"/>
        <color rgb="FF0000FF"/>
        <rFont val="Arial"/>
        <family val="2"/>
        <charset val="238"/>
      </rPr>
      <t>With</t>
    </r>
    <r>
      <rPr>
        <sz val="10"/>
        <color rgb="FF000000"/>
        <rFont val="Arial"/>
        <family val="2"/>
        <charset val="238"/>
      </rPr>
      <t xml:space="preserve"> Range("B78").Font</t>
    </r>
  </si>
  <si>
    <r>
      <t xml:space="preserve">        .Name = "Tahoma" </t>
    </r>
    <r>
      <rPr>
        <sz val="10"/>
        <color rgb="FF008000"/>
        <rFont val="Arial"/>
        <family val="2"/>
        <charset val="238"/>
      </rPr>
      <t>'nazwa</t>
    </r>
  </si>
  <si>
    <r>
      <t xml:space="preserve">        .Size = 12 </t>
    </r>
    <r>
      <rPr>
        <sz val="10"/>
        <color rgb="FF008000"/>
        <rFont val="Arial"/>
        <family val="2"/>
        <charset val="238"/>
      </rPr>
      <t>'rozmiar</t>
    </r>
  </si>
  <si>
    <r>
      <t xml:space="preserve">        .Color = RGB(192, 0, 0) </t>
    </r>
    <r>
      <rPr>
        <sz val="10"/>
        <color rgb="FF008000"/>
        <rFont val="Arial"/>
        <family val="2"/>
        <charset val="238"/>
      </rPr>
      <t>'kolor</t>
    </r>
  </si>
  <si>
    <r>
      <t xml:space="preserve">        .Italic = </t>
    </r>
    <r>
      <rPr>
        <sz val="10"/>
        <color rgb="FF0000FF"/>
        <rFont val="Arial"/>
        <family val="2"/>
        <charset val="238"/>
      </rPr>
      <t>True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8000"/>
        <rFont val="Arial"/>
        <family val="2"/>
        <charset val="238"/>
      </rPr>
      <t>'kursywa</t>
    </r>
  </si>
  <si>
    <r>
      <t xml:space="preserve">        .Underline = xlUnderlineStyleSingle </t>
    </r>
    <r>
      <rPr>
        <sz val="10"/>
        <color rgb="FF008000"/>
        <rFont val="Arial"/>
        <family val="2"/>
        <charset val="238"/>
      </rPr>
      <t>'podkreślenie</t>
    </r>
  </si>
  <si>
    <r>
      <t xml:space="preserve">    </t>
    </r>
    <r>
      <rPr>
        <sz val="10"/>
        <color rgb="FF0000FF"/>
        <rFont val="Arial"/>
        <family val="2"/>
        <charset val="238"/>
      </rPr>
      <t>End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With</t>
    </r>
  </si>
  <si>
    <t>Zmienne VBA:</t>
  </si>
  <si>
    <t>Bardzo przydatną funkcjonalnością języka VBA jest możliwość używania własnych zmiennych.</t>
  </si>
  <si>
    <t>Zmienne służą do przechowywania określonych wartości, dzięki czemu można z nich korzystać bez</t>
  </si>
  <si>
    <t>konieczności zapisywania ich w komórkach Excela.</t>
  </si>
  <si>
    <t>Przykłady:</t>
  </si>
  <si>
    <t>Dane1:</t>
  </si>
  <si>
    <r>
      <t>Sub</t>
    </r>
    <r>
      <rPr>
        <sz val="10"/>
        <color rgb="FF000000"/>
        <rFont val="Arial"/>
        <family val="2"/>
        <charset val="238"/>
      </rPr>
      <t xml:space="preserve"> Zmienne1()</t>
    </r>
  </si>
  <si>
    <t>Data</t>
  </si>
  <si>
    <t>DEALER</t>
  </si>
  <si>
    <t>Kod Samochodu</t>
  </si>
  <si>
    <t>Cena zakupu</t>
  </si>
  <si>
    <t>Cena Sprzedaży</t>
  </si>
  <si>
    <t>'Zapisuje do zmiennej wartość jednej komórki i zwraca ją do innej komórki</t>
  </si>
  <si>
    <t>PL018</t>
  </si>
  <si>
    <t>PL/XYZ5729</t>
  </si>
  <si>
    <t>PL/GHI657</t>
  </si>
  <si>
    <t>'Sposób 1 (ze zmienną pomocniczą)</t>
  </si>
  <si>
    <t>PL/GHI4039</t>
  </si>
  <si>
    <r>
      <t xml:space="preserve">    </t>
    </r>
    <r>
      <rPr>
        <sz val="10"/>
        <color rgb="FF008000"/>
        <rFont val="Arial"/>
        <family val="2"/>
        <charset val="238"/>
      </rPr>
      <t>'Wartosc - zmienna pomocnicza przechowująca wartość komórki B98</t>
    </r>
  </si>
  <si>
    <t>PL/GHI4077</t>
  </si>
  <si>
    <t xml:space="preserve">    Wartosc = Range("B98").Value</t>
  </si>
  <si>
    <t>PL/GHI3973</t>
  </si>
  <si>
    <t xml:space="preserve">    Range("A110").Value = Wartosc</t>
  </si>
  <si>
    <t>PL/JKL7311</t>
  </si>
  <si>
    <t>PL/PRS444</t>
  </si>
  <si>
    <t>'Sposób 2 (bez zmiennej pomocniczej)</t>
  </si>
  <si>
    <t>PL/PRS7607</t>
  </si>
  <si>
    <t xml:space="preserve">    Range("A113").Value = Range("B98").Value</t>
  </si>
  <si>
    <t>PL/DEF3490</t>
  </si>
  <si>
    <t>PL/DEF9591</t>
  </si>
  <si>
    <t>PL/DEF7402</t>
  </si>
  <si>
    <t>PL/DEF2236</t>
  </si>
  <si>
    <r>
      <t>Sub</t>
    </r>
    <r>
      <rPr>
        <sz val="10"/>
        <color rgb="FF000000"/>
        <rFont val="Arial"/>
        <family val="2"/>
        <charset val="238"/>
      </rPr>
      <t xml:space="preserve"> Zmienne2()</t>
    </r>
  </si>
  <si>
    <t>'Znajduje ostatni niepusty wiersz oraz kolumnę</t>
  </si>
  <si>
    <r>
      <t xml:space="preserve">    </t>
    </r>
    <r>
      <rPr>
        <sz val="10"/>
        <color rgb="FF008000"/>
        <rFont val="Arial"/>
        <family val="2"/>
        <charset val="238"/>
      </rPr>
      <t>'Numer wiersza ostatniej niepustej komórki w kolumnie L</t>
    </r>
  </si>
  <si>
    <t xml:space="preserve">    Wiersz = Range("L1048576").End(xlUp).Row</t>
  </si>
  <si>
    <t xml:space="preserve">    Range("A120").Value = Wiersz</t>
  </si>
  <si>
    <r>
      <t xml:space="preserve">    </t>
    </r>
    <r>
      <rPr>
        <sz val="10"/>
        <color rgb="FF008000"/>
        <rFont val="Arial"/>
        <family val="2"/>
        <charset val="238"/>
      </rPr>
      <t>'Numer kolumny ostatniej niepustej komórki w wierszu 104</t>
    </r>
  </si>
  <si>
    <t xml:space="preserve">    Kolumna = Range("XFD104").End(xlToLeft).Column</t>
  </si>
  <si>
    <t xml:space="preserve">    Range("A124").Value = Kolumna</t>
  </si>
  <si>
    <t>Zmienne obiektowe:</t>
  </si>
  <si>
    <t>Zmienne mogą przechowywać nie tylko pojedyncze wartości, ale również całe obiekty (np. arkusz,</t>
  </si>
  <si>
    <t>bądź zakres komórek) z ich właściwościami oraz metodami. W celu przypisania obiektu do zmiennej</t>
  </si>
  <si>
    <r>
      <t xml:space="preserve">(tzw. wczytanie zmiennej obiektowej) należy użyć słowa kluczowego </t>
    </r>
    <r>
      <rPr>
        <b/>
        <i/>
        <sz val="10"/>
        <color rgb="FF0000FF"/>
        <rFont val="Arial"/>
        <family val="2"/>
        <charset val="238"/>
      </rPr>
      <t>Set</t>
    </r>
    <r>
      <rPr>
        <sz val="10"/>
        <color rgb="FF000000"/>
        <rFont val="Arial"/>
        <family val="2"/>
        <charset val="238"/>
      </rPr>
      <t xml:space="preserve"> przed nazwą zmiennej.</t>
    </r>
  </si>
  <si>
    <r>
      <t>Sub</t>
    </r>
    <r>
      <rPr>
        <sz val="10"/>
        <color rgb="FF000000"/>
        <rFont val="Arial"/>
        <family val="2"/>
        <charset val="238"/>
      </rPr>
      <t xml:space="preserve"> Zmienne3()</t>
    </r>
  </si>
  <si>
    <t>'Wczytuje zakres komórek z danymi</t>
  </si>
  <si>
    <r>
      <t xml:space="preserve">    </t>
    </r>
    <r>
      <rPr>
        <sz val="10"/>
        <color rgb="FF008000"/>
        <rFont val="Arial"/>
        <family val="2"/>
        <charset val="238"/>
      </rPr>
      <t>'Zakres danych</t>
    </r>
  </si>
  <si>
    <r>
      <t xml:space="preserve">    </t>
    </r>
    <r>
      <rPr>
        <sz val="10"/>
        <color rgb="FF0000FF"/>
        <rFont val="Arial"/>
        <family val="2"/>
        <charset val="238"/>
      </rPr>
      <t>Set</t>
    </r>
    <r>
      <rPr>
        <sz val="10"/>
        <color rgb="FF000000"/>
        <rFont val="Arial"/>
        <family val="2"/>
        <charset val="238"/>
      </rPr>
      <t xml:space="preserve"> Zakres = Range(Cells(104, 12), Cells(Wiersz, Kolumna))</t>
    </r>
  </si>
  <si>
    <t xml:space="preserve">    Zakres.Select</t>
  </si>
  <si>
    <t>Deklarowanie zmiennych</t>
  </si>
  <si>
    <t>Jak widać w powyższych przykładach, w VBA można używać zmiennych bez ich wcześniejszego</t>
  </si>
  <si>
    <t>deklarowania. Mimo to, dobrą praktyką jest deklarowanie używanych w procedurze zmiennych.</t>
  </si>
  <si>
    <t>Zmienne definiuje się na początku procedury, w następujący sposób:</t>
  </si>
  <si>
    <r>
      <t>Dim</t>
    </r>
    <r>
      <rPr>
        <b/>
        <i/>
        <sz val="10"/>
        <color rgb="FF000000"/>
        <rFont val="Arial"/>
        <family val="2"/>
        <charset val="238"/>
      </rPr>
      <t xml:space="preserve"> Nazwa_zmiennej </t>
    </r>
    <r>
      <rPr>
        <b/>
        <i/>
        <sz val="10"/>
        <color rgb="FF0000FF"/>
        <rFont val="Arial"/>
        <family val="2"/>
        <charset val="238"/>
      </rPr>
      <t>As</t>
    </r>
    <r>
      <rPr>
        <b/>
        <i/>
        <sz val="10"/>
        <color rgb="FF000000"/>
        <rFont val="Arial"/>
        <family val="2"/>
        <charset val="238"/>
      </rPr>
      <t xml:space="preserve"> Typ_zmiennej</t>
    </r>
  </si>
  <si>
    <t>Do najczęściej używanych typów zmiennych należą:</t>
  </si>
  <si>
    <r>
      <t>Dim</t>
    </r>
    <r>
      <rPr>
        <sz val="10"/>
        <color rgb="FF000000"/>
        <rFont val="Arial"/>
        <family val="2"/>
        <charset val="238"/>
      </rPr>
      <t xml:space="preserve"> Rabat </t>
    </r>
    <r>
      <rPr>
        <sz val="10"/>
        <color rgb="FF0000FF"/>
        <rFont val="Arial"/>
        <family val="2"/>
        <charset val="238"/>
      </rPr>
      <t>As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Long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8000"/>
        <rFont val="Arial"/>
        <family val="2"/>
        <charset val="238"/>
      </rPr>
      <t>'zmienna "Rabat" jest liczbą całkowitą</t>
    </r>
  </si>
  <si>
    <r>
      <t>Dim</t>
    </r>
    <r>
      <rPr>
        <sz val="10"/>
        <color rgb="FF000000"/>
        <rFont val="Arial"/>
        <family val="2"/>
        <charset val="238"/>
      </rPr>
      <t xml:space="preserve"> Autor </t>
    </r>
    <r>
      <rPr>
        <sz val="10"/>
        <color rgb="FF0000FF"/>
        <rFont val="Arial"/>
        <family val="2"/>
        <charset val="238"/>
      </rPr>
      <t>As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String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8000"/>
        <rFont val="Arial"/>
        <family val="2"/>
        <charset val="238"/>
      </rPr>
      <t>'zmienna "Autor" jest tekstem</t>
    </r>
  </si>
  <si>
    <r>
      <t>Dim</t>
    </r>
    <r>
      <rPr>
        <sz val="10"/>
        <color rgb="FF000000"/>
        <rFont val="Arial"/>
        <family val="2"/>
        <charset val="238"/>
      </rPr>
      <t xml:space="preserve"> Zakres </t>
    </r>
    <r>
      <rPr>
        <sz val="10"/>
        <color rgb="FF0000FF"/>
        <rFont val="Arial"/>
        <family val="2"/>
        <charset val="238"/>
      </rPr>
      <t>As</t>
    </r>
    <r>
      <rPr>
        <sz val="10"/>
        <color rgb="FF000000"/>
        <rFont val="Arial"/>
        <family val="2"/>
        <charset val="238"/>
      </rPr>
      <t xml:space="preserve"> Range </t>
    </r>
    <r>
      <rPr>
        <sz val="10"/>
        <color rgb="FF008000"/>
        <rFont val="Arial"/>
        <family val="2"/>
        <charset val="238"/>
      </rPr>
      <t>'zmienna "Zakres" jest obiektem typu Range</t>
    </r>
  </si>
  <si>
    <t>Deklarując zmienne:</t>
  </si>
  <si>
    <t>o określamy format, w jakim zapisywane będą dane (mniejsze ryzyko pomyłki);</t>
  </si>
  <si>
    <t>o zwiększamy czytelność kodu;</t>
  </si>
  <si>
    <t>o zwiększamy szybkość działania procedury (mniejsza ilość pamięci fizycznej);</t>
  </si>
  <si>
    <t>o uzyskujemy podpowiedź na temat właściwości i metod zadeklarowanego typu obiektu.</t>
  </si>
  <si>
    <t>Więcej informacji:</t>
  </si>
  <si>
    <t>http://msdn.microsoft.com/en-us/library/47zceaw7.aspx</t>
  </si>
  <si>
    <t>Kolekcje obiektów:</t>
  </si>
  <si>
    <t>W VBA wyróżniamy tzw. kolekcje obiektów, czyli zbiory wszystkich obiektów tego samego typu</t>
  </si>
  <si>
    <t>znajdujących się w określonym miejscu. Przykładowo:</t>
  </si>
  <si>
    <t>Każda kolekcja ma ściśle zdefiniowaną liczbę elementów, a każdy z nich ma określony numer i nazwę.</t>
  </si>
  <si>
    <t>Do konkretnego elementu kolekcji można się odwołać na dwa sposoby:</t>
  </si>
  <si>
    <r>
      <t xml:space="preserve">o </t>
    </r>
    <r>
      <rPr>
        <b/>
        <sz val="10"/>
        <rFont val="Arial"/>
        <family val="2"/>
        <charset val="238"/>
      </rPr>
      <t>NazwaKolekcji("NazwaElementu")</t>
    </r>
    <r>
      <rPr>
        <sz val="10"/>
        <rFont val="Arial"/>
        <family val="2"/>
        <charset val="238"/>
      </rPr>
      <t>, np.</t>
    </r>
  </si>
  <si>
    <t>Worksheets("Samouczek").Select</t>
  </si>
  <si>
    <r>
      <t xml:space="preserve">o </t>
    </r>
    <r>
      <rPr>
        <b/>
        <sz val="10"/>
        <rFont val="Arial"/>
        <family val="2"/>
        <charset val="238"/>
      </rPr>
      <t>NazwaKolekcji(NumerElementu)</t>
    </r>
    <r>
      <rPr>
        <sz val="10"/>
        <rFont val="Arial"/>
        <family val="2"/>
        <charset val="238"/>
      </rPr>
      <t>, np.</t>
    </r>
  </si>
  <si>
    <t>Worksheets(1).Select</t>
  </si>
  <si>
    <t>Same kolekcje obiektów także są obiektami, a więc posiadają zdefiniowane właściwości oraz metody.</t>
  </si>
  <si>
    <r>
      <t xml:space="preserve">Worksheets.Add </t>
    </r>
    <r>
      <rPr>
        <i/>
        <sz val="10"/>
        <color rgb="FF008000"/>
        <rFont val="Arial"/>
        <family val="2"/>
        <charset val="238"/>
      </rPr>
      <t>'wstawia nowy arkusz w pliku</t>
    </r>
  </si>
  <si>
    <t>Hierarchia obiektów:</t>
  </si>
  <si>
    <t>Wszystkie obiekty obejmuje odpowiednia hierarchia, którą przedstawia poniższy diagram:</t>
  </si>
  <si>
    <t>Range</t>
  </si>
  <si>
    <t>Worksheet</t>
  </si>
  <si>
    <t>ChartObject</t>
  </si>
  <si>
    <t>Workbook</t>
  </si>
  <si>
    <t>Application</t>
  </si>
  <si>
    <t>Chart</t>
  </si>
  <si>
    <t>PivotTable</t>
  </si>
  <si>
    <t>CommandBar</t>
  </si>
  <si>
    <t>Odwołując się do podrzędnego obiektu, należy poprzedzić go kropką, która pełni rolę separatora.</t>
  </si>
  <si>
    <r>
      <t xml:space="preserve">Przykładowo, odwołanie do arkusza </t>
    </r>
    <r>
      <rPr>
        <i/>
        <sz val="10"/>
        <rFont val="Arial"/>
        <family val="2"/>
        <charset val="238"/>
      </rPr>
      <t>Samouczek</t>
    </r>
    <r>
      <rPr>
        <sz val="10"/>
        <rFont val="Arial"/>
        <family val="2"/>
        <charset val="238"/>
      </rPr>
      <t xml:space="preserve"> w pliku </t>
    </r>
    <r>
      <rPr>
        <i/>
        <sz val="10"/>
        <rFont val="Arial"/>
        <family val="2"/>
        <charset val="238"/>
      </rPr>
      <t>zajecia_2.xlsm</t>
    </r>
    <r>
      <rPr>
        <sz val="10"/>
        <rFont val="Arial"/>
        <family val="2"/>
        <charset val="238"/>
      </rPr>
      <t xml:space="preserve"> ma postać:</t>
    </r>
  </si>
  <si>
    <t>Application.Workbooks("zajecia_2.xlsm").Worksheets("Samouczek")</t>
  </si>
  <si>
    <r>
      <t xml:space="preserve">co oznacza, że dla </t>
    </r>
    <r>
      <rPr>
        <i/>
        <sz val="10"/>
        <rFont val="Arial"/>
        <family val="2"/>
        <charset val="238"/>
      </rPr>
      <t>Application,</t>
    </r>
    <r>
      <rPr>
        <sz val="10"/>
        <rFont val="Arial"/>
        <family val="2"/>
        <charset val="238"/>
      </rPr>
      <t xml:space="preserve"> który jest nadrzędnym obiektem w stosunku do klasy Workbooks,</t>
    </r>
  </si>
  <si>
    <t>Uwaga:</t>
  </si>
  <si>
    <t>Jeżeli nie zdefiniujemy obiektu nadrzędnego, Excel posłuży się aktywnym obiektem.</t>
  </si>
  <si>
    <r>
      <t xml:space="preserve">Zatem napisanie </t>
    </r>
    <r>
      <rPr>
        <b/>
        <sz val="10"/>
        <rFont val="Arial"/>
        <family val="2"/>
        <charset val="238"/>
      </rPr>
      <t>Range("A1")</t>
    </r>
    <r>
      <rPr>
        <sz val="10"/>
        <rFont val="Arial"/>
        <family val="2"/>
        <charset val="238"/>
      </rPr>
      <t xml:space="preserve"> będzie się odnosiło do komórki A1 w aktywnym arkuszu</t>
    </r>
  </si>
  <si>
    <t>aktywnego pliku.</t>
  </si>
  <si>
    <r>
      <t>Sub</t>
    </r>
    <r>
      <rPr>
        <sz val="10"/>
        <color rgb="FF000000"/>
        <rFont val="Arial"/>
        <family val="2"/>
        <charset val="238"/>
      </rPr>
      <t xml:space="preserve"> Hierarchia1()</t>
    </r>
  </si>
  <si>
    <t>'Formatuje zakres komórek we wskazanym pliku i arkuszu</t>
  </si>
  <si>
    <t xml:space="preserve">        .Interior.Color = RGB(255, 0, 0)</t>
  </si>
  <si>
    <r>
      <t xml:space="preserve">    </t>
    </r>
    <r>
      <rPr>
        <sz val="10"/>
        <color rgb="FF008000"/>
        <rFont val="Arial"/>
        <family val="2"/>
        <charset val="238"/>
      </rPr>
      <t>'Komórki B8:G8 w arkuszu nr 2 w pliku nr 1</t>
    </r>
  </si>
  <si>
    <t xml:space="preserve">    Application.Workbooks(1).Worksheets(2).Range("B8:G8").Interior.Color = RGB(0, 255, 0)</t>
  </si>
  <si>
    <r>
      <t xml:space="preserve">    </t>
    </r>
    <r>
      <rPr>
        <sz val="10"/>
        <color rgb="FF008000"/>
        <rFont val="Arial"/>
        <family val="2"/>
        <charset val="238"/>
      </rPr>
      <t>'Komórki B8:G8 w arkuszu nr 2 w aktywnym pliku</t>
    </r>
  </si>
  <si>
    <t xml:space="preserve">    Worksheets(2).Range("B8:G8").Interior.Color = RGB(0, 0, 255)</t>
  </si>
  <si>
    <r>
      <t xml:space="preserve">    </t>
    </r>
    <r>
      <rPr>
        <sz val="10"/>
        <color rgb="FF008000"/>
        <rFont val="Arial"/>
        <family val="2"/>
        <charset val="238"/>
      </rPr>
      <t>'Komórki B8:G8 w aktywnym arkuszu w aktywnym pliku</t>
    </r>
  </si>
  <si>
    <t xml:space="preserve">    Range("B8:G8").Interior.Color = RGB(200, 200, 200)</t>
  </si>
  <si>
    <t>Konstrukcja For Each … Next:</t>
  </si>
  <si>
    <r>
      <t xml:space="preserve">Konstrukcja </t>
    </r>
    <r>
      <rPr>
        <i/>
        <sz val="10"/>
        <rFont val="Arial"/>
        <family val="2"/>
        <charset val="238"/>
      </rPr>
      <t>For Each … Next</t>
    </r>
    <r>
      <rPr>
        <sz val="10"/>
        <rFont val="Arial"/>
        <family val="2"/>
        <charset val="238"/>
      </rPr>
      <t xml:space="preserve"> pozwala na wykonanie określonej operacji na wszystkich obiektach z</t>
    </r>
  </si>
  <si>
    <t>danej kolekcji. Jest to rodzaj pętli, która sprawdza ile elementów ma wskazana kolekcja i kolejno, dla</t>
  </si>
  <si>
    <r>
      <t xml:space="preserve">każdego z nich wykonuje instrukcje znajdujące się pomiędzy słowami kluczowymi </t>
    </r>
    <r>
      <rPr>
        <i/>
        <sz val="10"/>
        <rFont val="Arial"/>
        <family val="2"/>
        <charset val="238"/>
      </rPr>
      <t>For Each</t>
    </r>
    <r>
      <rPr>
        <sz val="10"/>
        <rFont val="Arial"/>
        <family val="2"/>
        <charset val="238"/>
      </rPr>
      <t xml:space="preserve"> oraz </t>
    </r>
    <r>
      <rPr>
        <i/>
        <sz val="10"/>
        <rFont val="Arial"/>
        <family val="2"/>
        <charset val="238"/>
      </rPr>
      <t>Next</t>
    </r>
    <r>
      <rPr>
        <sz val="10"/>
        <rFont val="Arial"/>
        <family val="2"/>
        <charset val="238"/>
      </rPr>
      <t>.</t>
    </r>
  </si>
  <si>
    <t>Składnia:</t>
  </si>
  <si>
    <r>
      <t>For</t>
    </r>
    <r>
      <rPr>
        <i/>
        <sz val="10"/>
        <color rgb="FF000000"/>
        <rFont val="Arial"/>
        <family val="2"/>
        <charset val="238"/>
      </rPr>
      <t xml:space="preserve"> </t>
    </r>
    <r>
      <rPr>
        <i/>
        <sz val="10"/>
        <color rgb="FF0000FF"/>
        <rFont val="Arial"/>
        <family val="2"/>
        <charset val="238"/>
      </rPr>
      <t>Each</t>
    </r>
    <r>
      <rPr>
        <i/>
        <sz val="10"/>
        <color rgb="FF000000"/>
        <rFont val="Arial"/>
        <family val="2"/>
        <charset val="238"/>
      </rPr>
      <t xml:space="preserve"> NazwaObiektu </t>
    </r>
    <r>
      <rPr>
        <i/>
        <sz val="10"/>
        <color rgb="FF0000FF"/>
        <rFont val="Arial"/>
        <family val="2"/>
        <charset val="238"/>
      </rPr>
      <t>In</t>
    </r>
    <r>
      <rPr>
        <i/>
        <sz val="10"/>
        <color rgb="FF000000"/>
        <rFont val="Arial"/>
        <family val="2"/>
        <charset val="238"/>
      </rPr>
      <t xml:space="preserve"> KolekcjaObiektów</t>
    </r>
  </si>
  <si>
    <t>Instrukcja 1</t>
  </si>
  <si>
    <t>Instrukcja 2</t>
  </si>
  <si>
    <t>…</t>
  </si>
  <si>
    <r>
      <t>Next</t>
    </r>
    <r>
      <rPr>
        <i/>
        <sz val="10"/>
        <color rgb="FF000000"/>
        <rFont val="Arial"/>
        <family val="2"/>
        <charset val="238"/>
      </rPr>
      <t xml:space="preserve"> NazwaObiektu</t>
    </r>
  </si>
  <si>
    <t>Dane2:</t>
  </si>
  <si>
    <r>
      <t>Sub</t>
    </r>
    <r>
      <rPr>
        <sz val="10"/>
        <color rgb="FF000000"/>
        <rFont val="Arial"/>
        <family val="2"/>
        <charset val="238"/>
      </rPr>
      <t xml:space="preserve"> ForEach1()</t>
    </r>
  </si>
  <si>
    <t>'Modyfikuje wartości komórek z zakresu (wartość komórki = wartość komórki powyżej + 1)</t>
  </si>
  <si>
    <t>'Makro działa na zakresie zmieniając każdą komórkę pojedynczo</t>
  </si>
  <si>
    <r>
      <t xml:space="preserve">    </t>
    </r>
    <r>
      <rPr>
        <sz val="10"/>
        <color rgb="FF0000FF"/>
        <rFont val="Arial"/>
        <family val="2"/>
        <charset val="238"/>
      </rPr>
      <t>Dim</t>
    </r>
    <r>
      <rPr>
        <sz val="10"/>
        <color rgb="FF000000"/>
        <rFont val="Arial"/>
        <family val="2"/>
        <charset val="238"/>
      </rPr>
      <t xml:space="preserve"> Kom </t>
    </r>
    <r>
      <rPr>
        <sz val="10"/>
        <color rgb="FF0000FF"/>
        <rFont val="Arial"/>
        <family val="2"/>
        <charset val="238"/>
      </rPr>
      <t>As</t>
    </r>
    <r>
      <rPr>
        <sz val="10"/>
        <color rgb="FF000000"/>
        <rFont val="Arial"/>
        <family val="2"/>
        <charset val="238"/>
      </rPr>
      <t xml:space="preserve"> Range </t>
    </r>
    <r>
      <rPr>
        <sz val="10"/>
        <color rgb="FF008000"/>
        <rFont val="Arial"/>
        <family val="2"/>
        <charset val="238"/>
      </rPr>
      <t>'pojedyncza komórka</t>
    </r>
  </si>
  <si>
    <r>
      <t xml:space="preserve">    </t>
    </r>
    <r>
      <rPr>
        <sz val="10"/>
        <color rgb="FF008000"/>
        <rFont val="Arial"/>
        <family val="2"/>
        <charset val="238"/>
      </rPr>
      <t>'Dla każdej komórki z zakresu M241:O247</t>
    </r>
  </si>
  <si>
    <r>
      <t xml:space="preserve">    </t>
    </r>
    <r>
      <rPr>
        <sz val="10"/>
        <color rgb="FF0000FF"/>
        <rFont val="Arial"/>
        <family val="2"/>
        <charset val="238"/>
      </rPr>
      <t>For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Each</t>
    </r>
    <r>
      <rPr>
        <sz val="10"/>
        <color rgb="FF000000"/>
        <rFont val="Arial"/>
        <family val="2"/>
        <charset val="238"/>
      </rPr>
      <t xml:space="preserve"> Kom </t>
    </r>
    <r>
      <rPr>
        <sz val="10"/>
        <color rgb="FF0000FF"/>
        <rFont val="Arial"/>
        <family val="2"/>
        <charset val="238"/>
      </rPr>
      <t>In</t>
    </r>
    <r>
      <rPr>
        <sz val="10"/>
        <color rgb="FF000000"/>
        <rFont val="Arial"/>
        <family val="2"/>
        <charset val="238"/>
      </rPr>
      <t xml:space="preserve"> Range("M241:O247")</t>
    </r>
  </si>
  <si>
    <r>
      <t xml:space="preserve">        </t>
    </r>
    <r>
      <rPr>
        <sz val="10"/>
        <color rgb="FF008000"/>
        <rFont val="Arial"/>
        <family val="2"/>
        <charset val="238"/>
      </rPr>
      <t>'Offset - metoda obiektu Range służąca do przesuwania zakresu</t>
    </r>
  </si>
  <si>
    <r>
      <t xml:space="preserve">        </t>
    </r>
    <r>
      <rPr>
        <sz val="10"/>
        <color rgb="FF008000"/>
        <rFont val="Arial"/>
        <family val="2"/>
        <charset val="238"/>
      </rPr>
      <t>'Składnia: Range(Adres).Offset(Wiersze, Kolumny) - przesunięcie zakresu Range(...)</t>
    </r>
  </si>
  <si>
    <r>
      <t xml:space="preserve">        </t>
    </r>
    <r>
      <rPr>
        <sz val="10"/>
        <color rgb="FF008000"/>
        <rFont val="Arial"/>
        <family val="2"/>
        <charset val="238"/>
      </rPr>
      <t>'                                                                                              o podaną liczbę wierszy / kolumn</t>
    </r>
  </si>
  <si>
    <r>
      <t xml:space="preserve">        Kom.Value = Kom.Offset(-1, 0).Value + 1 </t>
    </r>
    <r>
      <rPr>
        <sz val="10"/>
        <color rgb="FF008000"/>
        <rFont val="Arial"/>
        <family val="2"/>
        <charset val="238"/>
      </rPr>
      <t>'wartość o 1 większa od komórki powyżej</t>
    </r>
  </si>
  <si>
    <r>
      <t xml:space="preserve">    </t>
    </r>
    <r>
      <rPr>
        <sz val="10"/>
        <color rgb="FF0000FF"/>
        <rFont val="Arial"/>
        <family val="2"/>
        <charset val="238"/>
      </rPr>
      <t>Next</t>
    </r>
    <r>
      <rPr>
        <sz val="10"/>
        <color rgb="FF000000"/>
        <rFont val="Arial"/>
        <family val="2"/>
        <charset val="238"/>
      </rPr>
      <t xml:space="preserve"> Kom</t>
    </r>
  </si>
  <si>
    <r>
      <t>Sub</t>
    </r>
    <r>
      <rPr>
        <sz val="10"/>
        <color rgb="FF000000"/>
        <rFont val="Arial"/>
        <family val="2"/>
        <charset val="238"/>
      </rPr>
      <t xml:space="preserve"> ForEach2()</t>
    </r>
  </si>
  <si>
    <t>'Wypisuje nazwy kolejnych arkuszy w komórkach A1</t>
  </si>
  <si>
    <r>
      <t xml:space="preserve">    </t>
    </r>
    <r>
      <rPr>
        <sz val="10"/>
        <color rgb="FF0000FF"/>
        <rFont val="Arial"/>
        <family val="2"/>
        <charset val="238"/>
      </rPr>
      <t>Dim</t>
    </r>
    <r>
      <rPr>
        <sz val="10"/>
        <color rgb="FF000000"/>
        <rFont val="Arial"/>
        <family val="2"/>
        <charset val="238"/>
      </rPr>
      <t xml:space="preserve"> Zakl </t>
    </r>
    <r>
      <rPr>
        <sz val="10"/>
        <color rgb="FF0000FF"/>
        <rFont val="Arial"/>
        <family val="2"/>
        <charset val="238"/>
      </rPr>
      <t>As</t>
    </r>
    <r>
      <rPr>
        <sz val="10"/>
        <color rgb="FF000000"/>
        <rFont val="Arial"/>
        <family val="2"/>
        <charset val="238"/>
      </rPr>
      <t xml:space="preserve"> Worksheet </t>
    </r>
    <r>
      <rPr>
        <sz val="10"/>
        <color rgb="FF008000"/>
        <rFont val="Arial"/>
        <family val="2"/>
        <charset val="238"/>
      </rPr>
      <t>'pojedynczy arkusz</t>
    </r>
  </si>
  <si>
    <r>
      <t xml:space="preserve">    </t>
    </r>
    <r>
      <rPr>
        <sz val="10"/>
        <color rgb="FF008000"/>
        <rFont val="Arial"/>
        <family val="2"/>
        <charset val="238"/>
      </rPr>
      <t>'Dla każdego arkusza w pliku (zbiorze wszystkich arkuszy)</t>
    </r>
  </si>
  <si>
    <r>
      <t xml:space="preserve">    </t>
    </r>
    <r>
      <rPr>
        <sz val="10"/>
        <color rgb="FF0000FF"/>
        <rFont val="Arial"/>
        <family val="2"/>
        <charset val="238"/>
      </rPr>
      <t>For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Each</t>
    </r>
    <r>
      <rPr>
        <sz val="10"/>
        <color rgb="FF000000"/>
        <rFont val="Arial"/>
        <family val="2"/>
        <charset val="238"/>
      </rPr>
      <t xml:space="preserve"> Zakl </t>
    </r>
    <r>
      <rPr>
        <sz val="10"/>
        <color rgb="FF0000FF"/>
        <rFont val="Arial"/>
        <family val="2"/>
        <charset val="238"/>
      </rPr>
      <t>In</t>
    </r>
    <r>
      <rPr>
        <sz val="10"/>
        <color rgb="FF000000"/>
        <rFont val="Arial"/>
        <family val="2"/>
        <charset val="238"/>
      </rPr>
      <t xml:space="preserve"> Worksheets</t>
    </r>
  </si>
  <si>
    <r>
      <t xml:space="preserve">        Zakl.Select </t>
    </r>
    <r>
      <rPr>
        <sz val="10"/>
        <color rgb="FF008000"/>
        <rFont val="Arial"/>
        <family val="2"/>
        <charset val="238"/>
      </rPr>
      <t>'aktywacja arkusza</t>
    </r>
  </si>
  <si>
    <r>
      <t xml:space="preserve">        Range("A1").Value = Zakl.Name </t>
    </r>
    <r>
      <rPr>
        <sz val="10"/>
        <color rgb="FF008000"/>
        <rFont val="Arial"/>
        <family val="2"/>
        <charset val="238"/>
      </rPr>
      <t>'wypisanie jego nazwy w komórce A1</t>
    </r>
  </si>
  <si>
    <r>
      <t xml:space="preserve">    </t>
    </r>
    <r>
      <rPr>
        <sz val="10"/>
        <color rgb="FF0000FF"/>
        <rFont val="Arial"/>
        <family val="2"/>
        <charset val="238"/>
      </rPr>
      <t>Next</t>
    </r>
    <r>
      <rPr>
        <sz val="10"/>
        <color rgb="FF000000"/>
        <rFont val="Arial"/>
        <family val="2"/>
        <charset val="238"/>
      </rPr>
      <t xml:space="preserve"> Zakl</t>
    </r>
  </si>
  <si>
    <t>Pomoc dotycząca obiektów VBA:</t>
  </si>
  <si>
    <t>Informacje o obiektach oraz ich właściwościach i metodach możemy znaleźć w edytorze Visual Basic:</t>
  </si>
  <si>
    <t>http://msdn.microsoft.com/en-us/library/office/ff194068(v=office.15).aspx</t>
  </si>
  <si>
    <t>To jest takie samo zadanie, co ostatnie zadanie z wcześniejszych zajęć.</t>
  </si>
  <si>
    <r>
      <t xml:space="preserve">Tym razem, sformatuj tabelę, definiując zmienne typu </t>
    </r>
    <r>
      <rPr>
        <i/>
        <sz val="10"/>
        <rFont val="Arial"/>
        <family val="2"/>
        <charset val="238"/>
      </rPr>
      <t>Range</t>
    </r>
    <r>
      <rPr>
        <sz val="10"/>
        <rFont val="Arial"/>
        <family val="2"/>
        <charset val="238"/>
      </rPr>
      <t xml:space="preserve"> dla całej tabeli,</t>
    </r>
  </si>
  <si>
    <t>jak i dla poszczególnych kolumn.</t>
  </si>
  <si>
    <t>Zysk</t>
  </si>
  <si>
    <t>PL/DEF7540</t>
  </si>
  <si>
    <t>PL/JKL511,7</t>
  </si>
  <si>
    <t>PL/XYZ6500</t>
  </si>
  <si>
    <t>PL/XYZ279</t>
  </si>
  <si>
    <t>PL/XYZ7109</t>
  </si>
  <si>
    <t>PL/TUV986</t>
  </si>
  <si>
    <t>PL/TUV2521</t>
  </si>
  <si>
    <t>PL/ABC1283</t>
  </si>
  <si>
    <t>PL/ABC6800</t>
  </si>
  <si>
    <t>PL/ABC8917</t>
  </si>
  <si>
    <t>PL/MNO9471</t>
  </si>
  <si>
    <t>PL/MNO7376</t>
  </si>
  <si>
    <t>PL/MNO4571</t>
  </si>
  <si>
    <t>PL/MNO2187</t>
  </si>
  <si>
    <t>PL/MNO2209</t>
  </si>
  <si>
    <t>PL019</t>
  </si>
  <si>
    <t>PL/XYZ5921</t>
  </si>
  <si>
    <t>PL/XYZ3560</t>
  </si>
  <si>
    <t>PL/XYZ3677</t>
  </si>
  <si>
    <t>PL/GHI547</t>
  </si>
  <si>
    <t>PL/GHI3397</t>
  </si>
  <si>
    <t>PL/JKL7848</t>
  </si>
  <si>
    <t>PL/PRS2813</t>
  </si>
  <si>
    <t>PL/PRS1816</t>
  </si>
  <si>
    <t>PL/DEF4981</t>
  </si>
  <si>
    <t>PL/DEF943</t>
  </si>
  <si>
    <t>PL/DEF4628</t>
  </si>
  <si>
    <t>PL/XYZ2230</t>
  </si>
  <si>
    <t>PL/XYZ4243</t>
  </si>
  <si>
    <t>PL/TUV707</t>
  </si>
  <si>
    <t>PL/TUV5811</t>
  </si>
  <si>
    <t>PL/TUV949</t>
  </si>
  <si>
    <t>PL/ABC5741</t>
  </si>
  <si>
    <t>PL/ABC2887</t>
  </si>
  <si>
    <t>PL/ABC5890</t>
  </si>
  <si>
    <t>PL/ABC6117</t>
  </si>
  <si>
    <t>PL/MNO5292</t>
  </si>
  <si>
    <t>PL/MNO6328</t>
  </si>
  <si>
    <t>PL/MNO6229</t>
  </si>
  <si>
    <t>PL/XYZ2469</t>
  </si>
  <si>
    <t>PL/XYZ1134</t>
  </si>
  <si>
    <t>PL038</t>
  </si>
  <si>
    <t>PL/GHI9013</t>
  </si>
  <si>
    <t>PL/GHI96</t>
  </si>
  <si>
    <t>PL/GHI7376</t>
  </si>
  <si>
    <t>PL/JKL8251</t>
  </si>
  <si>
    <t>PL/PRS2803</t>
  </si>
  <si>
    <t>PL/PRS9556</t>
  </si>
  <si>
    <t>PL/PRS3543</t>
  </si>
  <si>
    <t>PL/PRS1372</t>
  </si>
  <si>
    <t>PL/PRS5486</t>
  </si>
  <si>
    <t>PL/DEF7834</t>
  </si>
  <si>
    <t>PL/DEF5133</t>
  </si>
  <si>
    <t>PL/DEF5944</t>
  </si>
  <si>
    <t>PL/DEF353</t>
  </si>
  <si>
    <t>PL/DEF9051</t>
  </si>
  <si>
    <t>PL/XYZ8462</t>
  </si>
  <si>
    <t>PL/XYZ4392</t>
  </si>
  <si>
    <t>PL/TUV1609</t>
  </si>
  <si>
    <t>PL/TUV5268</t>
  </si>
  <si>
    <t>PL/TUV947</t>
  </si>
  <si>
    <t>PL/TUV7080</t>
  </si>
  <si>
    <t>PL/TUV3008</t>
  </si>
  <si>
    <t>PL/TUV3869</t>
  </si>
  <si>
    <t>PL/TUV8901</t>
  </si>
  <si>
    <t>PL/MNO4160</t>
  </si>
  <si>
    <t>PL/MNO5499</t>
  </si>
  <si>
    <t>PL/MNO1326</t>
  </si>
  <si>
    <t>PL/MNO608</t>
  </si>
  <si>
    <t>PL/MNO9091</t>
  </si>
  <si>
    <t>PL039</t>
  </si>
  <si>
    <t>PL/GHI3258</t>
  </si>
  <si>
    <t>PL/GHI8810</t>
  </si>
  <si>
    <t>PL/GHI3408</t>
  </si>
  <si>
    <t>PL/GHI7432</t>
  </si>
  <si>
    <t>PL/GHI9020</t>
  </si>
  <si>
    <t>PL/JKL5212</t>
  </si>
  <si>
    <t>PL/JKL7747</t>
  </si>
  <si>
    <t>PL/PRS4565</t>
  </si>
  <si>
    <t>PL/PRS4530</t>
  </si>
  <si>
    <t>PL/DEF4511</t>
  </si>
  <si>
    <t>PL/DEF1918</t>
  </si>
  <si>
    <t>PL/DEF525</t>
  </si>
  <si>
    <t>PL/DEF6250</t>
  </si>
  <si>
    <t>PL/DEF6955</t>
  </si>
  <si>
    <t>PL/JKL107,3</t>
  </si>
  <si>
    <t>PL/XYZ9133</t>
  </si>
  <si>
    <t>PL/XYZ8397</t>
  </si>
  <si>
    <t>PL/TUV8797</t>
  </si>
  <si>
    <t>PL/TUV4275</t>
  </si>
  <si>
    <t>PL/TUV3734</t>
  </si>
  <si>
    <t>PL/TUV7151</t>
  </si>
  <si>
    <t>PL/TUV4973</t>
  </si>
  <si>
    <t>PL/TUV5809</t>
  </si>
  <si>
    <t>PL/ABC5554</t>
  </si>
  <si>
    <t>PL/ABC9495</t>
  </si>
  <si>
    <t>PL/ABC8634</t>
  </si>
  <si>
    <t>PL/ABC8874</t>
  </si>
  <si>
    <t>PL/ABC9713</t>
  </si>
  <si>
    <t>PL/MNO1461</t>
  </si>
  <si>
    <t>PL/MNO3591</t>
  </si>
  <si>
    <t>PL/MNO6377</t>
  </si>
  <si>
    <t>PL/MNO5577</t>
  </si>
  <si>
    <t>PL/MNO3168</t>
  </si>
  <si>
    <t>PL/MNO7456</t>
  </si>
  <si>
    <t>PL/MNO1160</t>
  </si>
  <si>
    <t>PL/MNO8144</t>
  </si>
  <si>
    <t>PL/MNO6226</t>
  </si>
  <si>
    <t>PL080</t>
  </si>
  <si>
    <t>PL/XYZ3565</t>
  </si>
  <si>
    <t>PL/XYZ2911</t>
  </si>
  <si>
    <t>PL/GHI2365</t>
  </si>
  <si>
    <t>PL/GHI5919</t>
  </si>
  <si>
    <t>PL/GHI4976</t>
  </si>
  <si>
    <t>PL/JKL5793</t>
  </si>
  <si>
    <t>PL/PRS1401</t>
  </si>
  <si>
    <t>PL/DEF2307</t>
  </si>
  <si>
    <t>PL/DEF1936</t>
  </si>
  <si>
    <t>PL/DEF4520</t>
  </si>
  <si>
    <t>PL/DEF3224</t>
  </si>
  <si>
    <t>PL/XYZ3583</t>
  </si>
  <si>
    <t>PL/XYZ255</t>
  </si>
  <si>
    <t>PL/TUV5802</t>
  </si>
  <si>
    <t>PL/TUV2537</t>
  </si>
  <si>
    <t>PL/TUV5151</t>
  </si>
  <si>
    <t>PL/TUV968</t>
  </si>
  <si>
    <t>PL/ABC4067</t>
  </si>
  <si>
    <t>PL/ABC1628</t>
  </si>
  <si>
    <t>PL/ABC1145</t>
  </si>
  <si>
    <t>PL/MNO2420</t>
  </si>
  <si>
    <t>PL/MNO1680</t>
  </si>
  <si>
    <t>PL/MNO8264</t>
  </si>
  <si>
    <t>PL/XYZ9970</t>
  </si>
  <si>
    <t>PL/XYZ5396</t>
  </si>
  <si>
    <t>PL/XYZ4926</t>
  </si>
  <si>
    <t>PL088</t>
  </si>
  <si>
    <t>PL/XYZ4615</t>
  </si>
  <si>
    <t>PL/XYZ7458</t>
  </si>
  <si>
    <t>PL/GHI4978</t>
  </si>
  <si>
    <t>PL/GHI5043</t>
  </si>
  <si>
    <t>PL/GHI6483</t>
  </si>
  <si>
    <t>PL/GHI8119</t>
  </si>
  <si>
    <t>PL/GHI9652</t>
  </si>
  <si>
    <t>PL/JKL4166</t>
  </si>
  <si>
    <t>PL/JKL6032</t>
  </si>
  <si>
    <t>PL/PRS1797</t>
  </si>
  <si>
    <t>PL/PRS798</t>
  </si>
  <si>
    <t>PL/DEF4866</t>
  </si>
  <si>
    <t>PL/DEF1697</t>
  </si>
  <si>
    <t>PL/DEF3960</t>
  </si>
  <si>
    <t>PL/DEF3382</t>
  </si>
  <si>
    <t>PL/DEF1849</t>
  </si>
  <si>
    <t>PL/XYZ9855</t>
  </si>
  <si>
    <t>PL/XYZ3874</t>
  </si>
  <si>
    <t>PL/XYZ4059</t>
  </si>
  <si>
    <t>PL/TUV541</t>
  </si>
  <si>
    <t>PL/ABC636</t>
  </si>
  <si>
    <t>PL/ABC2905</t>
  </si>
  <si>
    <t>PL/ABC3864</t>
  </si>
  <si>
    <t>PL/ABC2235</t>
  </si>
  <si>
    <t>PL/ABC6249</t>
  </si>
  <si>
    <t>PL/ABC9632</t>
  </si>
  <si>
    <t>PL/ABC5178</t>
  </si>
  <si>
    <t>PL/MNO7241</t>
  </si>
  <si>
    <t>PL/MNO2558</t>
  </si>
  <si>
    <t>PL/MNO7649</t>
  </si>
  <si>
    <t>PL/MNO1231</t>
  </si>
  <si>
    <t>PL/MNO4916</t>
  </si>
  <si>
    <t>PL/XYZ3466</t>
  </si>
  <si>
    <t>PL089</t>
  </si>
  <si>
    <t>PL/XYZ3580</t>
  </si>
  <si>
    <t>PL/GHI1944</t>
  </si>
  <si>
    <t>PL/GHI4621</t>
  </si>
  <si>
    <t>PL/GHI650</t>
  </si>
  <si>
    <t>PL/GHI2030</t>
  </si>
  <si>
    <t>PL/GHI6033</t>
  </si>
  <si>
    <t>PL/JKL4014</t>
  </si>
  <si>
    <t>PL/JKL6225</t>
  </si>
  <si>
    <t>PL/PRS9572</t>
  </si>
  <si>
    <t>PL/DEF3288</t>
  </si>
  <si>
    <t>PL/DEF7639</t>
  </si>
  <si>
    <t>PL/DEF5512</t>
  </si>
  <si>
    <t>PL/DEF5742</t>
  </si>
  <si>
    <t>PL/DEF8390</t>
  </si>
  <si>
    <t>PL/DEF5732</t>
  </si>
  <si>
    <t>PL/TUV2741</t>
  </si>
  <si>
    <t>PL/TUV246</t>
  </si>
  <si>
    <t>PL/TUV5278</t>
  </si>
  <si>
    <t>PL/ABC1424</t>
  </si>
  <si>
    <t>PL/ABC915</t>
  </si>
  <si>
    <t>PL/ABC825</t>
  </si>
  <si>
    <t>PL/ABC6000</t>
  </si>
  <si>
    <t>PL/ABC4575</t>
  </si>
  <si>
    <t>PL/ABC8448</t>
  </si>
  <si>
    <t>PL/MNO583</t>
  </si>
  <si>
    <t>PL/MNO5199</t>
  </si>
  <si>
    <t>PL/MNO2082</t>
  </si>
  <si>
    <t>PL/MNO6903</t>
  </si>
  <si>
    <t>PL/MNO727</t>
  </si>
  <si>
    <t>PL/MNO7497</t>
  </si>
  <si>
    <t>PL/XYZ2944</t>
  </si>
  <si>
    <t>Proszę stworzyć makro, które dopisze do Tabeli 1 dane z Tabeli 2.</t>
  </si>
  <si>
    <t>Tabela 2 powinna zostać zdefiniowana jako zakres (z dynamicznie ustalaną liczbą wierszy),</t>
  </si>
  <si>
    <t>który zostanie skopiowany i wklejony w pierwszym pustym wierszu pod Tabelą 1.</t>
  </si>
  <si>
    <t>Tabela 1:</t>
  </si>
  <si>
    <t>Tabela 2:</t>
  </si>
  <si>
    <t>Imię i nazwisko</t>
  </si>
  <si>
    <t>Wynagrodzenie</t>
  </si>
  <si>
    <t>Dział</t>
  </si>
  <si>
    <t>Abbar Anas</t>
  </si>
  <si>
    <t>Finase</t>
  </si>
  <si>
    <t>Hartwig Doris</t>
  </si>
  <si>
    <t>Zarząd</t>
  </si>
  <si>
    <t>Alboucq Steve</t>
  </si>
  <si>
    <t>Hector Clair</t>
  </si>
  <si>
    <t>Baldwin Amie</t>
  </si>
  <si>
    <t>Hightower Kim</t>
  </si>
  <si>
    <t>Sprzedaż</t>
  </si>
  <si>
    <t>Benson Max</t>
  </si>
  <si>
    <t>Marketing</t>
  </si>
  <si>
    <t>Hoffman Barbara</t>
  </si>
  <si>
    <t>Bremer Ted</t>
  </si>
  <si>
    <t>I. Martinez Sandra</t>
  </si>
  <si>
    <t>Coake John</t>
  </si>
  <si>
    <t>Kilwine Monica</t>
  </si>
  <si>
    <t>Conroy Stephanie</t>
  </si>
  <si>
    <t>LaBrie Ryan C</t>
  </si>
  <si>
    <t>Cornfield D. J</t>
  </si>
  <si>
    <t>Lenehan Jolie</t>
  </si>
  <si>
    <t>DeBroux Steve</t>
  </si>
  <si>
    <t>Leste Linda</t>
  </si>
  <si>
    <t>Garmaise Lisa</t>
  </si>
  <si>
    <t>Luehmann Amy E</t>
  </si>
  <si>
    <t>Gerend Jason</t>
  </si>
  <si>
    <t>Proszę napisać makro, które z tabeli przedstawiającej listę pracowników firmy</t>
  </si>
  <si>
    <t>znajdującej się w pliku Excelowym zadanie3.xlsx, przekopiuje do tabeli poniżej</t>
  </si>
  <si>
    <t>jedynie pracowników zatrudnionych w wybranym przez użytkownika mieście.</t>
  </si>
  <si>
    <r>
      <rPr>
        <u/>
        <sz val="10"/>
        <rFont val="Arial"/>
        <family val="2"/>
        <charset val="238"/>
      </rPr>
      <t>Podpowiedź</t>
    </r>
    <r>
      <rPr>
        <sz val="10"/>
        <rFont val="Arial"/>
        <family val="2"/>
        <charset val="238"/>
      </rPr>
      <t>:</t>
    </r>
  </si>
  <si>
    <t>NIE</t>
  </si>
  <si>
    <t>Użyj autofiltrów (nagraj makro)</t>
  </si>
  <si>
    <t>Miasto</t>
  </si>
  <si>
    <t>Gdańsk</t>
  </si>
  <si>
    <t>ID</t>
  </si>
  <si>
    <t>Pracownik</t>
  </si>
  <si>
    <t>Proszę zdefiniować obiekt, którym będzie zakres.</t>
  </si>
  <si>
    <t>Następnie, dla każdej komórki w poniższej tabeli zmienić kolor</t>
  </si>
  <si>
    <t>wypełnienia i czcionki na losowy.</t>
  </si>
  <si>
    <t>Podpowiedź:</t>
  </si>
  <si>
    <t>1. W tym zadaniu przydatne mogą być funkcje: Round (zaokrąglenie liczby),</t>
  </si>
  <si>
    <t>Int (część całkowita liczby) oraz Rnd (odp. Los).</t>
  </si>
  <si>
    <t>2. Kolor można losować z palety:</t>
  </si>
  <si>
    <t>Color - od 1 do 256^3 = 16 777 216 (nowa paleta Excela, działa od wersji 2007);</t>
  </si>
  <si>
    <t>ColorIndex - od 1 do 56 (stara paleta Excelowa działa we wszystkich wersjach).</t>
  </si>
  <si>
    <t>Tabela</t>
  </si>
  <si>
    <t>Tekst_1</t>
  </si>
  <si>
    <t>Tekst_2</t>
  </si>
  <si>
    <t>Tekst_3</t>
  </si>
  <si>
    <t>Tekst_4</t>
  </si>
  <si>
    <t>Tekst_5</t>
  </si>
  <si>
    <t>Tekst_6</t>
  </si>
  <si>
    <t>Tekst_7</t>
  </si>
  <si>
    <t>Tekst_8</t>
  </si>
  <si>
    <t>Tekst_9</t>
  </si>
  <si>
    <t>Tekst_10</t>
  </si>
  <si>
    <t>Tekst_11</t>
  </si>
  <si>
    <t>Tekst_12</t>
  </si>
  <si>
    <t>Tekst_13</t>
  </si>
  <si>
    <t>Tekst_14</t>
  </si>
  <si>
    <t>Tekst_15</t>
  </si>
  <si>
    <t>Proszę napisać procedurę, która sformatuje wiersz 2 w każdym arkuszu</t>
  </si>
  <si>
    <t>Wykorzystaj konstrukcję For Each … Next</t>
  </si>
  <si>
    <t>Proszę napisać makro, które stworzy spis treści tego pliku.</t>
  </si>
  <si>
    <t>Powinna być to lista wszystkich arkuszy wraz z hiperlinkami do nich.</t>
  </si>
  <si>
    <t>Proszę pamiętać o definiowaniu typów danych.</t>
  </si>
  <si>
    <t>SPIS TREŚCI:</t>
  </si>
  <si>
    <t>Proszę napisać makro, które zapisze raporty finansowe dla każdego pracownika w oddzielnym pliku PDF.</t>
  </si>
  <si>
    <r>
      <t xml:space="preserve">Raporty powinny zostać nazwane zgodnie z konwencją: nr ID. Imię Nazwisko, np. </t>
    </r>
    <r>
      <rPr>
        <i/>
        <sz val="10"/>
        <rFont val="Arial"/>
        <family val="2"/>
        <charset val="238"/>
      </rPr>
      <t>1. Tomasz Król</t>
    </r>
    <r>
      <rPr>
        <sz val="10"/>
        <rFont val="Arial"/>
        <family val="2"/>
        <charset val="238"/>
      </rPr>
      <t>.</t>
    </r>
  </si>
  <si>
    <t>Numer raportu:</t>
  </si>
  <si>
    <t>Wzór raportu:</t>
  </si>
  <si>
    <t>RAPORT FINANSOWY</t>
  </si>
  <si>
    <t>Witam serdecznie,</t>
  </si>
  <si>
    <t>w zestawieniu znajduje się uzyskany wynik finansowy za ostatni okres rozliczeniowy.</t>
  </si>
  <si>
    <t>W przypadku pytań proszę o kontakt.</t>
  </si>
  <si>
    <t>Sprzedanych jednostek:</t>
  </si>
  <si>
    <t>Kwota:</t>
  </si>
  <si>
    <t>Z pozdrowieniami,</t>
  </si>
  <si>
    <t>Przemysław Kusztelak</t>
  </si>
  <si>
    <t>Wynik finansowy sprzedawców:</t>
  </si>
  <si>
    <t>Sprzedawca</t>
  </si>
  <si>
    <t>Ilość</t>
  </si>
  <si>
    <t>Wartość</t>
  </si>
  <si>
    <t>Tomasz Król</t>
  </si>
  <si>
    <t>Izabella Kostrzewa</t>
  </si>
  <si>
    <t>Janina Bartoszka</t>
  </si>
  <si>
    <t>Waldemar Krasny</t>
  </si>
  <si>
    <t>Przemysław Węcławski</t>
  </si>
  <si>
    <t>Anna Bartosz</t>
  </si>
  <si>
    <t>Krystian Krzykwa</t>
  </si>
  <si>
    <t>Antoni Skalba</t>
  </si>
  <si>
    <t>Alicja Mercedes</t>
  </si>
  <si>
    <t>Ildefons Konstanty</t>
  </si>
  <si>
    <t>Zadanie 7</t>
  </si>
  <si>
    <t>Zadanie 6</t>
  </si>
  <si>
    <t>Zadanie 5</t>
  </si>
  <si>
    <t>Zadanie 4</t>
  </si>
  <si>
    <t>Zadanie 3</t>
  </si>
  <si>
    <t>Zadanie 2</t>
  </si>
  <si>
    <t>Zadanie 1</t>
  </si>
  <si>
    <r>
      <t>ã</t>
    </r>
    <r>
      <rPr>
        <i/>
        <sz val="10"/>
        <rFont val="Arial"/>
        <family val="2"/>
        <charset val="238"/>
      </rPr>
      <t xml:space="preserve"> LabMasters.pl</t>
    </r>
  </si>
  <si>
    <t>Przykładowo, poniższa procedura wpisuje do komórki A21 tekst "Kurs VBA":</t>
  </si>
  <si>
    <r>
      <rPr>
        <sz val="10"/>
        <rFont val="Arial"/>
        <family val="2"/>
        <charset val="238"/>
      </rPr>
      <t xml:space="preserve">o </t>
    </r>
    <r>
      <rPr>
        <i/>
        <sz val="10"/>
        <color rgb="FF0000FF"/>
        <rFont val="Arial"/>
        <family val="2"/>
        <charset val="238"/>
      </rPr>
      <t>Range</t>
    </r>
    <r>
      <rPr>
        <sz val="10"/>
        <color rgb="FF0000FF"/>
        <rFont val="Arial"/>
        <family val="2"/>
        <charset val="238"/>
      </rPr>
      <t xml:space="preserve"> </t>
    </r>
    <r>
      <rPr>
        <sz val="10"/>
        <rFont val="Arial"/>
        <family val="2"/>
        <charset val="238"/>
      </rPr>
      <t>- zakres komórek (zmienna obiektowa)</t>
    </r>
  </si>
  <si>
    <r>
      <rPr>
        <sz val="10"/>
        <rFont val="Arial"/>
        <family val="2"/>
        <charset val="238"/>
      </rPr>
      <t xml:space="preserve">o </t>
    </r>
    <r>
      <rPr>
        <i/>
        <sz val="10"/>
        <color rgb="FF0000FF"/>
        <rFont val="Arial"/>
        <family val="2"/>
        <charset val="238"/>
      </rPr>
      <t>Worksheet</t>
    </r>
    <r>
      <rPr>
        <sz val="10"/>
        <color rgb="FF0000FF"/>
        <rFont val="Arial"/>
        <family val="2"/>
        <charset val="238"/>
      </rPr>
      <t xml:space="preserve"> </t>
    </r>
    <r>
      <rPr>
        <sz val="10"/>
        <rFont val="Arial"/>
        <family val="2"/>
        <charset val="238"/>
      </rPr>
      <t>- arkusz Excela (zmienna obiektowa)</t>
    </r>
  </si>
  <si>
    <r>
      <rPr>
        <sz val="10"/>
        <rFont val="Arial"/>
        <family val="2"/>
        <charset val="238"/>
      </rPr>
      <t xml:space="preserve">o </t>
    </r>
    <r>
      <rPr>
        <i/>
        <sz val="10"/>
        <color rgb="FF0000FF"/>
        <rFont val="Arial"/>
        <family val="2"/>
        <charset val="238"/>
      </rPr>
      <t>Double</t>
    </r>
    <r>
      <rPr>
        <sz val="10"/>
        <color rgb="FF000000"/>
        <rFont val="Arial"/>
        <family val="2"/>
        <charset val="238"/>
      </rPr>
      <t xml:space="preserve"> - liczby rzeczywiste</t>
    </r>
  </si>
  <si>
    <r>
      <rPr>
        <sz val="10"/>
        <rFont val="Arial"/>
        <family val="2"/>
        <charset val="238"/>
      </rPr>
      <t xml:space="preserve">o </t>
    </r>
    <r>
      <rPr>
        <i/>
        <sz val="10"/>
        <color rgb="FF0000FF"/>
        <rFont val="Arial"/>
        <family val="2"/>
        <charset val="238"/>
      </rPr>
      <t>Integer</t>
    </r>
    <r>
      <rPr>
        <sz val="10"/>
        <color rgb="FF000000"/>
        <rFont val="Arial"/>
        <family val="2"/>
        <charset val="238"/>
      </rPr>
      <t xml:space="preserve"> - liczby całkowite do 32 767</t>
    </r>
  </si>
  <si>
    <r>
      <rPr>
        <sz val="10"/>
        <rFont val="Arial"/>
        <family val="2"/>
        <charset val="238"/>
      </rPr>
      <t xml:space="preserve">o </t>
    </r>
    <r>
      <rPr>
        <i/>
        <sz val="10"/>
        <color rgb="FF0000FF"/>
        <rFont val="Arial"/>
        <family val="2"/>
        <charset val="238"/>
      </rPr>
      <t>Long</t>
    </r>
    <r>
      <rPr>
        <sz val="10"/>
        <color rgb="FF000000"/>
        <rFont val="Arial"/>
        <family val="2"/>
        <charset val="238"/>
      </rPr>
      <t xml:space="preserve"> - większe liczby całkowite</t>
    </r>
  </si>
  <si>
    <r>
      <rPr>
        <i/>
        <sz val="10"/>
        <rFont val="Arial"/>
        <family val="2"/>
        <charset val="238"/>
      </rPr>
      <t xml:space="preserve">o </t>
    </r>
    <r>
      <rPr>
        <i/>
        <sz val="10"/>
        <color rgb="FF0000FF"/>
        <rFont val="Arial"/>
        <family val="2"/>
        <charset val="238"/>
      </rPr>
      <t>Date</t>
    </r>
    <r>
      <rPr>
        <sz val="10"/>
        <color rgb="FF000000"/>
        <rFont val="Arial"/>
        <family val="2"/>
        <charset val="238"/>
      </rPr>
      <t xml:space="preserve"> - daty od 1/01/100 do 31/12/9999</t>
    </r>
  </si>
  <si>
    <r>
      <rPr>
        <sz val="10"/>
        <rFont val="Arial"/>
        <family val="2"/>
        <charset val="238"/>
      </rPr>
      <t xml:space="preserve">o </t>
    </r>
    <r>
      <rPr>
        <i/>
        <sz val="10"/>
        <color rgb="FF0000FF"/>
        <rFont val="Arial"/>
        <family val="2"/>
        <charset val="238"/>
      </rPr>
      <t>String</t>
    </r>
    <r>
      <rPr>
        <sz val="10"/>
        <color rgb="FF000000"/>
        <rFont val="Arial"/>
        <family val="2"/>
        <charset val="238"/>
      </rPr>
      <t xml:space="preserve"> - zmienne tekstowe</t>
    </r>
  </si>
  <si>
    <r>
      <rPr>
        <sz val="10"/>
        <rFont val="Arial"/>
        <family val="2"/>
        <charset val="238"/>
      </rPr>
      <t xml:space="preserve">o </t>
    </r>
    <r>
      <rPr>
        <i/>
        <sz val="10"/>
        <color rgb="FF0000FF"/>
        <rFont val="Arial"/>
        <family val="2"/>
        <charset val="238"/>
      </rPr>
      <t>Boolean</t>
    </r>
    <r>
      <rPr>
        <i/>
        <sz val="10"/>
        <color rgb="FF000000"/>
        <rFont val="Arial"/>
        <family val="2"/>
        <charset val="238"/>
      </rPr>
      <t xml:space="preserve"> - zmienna logiczna przyjmująca 2 wartości: </t>
    </r>
    <r>
      <rPr>
        <i/>
        <sz val="10"/>
        <color rgb="FF0000FF"/>
        <rFont val="Arial"/>
        <family val="2"/>
        <charset val="238"/>
      </rPr>
      <t>True</t>
    </r>
    <r>
      <rPr>
        <i/>
        <sz val="10"/>
        <rFont val="Arial"/>
        <family val="2"/>
        <charset val="238"/>
      </rPr>
      <t xml:space="preserve"> / </t>
    </r>
    <r>
      <rPr>
        <i/>
        <sz val="10"/>
        <color rgb="FF0000FF"/>
        <rFont val="Arial"/>
        <family val="2"/>
        <charset val="238"/>
      </rPr>
      <t>False</t>
    </r>
  </si>
  <si>
    <r>
      <rPr>
        <sz val="10"/>
        <rFont val="Arial"/>
        <family val="2"/>
        <charset val="238"/>
      </rPr>
      <t xml:space="preserve">o </t>
    </r>
    <r>
      <rPr>
        <i/>
        <sz val="10"/>
        <color rgb="FF0000FF"/>
        <rFont val="Arial"/>
        <family val="2"/>
        <charset val="238"/>
      </rPr>
      <t>Variant</t>
    </r>
    <r>
      <rPr>
        <sz val="10"/>
        <color rgb="FF000000"/>
        <rFont val="Arial"/>
        <family val="2"/>
        <charset val="238"/>
      </rPr>
      <t xml:space="preserve"> - dowolny typ danych (użyteczne, gdy nie wiemy jaki będzie typ danych)</t>
    </r>
  </si>
  <si>
    <t>Przykładowa instrukcja:</t>
  </si>
  <si>
    <t>Więcej informacji można znaleźć na stronie:</t>
  </si>
  <si>
    <r>
      <t xml:space="preserve">    </t>
    </r>
    <r>
      <rPr>
        <sz val="10"/>
        <color rgb="FF008000"/>
        <rFont val="Arial"/>
        <family val="2"/>
        <charset val="238"/>
      </rPr>
      <t>'Komórki B8:F8 w arkuszu Zadanie 1 w pliku zajecia_2.xlsm</t>
    </r>
  </si>
  <si>
    <t xml:space="preserve">    Application.Workbooks("zajecia_2.xlsm").Worksheets("Zadanie 1").Range("B8:F8") _</t>
  </si>
  <si>
    <t>Samouczek</t>
  </si>
  <si>
    <r>
      <t xml:space="preserve">prawym przyciskiem myszy i wybierz opcję </t>
    </r>
    <r>
      <rPr>
        <i/>
        <sz val="10"/>
        <rFont val="Arial"/>
        <family val="2"/>
        <charset val="238"/>
      </rPr>
      <t>Hiperlink…</t>
    </r>
  </si>
  <si>
    <r>
      <rPr>
        <u/>
        <sz val="10"/>
        <rFont val="Arial"/>
        <family val="2"/>
        <charset val="238"/>
      </rPr>
      <t>Podpowiedź:</t>
    </r>
    <r>
      <rPr>
        <sz val="10"/>
        <rFont val="Arial"/>
        <family val="2"/>
        <charset val="238"/>
      </rPr>
      <t xml:space="preserve"> w celu wstawiania hiperłącza do komórki, naciśnij komórkę</t>
    </r>
  </si>
  <si>
    <t>czy w nazwie tego arkusza występuje spacja:</t>
  </si>
  <si>
    <t>Nazwa</t>
  </si>
  <si>
    <t>Odwołanie</t>
  </si>
  <si>
    <t>=Samouczek!A1</t>
  </si>
  <si>
    <t>='Zadanie 1'!A1</t>
  </si>
  <si>
    <r>
      <rPr>
        <u/>
        <sz val="10"/>
        <rFont val="Arial"/>
        <family val="2"/>
        <charset val="238"/>
      </rPr>
      <t>Uwaga:</t>
    </r>
    <r>
      <rPr>
        <sz val="10"/>
        <rFont val="Arial"/>
        <family val="2"/>
        <charset val="238"/>
      </rPr>
      <t xml:space="preserve"> konstrukcja odwołania do komórki w innym arkuszu zależy od tego,</t>
    </r>
  </si>
  <si>
    <t>TAK</t>
  </si>
  <si>
    <t>Dlatego, we wszystkich odwołaniach warto nazwę arkusza wstawić w apostrofach</t>
  </si>
  <si>
    <r>
      <t>(</t>
    </r>
    <r>
      <rPr>
        <b/>
        <sz val="10"/>
        <rFont val="Arial"/>
        <family val="2"/>
        <charset val="238"/>
      </rPr>
      <t>='Nazwa'!Komórka</t>
    </r>
    <r>
      <rPr>
        <sz val="10"/>
        <rFont val="Arial"/>
        <family val="2"/>
        <charset val="238"/>
      </rPr>
      <t>)</t>
    </r>
  </si>
  <si>
    <r>
      <rPr>
        <sz val="10"/>
        <rFont val="Arial"/>
        <family val="2"/>
        <charset val="238"/>
      </rPr>
      <t>przyporządkowujemy plik z</t>
    </r>
    <r>
      <rPr>
        <i/>
        <sz val="10"/>
        <rFont val="Arial"/>
        <family val="2"/>
        <charset val="238"/>
      </rPr>
      <t>ajęcia_2.xlsm</t>
    </r>
    <r>
      <rPr>
        <sz val="10"/>
        <rFont val="Arial"/>
        <family val="2"/>
        <charset val="238"/>
      </rPr>
      <t xml:space="preserve">, a następnie w pliku odwołujemy się do arkusza </t>
    </r>
    <r>
      <rPr>
        <i/>
        <sz val="10"/>
        <rFont val="Arial"/>
        <family val="2"/>
        <charset val="238"/>
      </rPr>
      <t>Samouczek</t>
    </r>
    <r>
      <rPr>
        <sz val="10"/>
        <rFont val="Arial"/>
        <family val="2"/>
        <charset val="238"/>
      </rPr>
      <t>.</t>
    </r>
  </si>
  <si>
    <t>(kolor wypełnienia, wielkość czcionki, pogrubienie, wysokość wiersza).</t>
  </si>
  <si>
    <r>
      <t xml:space="preserve">o </t>
    </r>
    <r>
      <rPr>
        <i/>
        <sz val="10"/>
        <rFont val="Arial"/>
        <family val="2"/>
        <charset val="238"/>
      </rPr>
      <t>Workbooks</t>
    </r>
    <r>
      <rPr>
        <sz val="10"/>
        <rFont val="Arial"/>
        <family val="2"/>
        <charset val="238"/>
      </rPr>
      <t xml:space="preserve"> - kolekcja obiektów </t>
    </r>
    <r>
      <rPr>
        <i/>
        <sz val="10"/>
        <rFont val="Arial"/>
        <family val="2"/>
        <charset val="238"/>
      </rPr>
      <t>Workbook</t>
    </r>
    <r>
      <rPr>
        <sz val="10"/>
        <rFont val="Arial"/>
        <family val="2"/>
        <charset val="238"/>
      </rPr>
      <t xml:space="preserve"> (zbiór wszystkich otwartych plików Excela);</t>
    </r>
  </si>
  <si>
    <r>
      <t xml:space="preserve">o </t>
    </r>
    <r>
      <rPr>
        <i/>
        <sz val="10"/>
        <rFont val="Arial"/>
        <family val="2"/>
        <charset val="238"/>
      </rPr>
      <t>Worksheets</t>
    </r>
    <r>
      <rPr>
        <sz val="10"/>
        <rFont val="Arial"/>
        <family val="2"/>
        <charset val="238"/>
      </rPr>
      <t xml:space="preserve"> - kolekcja obiektów </t>
    </r>
    <r>
      <rPr>
        <i/>
        <sz val="10"/>
        <rFont val="Arial"/>
        <family val="2"/>
        <charset val="238"/>
      </rPr>
      <t>Worksheet</t>
    </r>
    <r>
      <rPr>
        <sz val="10"/>
        <rFont val="Arial"/>
        <family val="2"/>
        <charset val="238"/>
      </rPr>
      <t xml:space="preserve"> (zbiór wszystkich arkuszy w pliku Excela);</t>
    </r>
  </si>
  <si>
    <r>
      <t xml:space="preserve">o </t>
    </r>
    <r>
      <rPr>
        <i/>
        <sz val="10"/>
        <rFont val="Arial"/>
        <family val="2"/>
        <charset val="238"/>
      </rPr>
      <t>PivotTables</t>
    </r>
    <r>
      <rPr>
        <sz val="10"/>
        <rFont val="Arial"/>
        <family val="2"/>
        <charset val="238"/>
      </rPr>
      <t xml:space="preserve"> - kolekcja obiektów </t>
    </r>
    <r>
      <rPr>
        <i/>
        <sz val="10"/>
        <rFont val="Arial"/>
        <family val="2"/>
        <charset val="238"/>
      </rPr>
      <t>PivotTable</t>
    </r>
    <r>
      <rPr>
        <sz val="10"/>
        <rFont val="Arial"/>
        <family val="2"/>
        <charset val="238"/>
      </rPr>
      <t xml:space="preserve"> (zbiór wszystkich tabel przestawnych w arkuszu);</t>
    </r>
  </si>
  <si>
    <r>
      <t xml:space="preserve">o </t>
    </r>
    <r>
      <rPr>
        <i/>
        <sz val="10"/>
        <rFont val="Arial"/>
        <family val="2"/>
        <charset val="238"/>
      </rPr>
      <t>Range</t>
    </r>
    <r>
      <rPr>
        <sz val="10"/>
        <rFont val="Arial"/>
        <family val="2"/>
        <charset val="238"/>
      </rPr>
      <t xml:space="preserve"> - kolekcja obiektów </t>
    </r>
    <r>
      <rPr>
        <i/>
        <sz val="10"/>
        <rFont val="Arial"/>
        <family val="2"/>
        <charset val="238"/>
      </rPr>
      <t>Range</t>
    </r>
    <r>
      <rPr>
        <sz val="10"/>
        <rFont val="Arial"/>
        <family val="2"/>
        <charset val="238"/>
      </rPr>
      <t xml:space="preserve"> (zbiór wszystkich komórek w arkuszu).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</si>
</sst>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zł&quot;_-;\-* #,##0.00\ &quot;zł&quot;_-;_-* &quot;-&quot;??\ &quot;zł&quot;_-;_-@_-"/>
    <numFmt numFmtId="164" formatCode="_-* #,##0\ &quot;zł&quot;_-;\-* #,##0\ &quot;zł&quot;_-;_-* &quot;-&quot;??\ &quot;zł&quot;_-;_-@_-"/>
    <numFmt numFmtId="165" formatCode="#,##0\ &quot;zł&quot;"/>
  </numFmts>
  <fonts count="2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2"/>
      <name val="Symbol"/>
      <family val="1"/>
      <charset val="2"/>
    </font>
    <font>
      <i/>
      <sz val="10"/>
      <name val="Arial"/>
      <family val="2"/>
      <charset val="238"/>
    </font>
    <font>
      <b/>
      <u/>
      <sz val="14"/>
      <name val="Arial"/>
      <family val="2"/>
      <charset val="238"/>
    </font>
    <font>
      <b/>
      <u/>
      <sz val="12"/>
      <name val="Arial"/>
      <family val="2"/>
      <charset val="238"/>
    </font>
    <font>
      <b/>
      <sz val="10"/>
      <name val="Arial"/>
      <family val="2"/>
      <charset val="238"/>
    </font>
    <font>
      <sz val="10"/>
      <color rgb="FF0000FF"/>
      <name val="Arial"/>
      <family val="2"/>
      <charset val="238"/>
    </font>
    <font>
      <sz val="10"/>
      <color rgb="FF000000"/>
      <name val="Arial"/>
      <family val="2"/>
      <charset val="238"/>
    </font>
    <font>
      <sz val="10"/>
      <color rgb="FF008000"/>
      <name val="Arial"/>
      <family val="2"/>
      <charset val="238"/>
    </font>
    <font>
      <u/>
      <sz val="10"/>
      <name val="Arial"/>
      <family val="2"/>
      <charset val="238"/>
    </font>
    <font>
      <b/>
      <i/>
      <sz val="10"/>
      <color rgb="FF0000FF"/>
      <name val="Arial"/>
      <family val="2"/>
      <charset val="238"/>
    </font>
    <font>
      <b/>
      <i/>
      <sz val="10"/>
      <color rgb="FF000000"/>
      <name val="Arial"/>
      <family val="2"/>
      <charset val="238"/>
    </font>
    <font>
      <i/>
      <sz val="10"/>
      <color rgb="FF0000FF"/>
      <name val="Arial"/>
      <family val="2"/>
      <charset val="238"/>
    </font>
    <font>
      <i/>
      <sz val="10"/>
      <color rgb="FF000000"/>
      <name val="Arial"/>
      <family val="2"/>
      <charset val="238"/>
    </font>
    <font>
      <u/>
      <sz val="10"/>
      <color indexed="12"/>
      <name val="Arial"/>
      <family val="2"/>
      <charset val="238"/>
    </font>
    <font>
      <i/>
      <sz val="10"/>
      <color rgb="FF008000"/>
      <name val="Arial"/>
      <family val="2"/>
      <charset val="238"/>
    </font>
    <font>
      <i/>
      <sz val="10"/>
      <name val="MS Reference Sans Serif"/>
      <family val="2"/>
      <charset val="238"/>
    </font>
    <font>
      <sz val="10"/>
      <color indexed="17"/>
      <name val="Arial"/>
      <family val="2"/>
      <charset val="238"/>
    </font>
    <font>
      <b/>
      <u/>
      <sz val="11"/>
      <name val="Arial"/>
      <family val="2"/>
      <charset val="238"/>
    </font>
    <font>
      <b/>
      <u/>
      <sz val="10"/>
      <name val="Arial"/>
      <family val="2"/>
      <charset val="238"/>
    </font>
    <font>
      <b/>
      <sz val="14"/>
      <name val="Calibri"/>
      <family val="2"/>
      <charset val="238"/>
    </font>
    <font>
      <sz val="12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</cellStyleXfs>
  <cellXfs count="66">
    <xf numFmtId="0" fontId="0" fillId="0" borderId="0" xfId="0"/>
    <xf numFmtId="0" fontId="3" fillId="0" borderId="0" xfId="1" applyFont="1" applyFill="1"/>
    <xf numFmtId="0" fontId="2" fillId="0" borderId="0" xfId="1" applyFill="1"/>
    <xf numFmtId="0" fontId="2" fillId="0" borderId="0" xfId="1"/>
    <xf numFmtId="0" fontId="6" fillId="0" borderId="0" xfId="1" applyFont="1" applyFill="1"/>
    <xf numFmtId="0" fontId="4" fillId="0" borderId="0" xfId="1" applyFont="1" applyFill="1"/>
    <xf numFmtId="0" fontId="8" fillId="0" borderId="0" xfId="1" applyFont="1" applyFill="1"/>
    <xf numFmtId="0" fontId="10" fillId="0" borderId="0" xfId="1" applyFont="1" applyFill="1"/>
    <xf numFmtId="0" fontId="9" fillId="0" borderId="0" xfId="1" applyFont="1" applyFill="1"/>
    <xf numFmtId="0" fontId="6" fillId="2" borderId="0" xfId="1" applyFont="1" applyFill="1"/>
    <xf numFmtId="0" fontId="11" fillId="0" borderId="0" xfId="1" applyFont="1" applyFill="1"/>
    <xf numFmtId="0" fontId="7" fillId="0" borderId="1" xfId="1" applyFont="1" applyFill="1" applyBorder="1" applyAlignment="1">
      <alignment horizontal="center"/>
    </xf>
    <xf numFmtId="14" fontId="2" fillId="0" borderId="0" xfId="1" applyNumberFormat="1" applyFill="1"/>
    <xf numFmtId="164" fontId="2" fillId="0" borderId="0" xfId="2" applyNumberFormat="1" applyFont="1" applyFill="1"/>
    <xf numFmtId="0" fontId="2" fillId="0" borderId="2" xfId="1" applyFill="1" applyBorder="1"/>
    <xf numFmtId="0" fontId="11" fillId="0" borderId="0" xfId="1" applyFont="1"/>
    <xf numFmtId="0" fontId="2" fillId="0" borderId="0" xfId="1" applyFont="1"/>
    <xf numFmtId="0" fontId="9" fillId="0" borderId="0" xfId="1" applyFont="1"/>
    <xf numFmtId="0" fontId="12" fillId="0" borderId="0" xfId="1" applyFont="1" applyFill="1"/>
    <xf numFmtId="0" fontId="14" fillId="0" borderId="0" xfId="1" applyFont="1" applyFill="1"/>
    <xf numFmtId="0" fontId="2" fillId="0" borderId="0" xfId="1" applyFont="1" applyFill="1"/>
    <xf numFmtId="0" fontId="16" fillId="0" borderId="0" xfId="3" applyFill="1" applyAlignment="1" applyProtection="1"/>
    <xf numFmtId="0" fontId="15" fillId="0" borderId="0" xfId="1" applyFont="1" applyFill="1"/>
    <xf numFmtId="0" fontId="18" fillId="0" borderId="0" xfId="1" applyFont="1" applyFill="1" applyAlignment="1">
      <alignment vertical="center"/>
    </xf>
    <xf numFmtId="0" fontId="2" fillId="3" borderId="1" xfId="1" applyFill="1" applyBorder="1" applyAlignment="1">
      <alignment horizontal="center"/>
    </xf>
    <xf numFmtId="0" fontId="19" fillId="0" borderId="0" xfId="1" quotePrefix="1" applyFont="1" applyFill="1"/>
    <xf numFmtId="0" fontId="2" fillId="3" borderId="0" xfId="1" applyFill="1" applyAlignment="1">
      <alignment horizontal="center"/>
    </xf>
    <xf numFmtId="0" fontId="9" fillId="0" borderId="0" xfId="1" quotePrefix="1" applyFont="1" applyFill="1"/>
    <xf numFmtId="0" fontId="2" fillId="0" borderId="0" xfId="1" applyFill="1" applyBorder="1"/>
    <xf numFmtId="0" fontId="20" fillId="0" borderId="0" xfId="1" applyFont="1" applyFill="1"/>
    <xf numFmtId="0" fontId="16" fillId="3" borderId="0" xfId="3" applyFill="1" applyAlignment="1" applyProtection="1"/>
    <xf numFmtId="0" fontId="2" fillId="0" borderId="0" xfId="1" applyFont="1" applyFill="1" applyBorder="1" applyAlignment="1">
      <alignment horizontal="right"/>
    </xf>
    <xf numFmtId="0" fontId="2" fillId="4" borderId="13" xfId="1" applyFont="1" applyFill="1" applyBorder="1" applyAlignment="1">
      <alignment vertical="center"/>
    </xf>
    <xf numFmtId="0" fontId="7" fillId="4" borderId="13" xfId="1" applyFont="1" applyFill="1" applyBorder="1" applyAlignment="1">
      <alignment vertical="center"/>
    </xf>
    <xf numFmtId="0" fontId="2" fillId="0" borderId="0" xfId="1" quotePrefix="1" applyFill="1"/>
    <xf numFmtId="0" fontId="2" fillId="0" borderId="3" xfId="1" applyFill="1" applyBorder="1"/>
    <xf numFmtId="0" fontId="2" fillId="0" borderId="4" xfId="1" applyFill="1" applyBorder="1"/>
    <xf numFmtId="0" fontId="2" fillId="0" borderId="5" xfId="1" applyFill="1" applyBorder="1"/>
    <xf numFmtId="0" fontId="2" fillId="4" borderId="6" xfId="1" applyFont="1" applyFill="1" applyBorder="1" applyAlignment="1">
      <alignment horizontal="center" vertical="center"/>
    </xf>
    <xf numFmtId="0" fontId="7" fillId="4" borderId="6" xfId="1" applyFont="1" applyFill="1" applyBorder="1" applyAlignment="1">
      <alignment horizontal="center" vertical="center"/>
    </xf>
    <xf numFmtId="0" fontId="2" fillId="0" borderId="0" xfId="3" applyFont="1" applyFill="1" applyAlignment="1" applyProtection="1"/>
    <xf numFmtId="0" fontId="2" fillId="0" borderId="6" xfId="1" applyFill="1" applyBorder="1" applyAlignment="1">
      <alignment horizontal="center"/>
    </xf>
    <xf numFmtId="0" fontId="2" fillId="0" borderId="1" xfId="1" applyFill="1" applyBorder="1" applyAlignment="1">
      <alignment horizontal="center"/>
    </xf>
    <xf numFmtId="0" fontId="2" fillId="0" borderId="7" xfId="1" applyFill="1" applyBorder="1"/>
    <xf numFmtId="0" fontId="21" fillId="0" borderId="0" xfId="1" applyFont="1" applyFill="1"/>
    <xf numFmtId="0" fontId="2" fillId="0" borderId="6" xfId="1" applyFill="1" applyBorder="1" applyAlignment="1">
      <alignment horizontal="center" vertical="center"/>
    </xf>
    <xf numFmtId="0" fontId="23" fillId="0" borderId="0" xfId="1" applyFont="1" applyFill="1" applyBorder="1" applyAlignment="1">
      <alignment horizontal="right" vertical="center"/>
    </xf>
    <xf numFmtId="0" fontId="23" fillId="0" borderId="3" xfId="1" applyFont="1" applyFill="1" applyBorder="1" applyAlignment="1">
      <alignment horizontal="right" vertical="center"/>
    </xf>
    <xf numFmtId="0" fontId="23" fillId="0" borderId="5" xfId="1" applyFont="1" applyFill="1" applyBorder="1" applyAlignment="1">
      <alignment horizontal="right" vertical="center"/>
    </xf>
    <xf numFmtId="0" fontId="23" fillId="0" borderId="5" xfId="1" applyFont="1" applyFill="1" applyBorder="1" applyAlignment="1">
      <alignment vertical="center"/>
    </xf>
    <xf numFmtId="0" fontId="7" fillId="0" borderId="0" xfId="1" applyFont="1" applyFill="1" applyBorder="1"/>
    <xf numFmtId="165" fontId="7" fillId="0" borderId="0" xfId="1" applyNumberFormat="1" applyFont="1" applyFill="1" applyBorder="1" applyAlignment="1">
      <alignment horizontal="right"/>
    </xf>
    <xf numFmtId="0" fontId="16" fillId="0" borderId="10" xfId="3" applyFill="1" applyBorder="1" applyAlignment="1" applyProtection="1"/>
    <xf numFmtId="0" fontId="2" fillId="0" borderId="1" xfId="1" applyFill="1" applyBorder="1"/>
    <xf numFmtId="0" fontId="23" fillId="0" borderId="11" xfId="1" applyFont="1" applyFill="1" applyBorder="1" applyAlignment="1">
      <alignment horizontal="right" vertical="center"/>
    </xf>
    <xf numFmtId="0" fontId="1" fillId="0" borderId="0" xfId="1" applyFont="1" applyFill="1"/>
    <xf numFmtId="165" fontId="2" fillId="0" borderId="4" xfId="1" applyNumberFormat="1" applyFill="1" applyBorder="1"/>
    <xf numFmtId="0" fontId="2" fillId="0" borderId="12" xfId="1" applyFill="1" applyBorder="1"/>
    <xf numFmtId="165" fontId="2" fillId="0" borderId="12" xfId="1" applyNumberFormat="1" applyFill="1" applyBorder="1"/>
    <xf numFmtId="0" fontId="7" fillId="5" borderId="6" xfId="1" applyFont="1" applyFill="1" applyBorder="1" applyAlignment="1">
      <alignment horizontal="center"/>
    </xf>
    <xf numFmtId="0" fontId="2" fillId="0" borderId="11" xfId="1" applyFill="1" applyBorder="1" applyAlignment="1">
      <alignment horizontal="center"/>
    </xf>
    <xf numFmtId="0" fontId="2" fillId="0" borderId="0" xfId="1" quotePrefix="1" applyFont="1" applyFill="1"/>
    <xf numFmtId="0" fontId="5" fillId="0" borderId="0" xfId="1" applyFont="1" applyAlignment="1">
      <alignment horizontal="center"/>
    </xf>
    <xf numFmtId="0" fontId="22" fillId="0" borderId="8" xfId="1" applyFont="1" applyFill="1" applyBorder="1" applyAlignment="1">
      <alignment horizontal="center" vertical="center"/>
    </xf>
    <xf numFmtId="0" fontId="22" fillId="0" borderId="7" xfId="1" applyFont="1" applyFill="1" applyBorder="1" applyAlignment="1">
      <alignment horizontal="center" vertical="center"/>
    </xf>
    <xf numFmtId="0" fontId="22" fillId="0" borderId="9" xfId="1" applyFont="1" applyFill="1" applyBorder="1" applyAlignment="1">
      <alignment horizontal="center" vertical="center"/>
    </xf>
  </cellXfs>
  <cellStyles count="4">
    <cellStyle name="Hiperłącze" xfId="3" builtinId="8"/>
    <cellStyle name="Normalny" xfId="0" builtinId="0"/>
    <cellStyle name="Normalny 2" xfId="1" xr:uid="{00000000-0005-0000-0000-000002000000}"/>
    <cellStyle name="Walutowy 2" xfId="2" xr:uid="{00000000-0005-0000-0000-000003000000}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195</xdr:row>
      <xdr:rowOff>85725</xdr:rowOff>
    </xdr:from>
    <xdr:to>
      <xdr:col>2</xdr:col>
      <xdr:colOff>523875</xdr:colOff>
      <xdr:row>197</xdr:row>
      <xdr:rowOff>76200</xdr:rowOff>
    </xdr:to>
    <xdr:grpSp>
      <xdr:nvGrpSpPr>
        <xdr:cNvPr id="2" name="Group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363133" y="33351258"/>
          <a:ext cx="447675" cy="329142"/>
          <a:chOff x="136" y="529"/>
          <a:chExt cx="47" cy="33"/>
        </a:xfrm>
      </xdr:grpSpPr>
      <xdr:sp macro="" textlink="">
        <xdr:nvSpPr>
          <xdr:cNvPr id="3" name="Line 1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36" y="529"/>
            <a:ext cx="47" cy="1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4" name="Line 2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137" y="549"/>
            <a:ext cx="46" cy="1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</xdr:grpSp>
    <xdr:clientData/>
  </xdr:twoCellAnchor>
  <xdr:twoCellAnchor editAs="oneCell">
    <xdr:from>
      <xdr:col>4</xdr:col>
      <xdr:colOff>38100</xdr:colOff>
      <xdr:row>194</xdr:row>
      <xdr:rowOff>85725</xdr:rowOff>
    </xdr:from>
    <xdr:to>
      <xdr:col>4</xdr:col>
      <xdr:colOff>581025</xdr:colOff>
      <xdr:row>196</xdr:row>
      <xdr:rowOff>38100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>
          <a:grpSpLocks/>
        </xdr:cNvGrpSpPr>
      </xdr:nvGrpSpPr>
      <xdr:grpSpPr bwMode="auto">
        <a:xfrm>
          <a:off x="2578100" y="33181925"/>
          <a:ext cx="542925" cy="291042"/>
          <a:chOff x="136" y="530"/>
          <a:chExt cx="57" cy="29"/>
        </a:xfrm>
      </xdr:grpSpPr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36" y="530"/>
            <a:ext cx="56" cy="1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7" name="Lin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137" y="548"/>
            <a:ext cx="56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</xdr:grpSp>
    <xdr:clientData/>
  </xdr:twoCellAnchor>
  <xdr:twoCellAnchor editAs="oneCell">
    <xdr:from>
      <xdr:col>5</xdr:col>
      <xdr:colOff>752475</xdr:colOff>
      <xdr:row>194</xdr:row>
      <xdr:rowOff>114300</xdr:rowOff>
    </xdr:from>
    <xdr:to>
      <xdr:col>6</xdr:col>
      <xdr:colOff>476250</xdr:colOff>
      <xdr:row>196</xdr:row>
      <xdr:rowOff>66675</xdr:rowOff>
    </xdr:to>
    <xdr:sp macro="" textlink="">
      <xdr:nvSpPr>
        <xdr:cNvPr id="8" name="Line 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ShapeType="1"/>
        </xdr:cNvSpPr>
      </xdr:nvSpPr>
      <xdr:spPr bwMode="auto">
        <a:xfrm>
          <a:off x="3971925" y="31870650"/>
          <a:ext cx="609600" cy="276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oneCell">
    <xdr:from>
      <xdr:col>5</xdr:col>
      <xdr:colOff>762000</xdr:colOff>
      <xdr:row>192</xdr:row>
      <xdr:rowOff>133350</xdr:rowOff>
    </xdr:from>
    <xdr:to>
      <xdr:col>6</xdr:col>
      <xdr:colOff>466725</xdr:colOff>
      <xdr:row>194</xdr:row>
      <xdr:rowOff>95250</xdr:rowOff>
    </xdr:to>
    <xdr:sp macro="" textlink="">
      <xdr:nvSpPr>
        <xdr:cNvPr id="9" name="Line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ShapeType="1"/>
        </xdr:cNvSpPr>
      </xdr:nvSpPr>
      <xdr:spPr bwMode="auto">
        <a:xfrm flipV="1">
          <a:off x="3981450" y="31565850"/>
          <a:ext cx="590550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oneCell">
    <xdr:from>
      <xdr:col>5</xdr:col>
      <xdr:colOff>762000</xdr:colOff>
      <xdr:row>194</xdr:row>
      <xdr:rowOff>104775</xdr:rowOff>
    </xdr:from>
    <xdr:to>
      <xdr:col>6</xdr:col>
      <xdr:colOff>476251</xdr:colOff>
      <xdr:row>194</xdr:row>
      <xdr:rowOff>104775</xdr:rowOff>
    </xdr:to>
    <xdr:sp macro="" textlink="">
      <xdr:nvSpPr>
        <xdr:cNvPr id="10" name="Line 5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ShapeType="1"/>
        </xdr:cNvSpPr>
      </xdr:nvSpPr>
      <xdr:spPr bwMode="auto">
        <a:xfrm>
          <a:off x="3981450" y="31861125"/>
          <a:ext cx="6000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oneCell">
    <xdr:from>
      <xdr:col>1</xdr:col>
      <xdr:colOff>542925</xdr:colOff>
      <xdr:row>29</xdr:row>
      <xdr:rowOff>152400</xdr:rowOff>
    </xdr:from>
    <xdr:to>
      <xdr:col>7</xdr:col>
      <xdr:colOff>104775</xdr:colOff>
      <xdr:row>40</xdr:row>
      <xdr:rowOff>47625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5" y="5038725"/>
          <a:ext cx="3667125" cy="1676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266</xdr:row>
      <xdr:rowOff>0</xdr:rowOff>
    </xdr:from>
    <xdr:to>
      <xdr:col>10</xdr:col>
      <xdr:colOff>228600</xdr:colOff>
      <xdr:row>290</xdr:row>
      <xdr:rowOff>134408</xdr:rowOff>
    </xdr:to>
    <xdr:pic>
      <xdr:nvPicPr>
        <xdr:cNvPr id="25" name="Obraz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833" y="42682583"/>
          <a:ext cx="6187017" cy="39444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msdn.microsoft.com/en-us/library/office/ff194068(v=office.15).aspx" TargetMode="External"/><Relationship Id="rId2" Type="http://schemas.openxmlformats.org/officeDocument/2006/relationships/hyperlink" Target="http://msdn.microsoft.com/en-us/library/47zceaw7.aspx" TargetMode="External"/><Relationship Id="rId1" Type="http://schemas.openxmlformats.org/officeDocument/2006/relationships/hyperlink" Target="http://msdn.microsoft.com/en-us/library/wts33hb3.aspx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0"/>
  <dimension ref="A1:P294"/>
  <sheetViews>
    <sheetView showGridLines="0" tabSelected="1" zoomScale="90" zoomScaleNormal="90" workbookViewId="0"/>
  </sheetViews>
  <sheetFormatPr defaultColWidth="9.109375" defaultRowHeight="13.2" x14ac:dyDescent="0.25"/>
  <cols>
    <col min="1" max="1" width="9.109375" style="2"/>
    <col min="2" max="2" width="9.6640625" style="2" bestFit="1" customWidth="1"/>
    <col min="3" max="3" width="9.109375" style="2"/>
    <col min="4" max="4" width="9.109375" style="2" customWidth="1"/>
    <col min="5" max="5" width="11.109375" style="2" bestFit="1" customWidth="1"/>
    <col min="6" max="6" width="13.33203125" style="2" customWidth="1"/>
    <col min="7" max="9" width="9.109375" style="2"/>
    <col min="10" max="10" width="9.109375" style="2" customWidth="1"/>
    <col min="11" max="11" width="9.109375" style="2"/>
    <col min="12" max="12" width="11.33203125" style="2" bestFit="1" customWidth="1"/>
    <col min="13" max="13" width="8.33203125" style="2" bestFit="1" customWidth="1"/>
    <col min="14" max="14" width="16.109375" style="2" bestFit="1" customWidth="1"/>
    <col min="15" max="15" width="12.88671875" style="2" bestFit="1" customWidth="1"/>
    <col min="16" max="16" width="16" style="2" bestFit="1" customWidth="1"/>
    <col min="17" max="16384" width="9.109375" style="2"/>
  </cols>
  <sheetData>
    <row r="1" spans="1:10" ht="15" x14ac:dyDescent="0.25">
      <c r="A1" s="1" t="s">
        <v>512</v>
      </c>
    </row>
    <row r="2" spans="1:10" s="3" customFormat="1" ht="18.75" customHeight="1" x14ac:dyDescent="0.3">
      <c r="B2" s="62" t="s">
        <v>0</v>
      </c>
      <c r="C2" s="62"/>
      <c r="D2" s="62"/>
      <c r="E2" s="62"/>
      <c r="F2" s="62"/>
      <c r="G2" s="62"/>
      <c r="H2" s="62"/>
      <c r="I2" s="62"/>
      <c r="J2" s="62"/>
    </row>
    <row r="4" spans="1:10" x14ac:dyDescent="0.25">
      <c r="B4" s="2" t="s">
        <v>1</v>
      </c>
    </row>
    <row r="5" spans="1:10" x14ac:dyDescent="0.25">
      <c r="B5" s="2" t="s">
        <v>2</v>
      </c>
    </row>
    <row r="6" spans="1:10" x14ac:dyDescent="0.25">
      <c r="B6" s="2" t="s">
        <v>3</v>
      </c>
    </row>
    <row r="8" spans="1:10" ht="15.6" x14ac:dyDescent="0.3">
      <c r="B8" s="4" t="s">
        <v>4</v>
      </c>
    </row>
    <row r="9" spans="1:10" x14ac:dyDescent="0.25">
      <c r="B9" s="2" t="s">
        <v>5</v>
      </c>
    </row>
    <row r="10" spans="1:10" x14ac:dyDescent="0.25">
      <c r="B10" s="2" t="s">
        <v>6</v>
      </c>
    </row>
    <row r="11" spans="1:10" x14ac:dyDescent="0.25">
      <c r="C11" s="5" t="s">
        <v>7</v>
      </c>
    </row>
    <row r="12" spans="1:10" x14ac:dyDescent="0.25">
      <c r="C12" s="5" t="s">
        <v>8</v>
      </c>
    </row>
    <row r="13" spans="1:10" x14ac:dyDescent="0.25">
      <c r="C13" s="5" t="s">
        <v>9</v>
      </c>
    </row>
    <row r="14" spans="1:10" x14ac:dyDescent="0.25">
      <c r="C14" s="5" t="s">
        <v>10</v>
      </c>
    </row>
    <row r="15" spans="1:10" x14ac:dyDescent="0.25">
      <c r="C15" s="5" t="s">
        <v>11</v>
      </c>
    </row>
    <row r="16" spans="1:10" x14ac:dyDescent="0.25">
      <c r="C16" s="5" t="s">
        <v>12</v>
      </c>
    </row>
    <row r="18" spans="2:3" x14ac:dyDescent="0.25">
      <c r="B18" s="2" t="s">
        <v>13</v>
      </c>
    </row>
    <row r="19" spans="2:3" x14ac:dyDescent="0.25">
      <c r="B19" s="2" t="s">
        <v>513</v>
      </c>
    </row>
    <row r="21" spans="2:3" x14ac:dyDescent="0.25">
      <c r="C21" s="6" t="s">
        <v>14</v>
      </c>
    </row>
    <row r="22" spans="2:3" x14ac:dyDescent="0.25">
      <c r="C22" s="7" t="s">
        <v>15</v>
      </c>
    </row>
    <row r="23" spans="2:3" x14ac:dyDescent="0.25">
      <c r="C23" s="8" t="s">
        <v>16</v>
      </c>
    </row>
    <row r="24" spans="2:3" x14ac:dyDescent="0.25">
      <c r="C24" s="6" t="s">
        <v>17</v>
      </c>
    </row>
    <row r="26" spans="2:3" ht="15.6" x14ac:dyDescent="0.3">
      <c r="B26" s="9" t="s">
        <v>18</v>
      </c>
    </row>
    <row r="27" spans="2:3" x14ac:dyDescent="0.25">
      <c r="B27" s="2" t="s">
        <v>19</v>
      </c>
    </row>
    <row r="28" spans="2:3" x14ac:dyDescent="0.25">
      <c r="B28" s="2" t="s">
        <v>20</v>
      </c>
    </row>
    <row r="29" spans="2:3" x14ac:dyDescent="0.25">
      <c r="B29" s="2" t="s">
        <v>21</v>
      </c>
    </row>
    <row r="43" spans="1:3" x14ac:dyDescent="0.25">
      <c r="B43" s="10" t="s">
        <v>22</v>
      </c>
    </row>
    <row r="44" spans="1:3" x14ac:dyDescent="0.25">
      <c r="B44" s="2" t="s">
        <v>23</v>
      </c>
    </row>
    <row r="45" spans="1:3" x14ac:dyDescent="0.25">
      <c r="B45" s="2" t="s">
        <v>24</v>
      </c>
    </row>
    <row r="46" spans="1:3" x14ac:dyDescent="0.25">
      <c r="B46" s="2" t="s">
        <v>25</v>
      </c>
    </row>
    <row r="47" spans="1:3" x14ac:dyDescent="0.25">
      <c r="A47" s="3"/>
      <c r="C47" s="2" t="s">
        <v>26</v>
      </c>
    </row>
    <row r="48" spans="1:3" x14ac:dyDescent="0.25">
      <c r="A48" s="3"/>
      <c r="C48" s="8" t="s">
        <v>27</v>
      </c>
    </row>
    <row r="49" spans="1:3" x14ac:dyDescent="0.25">
      <c r="A49" s="3"/>
    </row>
    <row r="50" spans="1:3" x14ac:dyDescent="0.25">
      <c r="A50" s="3"/>
      <c r="C50" s="2" t="s">
        <v>28</v>
      </c>
    </row>
    <row r="51" spans="1:3" x14ac:dyDescent="0.25">
      <c r="A51" s="3"/>
      <c r="C51" s="8" t="s">
        <v>29</v>
      </c>
    </row>
    <row r="52" spans="1:3" x14ac:dyDescent="0.25">
      <c r="A52" s="3"/>
    </row>
    <row r="53" spans="1:3" x14ac:dyDescent="0.25">
      <c r="A53" s="3"/>
      <c r="C53" s="2" t="s">
        <v>30</v>
      </c>
    </row>
    <row r="54" spans="1:3" x14ac:dyDescent="0.25">
      <c r="A54" s="3"/>
      <c r="C54" s="8" t="s">
        <v>31</v>
      </c>
    </row>
    <row r="55" spans="1:3" x14ac:dyDescent="0.25">
      <c r="A55" s="3"/>
    </row>
    <row r="56" spans="1:3" x14ac:dyDescent="0.25">
      <c r="A56" s="3"/>
      <c r="C56" s="2" t="s">
        <v>32</v>
      </c>
    </row>
    <row r="57" spans="1:3" x14ac:dyDescent="0.25">
      <c r="A57" s="3"/>
      <c r="C57" s="8" t="s">
        <v>33</v>
      </c>
    </row>
    <row r="58" spans="1:3" x14ac:dyDescent="0.25">
      <c r="A58" s="3"/>
      <c r="C58" s="8" t="s">
        <v>34</v>
      </c>
    </row>
    <row r="59" spans="1:3" x14ac:dyDescent="0.25">
      <c r="A59" s="3"/>
    </row>
    <row r="60" spans="1:3" x14ac:dyDescent="0.25">
      <c r="A60" s="3"/>
      <c r="B60" s="10" t="s">
        <v>35</v>
      </c>
    </row>
    <row r="61" spans="1:3" x14ac:dyDescent="0.25">
      <c r="A61" s="3"/>
      <c r="B61" s="2" t="s">
        <v>36</v>
      </c>
    </row>
    <row r="62" spans="1:3" x14ac:dyDescent="0.25">
      <c r="A62" s="3"/>
      <c r="C62" s="2" t="s">
        <v>37</v>
      </c>
    </row>
    <row r="63" spans="1:3" x14ac:dyDescent="0.25">
      <c r="A63" s="3"/>
      <c r="C63" s="8" t="s">
        <v>38</v>
      </c>
    </row>
    <row r="64" spans="1:3" x14ac:dyDescent="0.25">
      <c r="A64" s="3"/>
    </row>
    <row r="65" spans="1:3" x14ac:dyDescent="0.25">
      <c r="A65" s="3"/>
      <c r="C65" s="2" t="s">
        <v>39</v>
      </c>
    </row>
    <row r="66" spans="1:3" x14ac:dyDescent="0.25">
      <c r="A66" s="3"/>
      <c r="C66" s="8" t="s">
        <v>40</v>
      </c>
    </row>
    <row r="67" spans="1:3" x14ac:dyDescent="0.25">
      <c r="A67" s="3"/>
    </row>
    <row r="68" spans="1:3" x14ac:dyDescent="0.25">
      <c r="A68" s="3"/>
      <c r="C68" s="2" t="s">
        <v>41</v>
      </c>
    </row>
    <row r="69" spans="1:3" x14ac:dyDescent="0.25">
      <c r="A69" s="3"/>
      <c r="C69" s="8" t="s">
        <v>42</v>
      </c>
    </row>
    <row r="70" spans="1:3" x14ac:dyDescent="0.25">
      <c r="A70" s="3"/>
    </row>
    <row r="71" spans="1:3" x14ac:dyDescent="0.25">
      <c r="A71" s="3"/>
      <c r="C71" s="2" t="s">
        <v>43</v>
      </c>
    </row>
    <row r="72" spans="1:3" x14ac:dyDescent="0.25">
      <c r="A72" s="3"/>
      <c r="C72" s="8" t="s">
        <v>44</v>
      </c>
    </row>
    <row r="73" spans="1:3" x14ac:dyDescent="0.25">
      <c r="A73" s="3"/>
    </row>
    <row r="74" spans="1:3" ht="15.6" x14ac:dyDescent="0.3">
      <c r="A74" s="3"/>
      <c r="B74" s="9" t="s">
        <v>45</v>
      </c>
    </row>
    <row r="75" spans="1:3" x14ac:dyDescent="0.25">
      <c r="A75" s="3"/>
      <c r="B75" s="2" t="s">
        <v>46</v>
      </c>
    </row>
    <row r="76" spans="1:3" x14ac:dyDescent="0.25">
      <c r="A76" s="3"/>
      <c r="B76" s="2" t="s">
        <v>47</v>
      </c>
    </row>
    <row r="77" spans="1:3" x14ac:dyDescent="0.25">
      <c r="A77" s="3"/>
    </row>
    <row r="78" spans="1:3" x14ac:dyDescent="0.25">
      <c r="A78" s="3"/>
      <c r="B78" s="3" t="s">
        <v>48</v>
      </c>
    </row>
    <row r="79" spans="1:3" x14ac:dyDescent="0.25">
      <c r="A79" s="3"/>
      <c r="C79" s="6" t="s">
        <v>49</v>
      </c>
    </row>
    <row r="80" spans="1:3" x14ac:dyDescent="0.25">
      <c r="A80" s="3"/>
      <c r="C80" s="7" t="s">
        <v>50</v>
      </c>
    </row>
    <row r="81" spans="1:3" x14ac:dyDescent="0.25">
      <c r="A81" s="3"/>
      <c r="C81" s="8"/>
    </row>
    <row r="82" spans="1:3" x14ac:dyDescent="0.25">
      <c r="A82" s="3"/>
      <c r="C82" s="7" t="s">
        <v>51</v>
      </c>
    </row>
    <row r="83" spans="1:3" x14ac:dyDescent="0.25">
      <c r="A83" s="3"/>
      <c r="C83" s="7" t="s">
        <v>52</v>
      </c>
    </row>
    <row r="84" spans="1:3" x14ac:dyDescent="0.25">
      <c r="A84" s="3"/>
      <c r="C84" s="8"/>
    </row>
    <row r="85" spans="1:3" x14ac:dyDescent="0.25">
      <c r="A85" s="3"/>
      <c r="C85" s="8" t="s">
        <v>53</v>
      </c>
    </row>
    <row r="86" spans="1:3" x14ac:dyDescent="0.25">
      <c r="A86" s="3"/>
      <c r="C86" s="8" t="s">
        <v>54</v>
      </c>
    </row>
    <row r="87" spans="1:3" x14ac:dyDescent="0.25">
      <c r="A87" s="3"/>
      <c r="C87" s="8" t="s">
        <v>55</v>
      </c>
    </row>
    <row r="88" spans="1:3" x14ac:dyDescent="0.25">
      <c r="A88" s="3"/>
      <c r="C88" s="8" t="s">
        <v>56</v>
      </c>
    </row>
    <row r="89" spans="1:3" x14ac:dyDescent="0.25">
      <c r="A89" s="3"/>
      <c r="C89" s="8" t="s">
        <v>57</v>
      </c>
    </row>
    <row r="90" spans="1:3" x14ac:dyDescent="0.25">
      <c r="A90" s="3"/>
      <c r="C90" s="8" t="s">
        <v>58</v>
      </c>
    </row>
    <row r="91" spans="1:3" x14ac:dyDescent="0.25">
      <c r="A91" s="3"/>
      <c r="C91" s="8" t="s">
        <v>59</v>
      </c>
    </row>
    <row r="92" spans="1:3" x14ac:dyDescent="0.25">
      <c r="A92" s="3"/>
      <c r="C92" s="8" t="s">
        <v>60</v>
      </c>
    </row>
    <row r="93" spans="1:3" x14ac:dyDescent="0.25">
      <c r="A93" s="3"/>
      <c r="C93" s="8" t="s">
        <v>61</v>
      </c>
    </row>
    <row r="94" spans="1:3" x14ac:dyDescent="0.25">
      <c r="A94" s="3"/>
      <c r="C94" s="8" t="s">
        <v>62</v>
      </c>
    </row>
    <row r="95" spans="1:3" x14ac:dyDescent="0.25">
      <c r="A95" s="3"/>
      <c r="C95" s="8" t="s">
        <v>63</v>
      </c>
    </row>
    <row r="96" spans="1:3" x14ac:dyDescent="0.25">
      <c r="A96" s="3"/>
      <c r="C96" s="6" t="s">
        <v>17</v>
      </c>
    </row>
    <row r="97" spans="1:16" x14ac:dyDescent="0.25">
      <c r="A97" s="3"/>
    </row>
    <row r="98" spans="1:16" ht="15.6" x14ac:dyDescent="0.3">
      <c r="A98" s="3"/>
      <c r="B98" s="9" t="s">
        <v>64</v>
      </c>
    </row>
    <row r="99" spans="1:16" x14ac:dyDescent="0.25">
      <c r="A99" s="3"/>
      <c r="B99" s="2" t="s">
        <v>65</v>
      </c>
    </row>
    <row r="100" spans="1:16" x14ac:dyDescent="0.25">
      <c r="A100" s="3"/>
      <c r="B100" s="2" t="s">
        <v>66</v>
      </c>
    </row>
    <row r="101" spans="1:16" x14ac:dyDescent="0.25">
      <c r="A101" s="3"/>
      <c r="B101" s="2" t="s">
        <v>67</v>
      </c>
    </row>
    <row r="102" spans="1:16" x14ac:dyDescent="0.25">
      <c r="A102" s="3"/>
    </row>
    <row r="103" spans="1:16" x14ac:dyDescent="0.25">
      <c r="A103" s="3"/>
      <c r="B103" s="10" t="s">
        <v>68</v>
      </c>
      <c r="L103" s="10" t="s">
        <v>69</v>
      </c>
    </row>
    <row r="104" spans="1:16" x14ac:dyDescent="0.25">
      <c r="A104" s="3"/>
      <c r="C104" s="6" t="s">
        <v>70</v>
      </c>
      <c r="L104" s="11" t="s">
        <v>71</v>
      </c>
      <c r="M104" s="11" t="s">
        <v>72</v>
      </c>
      <c r="N104" s="11" t="s">
        <v>73</v>
      </c>
      <c r="O104" s="11" t="s">
        <v>74</v>
      </c>
      <c r="P104" s="11" t="s">
        <v>75</v>
      </c>
    </row>
    <row r="105" spans="1:16" x14ac:dyDescent="0.25">
      <c r="A105" s="3"/>
      <c r="C105" s="7" t="s">
        <v>76</v>
      </c>
      <c r="L105" s="12">
        <v>38742</v>
      </c>
      <c r="M105" s="2" t="s">
        <v>77</v>
      </c>
      <c r="N105" s="2" t="s">
        <v>78</v>
      </c>
      <c r="O105" s="13">
        <v>90774</v>
      </c>
      <c r="P105" s="13">
        <v>104354</v>
      </c>
    </row>
    <row r="106" spans="1:16" x14ac:dyDescent="0.25">
      <c r="A106" s="3"/>
      <c r="C106" s="8"/>
      <c r="L106" s="12">
        <v>38469</v>
      </c>
      <c r="M106" s="2" t="s">
        <v>77</v>
      </c>
      <c r="N106" s="2" t="s">
        <v>79</v>
      </c>
      <c r="O106" s="13">
        <v>60110</v>
      </c>
      <c r="P106" s="13">
        <v>61265</v>
      </c>
    </row>
    <row r="107" spans="1:16" x14ac:dyDescent="0.25">
      <c r="A107" s="3"/>
      <c r="C107" s="7" t="s">
        <v>80</v>
      </c>
      <c r="L107" s="12">
        <v>38671</v>
      </c>
      <c r="M107" s="2" t="s">
        <v>77</v>
      </c>
      <c r="N107" s="2" t="s">
        <v>81</v>
      </c>
      <c r="O107" s="13">
        <v>57836</v>
      </c>
      <c r="P107" s="13">
        <v>96966</v>
      </c>
    </row>
    <row r="108" spans="1:16" x14ac:dyDescent="0.25">
      <c r="A108" s="3"/>
      <c r="C108" s="8" t="s">
        <v>82</v>
      </c>
      <c r="L108" s="12">
        <v>39009</v>
      </c>
      <c r="M108" s="2" t="s">
        <v>77</v>
      </c>
      <c r="N108" s="2" t="s">
        <v>83</v>
      </c>
      <c r="O108" s="13">
        <v>57608</v>
      </c>
      <c r="P108" s="13">
        <v>102367</v>
      </c>
    </row>
    <row r="109" spans="1:16" x14ac:dyDescent="0.25">
      <c r="A109" s="3"/>
      <c r="C109" s="8" t="s">
        <v>84</v>
      </c>
      <c r="L109" s="12">
        <v>38833</v>
      </c>
      <c r="M109" s="2" t="s">
        <v>77</v>
      </c>
      <c r="N109" s="2" t="s">
        <v>85</v>
      </c>
      <c r="O109" s="13">
        <v>63238</v>
      </c>
      <c r="P109" s="13">
        <v>102308</v>
      </c>
    </row>
    <row r="110" spans="1:16" x14ac:dyDescent="0.25">
      <c r="A110" s="3"/>
      <c r="C110" s="8" t="s">
        <v>86</v>
      </c>
      <c r="L110" s="12">
        <v>38777</v>
      </c>
      <c r="M110" s="2" t="s">
        <v>77</v>
      </c>
      <c r="N110" s="2" t="s">
        <v>87</v>
      </c>
      <c r="O110" s="13">
        <v>79166</v>
      </c>
      <c r="P110" s="13">
        <v>147231</v>
      </c>
    </row>
    <row r="111" spans="1:16" x14ac:dyDescent="0.25">
      <c r="A111" s="3"/>
      <c r="C111" s="8" t="s">
        <v>55</v>
      </c>
      <c r="L111" s="12">
        <v>38621</v>
      </c>
      <c r="M111" s="2" t="s">
        <v>77</v>
      </c>
      <c r="N111" s="2" t="s">
        <v>88</v>
      </c>
      <c r="O111" s="13">
        <v>35910</v>
      </c>
      <c r="P111" s="13">
        <v>66246</v>
      </c>
    </row>
    <row r="112" spans="1:16" x14ac:dyDescent="0.25">
      <c r="A112" s="3"/>
      <c r="C112" s="7" t="s">
        <v>89</v>
      </c>
      <c r="L112" s="12">
        <v>38757</v>
      </c>
      <c r="M112" s="2" t="s">
        <v>77</v>
      </c>
      <c r="N112" s="2" t="s">
        <v>90</v>
      </c>
      <c r="O112" s="13">
        <v>32761</v>
      </c>
      <c r="P112" s="13">
        <v>43816</v>
      </c>
    </row>
    <row r="113" spans="1:16" x14ac:dyDescent="0.25">
      <c r="A113" s="3"/>
      <c r="C113" s="8" t="s">
        <v>91</v>
      </c>
      <c r="L113" s="12">
        <v>38406</v>
      </c>
      <c r="M113" s="2" t="s">
        <v>77</v>
      </c>
      <c r="N113" s="2" t="s">
        <v>92</v>
      </c>
      <c r="O113" s="13">
        <v>44870</v>
      </c>
      <c r="P113" s="13">
        <v>75638</v>
      </c>
    </row>
    <row r="114" spans="1:16" x14ac:dyDescent="0.25">
      <c r="A114" s="3"/>
      <c r="C114" s="6" t="s">
        <v>17</v>
      </c>
      <c r="L114" s="12">
        <v>38601</v>
      </c>
      <c r="M114" s="2" t="s">
        <v>77</v>
      </c>
      <c r="N114" s="2" t="s">
        <v>93</v>
      </c>
      <c r="O114" s="13">
        <v>40925</v>
      </c>
      <c r="P114" s="13">
        <v>57833</v>
      </c>
    </row>
    <row r="115" spans="1:16" x14ac:dyDescent="0.25">
      <c r="A115" s="3"/>
      <c r="C115" s="14"/>
      <c r="D115" s="14"/>
      <c r="E115" s="14"/>
      <c r="F115" s="14"/>
      <c r="G115" s="14"/>
      <c r="H115" s="14"/>
      <c r="L115" s="12">
        <v>38804</v>
      </c>
      <c r="M115" s="2" t="s">
        <v>77</v>
      </c>
      <c r="N115" s="2" t="s">
        <v>94</v>
      </c>
      <c r="O115" s="13">
        <v>41327</v>
      </c>
      <c r="P115" s="13">
        <v>77321</v>
      </c>
    </row>
    <row r="116" spans="1:16" x14ac:dyDescent="0.25">
      <c r="A116" s="3"/>
      <c r="L116" s="12">
        <v>38979</v>
      </c>
      <c r="M116" s="2" t="s">
        <v>77</v>
      </c>
      <c r="N116" s="2" t="s">
        <v>95</v>
      </c>
      <c r="O116" s="13">
        <v>41617</v>
      </c>
      <c r="P116" s="13">
        <v>52208</v>
      </c>
    </row>
    <row r="117" spans="1:16" x14ac:dyDescent="0.25">
      <c r="A117" s="3"/>
      <c r="C117" s="6" t="s">
        <v>96</v>
      </c>
    </row>
    <row r="118" spans="1:16" x14ac:dyDescent="0.25">
      <c r="A118" s="3"/>
      <c r="C118" s="7" t="s">
        <v>97</v>
      </c>
    </row>
    <row r="119" spans="1:16" x14ac:dyDescent="0.25">
      <c r="A119" s="3"/>
      <c r="C119" s="8" t="s">
        <v>98</v>
      </c>
    </row>
    <row r="120" spans="1:16" x14ac:dyDescent="0.25">
      <c r="A120" s="3"/>
      <c r="C120" s="8" t="s">
        <v>99</v>
      </c>
    </row>
    <row r="121" spans="1:16" x14ac:dyDescent="0.25">
      <c r="A121" s="3"/>
      <c r="C121" s="8" t="s">
        <v>100</v>
      </c>
    </row>
    <row r="122" spans="1:16" x14ac:dyDescent="0.25">
      <c r="A122" s="3"/>
      <c r="C122" s="8" t="s">
        <v>55</v>
      </c>
    </row>
    <row r="123" spans="1:16" x14ac:dyDescent="0.25">
      <c r="A123" s="3"/>
      <c r="C123" s="8" t="s">
        <v>101</v>
      </c>
    </row>
    <row r="124" spans="1:16" x14ac:dyDescent="0.25">
      <c r="A124" s="3"/>
      <c r="C124" s="8" t="s">
        <v>102</v>
      </c>
    </row>
    <row r="125" spans="1:16" x14ac:dyDescent="0.25">
      <c r="A125" s="3"/>
      <c r="C125" s="8" t="s">
        <v>103</v>
      </c>
    </row>
    <row r="126" spans="1:16" x14ac:dyDescent="0.25">
      <c r="A126" s="3"/>
      <c r="C126" s="6" t="s">
        <v>17</v>
      </c>
    </row>
    <row r="127" spans="1:16" x14ac:dyDescent="0.25">
      <c r="A127" s="3"/>
    </row>
    <row r="128" spans="1:16" x14ac:dyDescent="0.25">
      <c r="A128" s="3"/>
      <c r="B128" s="15" t="s">
        <v>104</v>
      </c>
    </row>
    <row r="129" spans="1:3" x14ac:dyDescent="0.25">
      <c r="A129" s="3"/>
      <c r="B129" s="2" t="s">
        <v>105</v>
      </c>
    </row>
    <row r="130" spans="1:3" x14ac:dyDescent="0.25">
      <c r="A130" s="3"/>
      <c r="B130" s="16" t="s">
        <v>106</v>
      </c>
    </row>
    <row r="131" spans="1:3" x14ac:dyDescent="0.25">
      <c r="A131" s="3"/>
      <c r="B131" s="17" t="s">
        <v>107</v>
      </c>
    </row>
    <row r="132" spans="1:3" x14ac:dyDescent="0.25">
      <c r="A132" s="3"/>
      <c r="B132" s="16"/>
    </row>
    <row r="133" spans="1:3" x14ac:dyDescent="0.25">
      <c r="A133" s="3"/>
      <c r="C133" s="6" t="s">
        <v>108</v>
      </c>
    </row>
    <row r="134" spans="1:3" x14ac:dyDescent="0.25">
      <c r="A134" s="3"/>
      <c r="C134" s="7" t="s">
        <v>109</v>
      </c>
    </row>
    <row r="135" spans="1:3" x14ac:dyDescent="0.25">
      <c r="A135" s="3"/>
      <c r="C135" s="8" t="s">
        <v>98</v>
      </c>
    </row>
    <row r="136" spans="1:3" x14ac:dyDescent="0.25">
      <c r="A136" s="3"/>
      <c r="C136" s="8" t="s">
        <v>99</v>
      </c>
    </row>
    <row r="137" spans="1:3" x14ac:dyDescent="0.25">
      <c r="A137" s="3"/>
      <c r="C137" s="8" t="s">
        <v>55</v>
      </c>
    </row>
    <row r="138" spans="1:3" x14ac:dyDescent="0.25">
      <c r="A138" s="3"/>
      <c r="C138" s="8" t="s">
        <v>101</v>
      </c>
    </row>
    <row r="139" spans="1:3" x14ac:dyDescent="0.25">
      <c r="A139" s="3"/>
      <c r="C139" s="8" t="s">
        <v>102</v>
      </c>
    </row>
    <row r="140" spans="1:3" x14ac:dyDescent="0.25">
      <c r="A140" s="3"/>
      <c r="C140" s="8"/>
    </row>
    <row r="141" spans="1:3" x14ac:dyDescent="0.25">
      <c r="A141" s="3"/>
      <c r="C141" s="8" t="s">
        <v>110</v>
      </c>
    </row>
    <row r="142" spans="1:3" x14ac:dyDescent="0.25">
      <c r="A142" s="3"/>
      <c r="C142" s="8" t="s">
        <v>111</v>
      </c>
    </row>
    <row r="143" spans="1:3" x14ac:dyDescent="0.25">
      <c r="A143" s="3"/>
      <c r="C143" s="8" t="s">
        <v>112</v>
      </c>
    </row>
    <row r="144" spans="1:3" x14ac:dyDescent="0.25">
      <c r="A144" s="3"/>
      <c r="C144" s="6" t="s">
        <v>17</v>
      </c>
    </row>
    <row r="145" spans="1:3" x14ac:dyDescent="0.25">
      <c r="A145" s="3"/>
    </row>
    <row r="146" spans="1:3" x14ac:dyDescent="0.25">
      <c r="A146" s="3"/>
      <c r="B146" s="15" t="s">
        <v>113</v>
      </c>
    </row>
    <row r="147" spans="1:3" x14ac:dyDescent="0.25">
      <c r="A147" s="3"/>
      <c r="B147" s="16" t="s">
        <v>114</v>
      </c>
    </row>
    <row r="148" spans="1:3" x14ac:dyDescent="0.25">
      <c r="A148" s="3"/>
      <c r="B148" s="2" t="s">
        <v>115</v>
      </c>
    </row>
    <row r="149" spans="1:3" x14ac:dyDescent="0.25">
      <c r="B149" s="2" t="s">
        <v>116</v>
      </c>
    </row>
    <row r="150" spans="1:3" x14ac:dyDescent="0.25">
      <c r="B150" s="18" t="s">
        <v>117</v>
      </c>
    </row>
    <row r="152" spans="1:3" x14ac:dyDescent="0.25">
      <c r="B152" s="2" t="s">
        <v>118</v>
      </c>
    </row>
    <row r="153" spans="1:3" x14ac:dyDescent="0.25">
      <c r="A153" s="3"/>
      <c r="C153" s="19" t="s">
        <v>516</v>
      </c>
    </row>
    <row r="154" spans="1:3" x14ac:dyDescent="0.25">
      <c r="A154" s="3"/>
      <c r="C154" s="19" t="s">
        <v>517</v>
      </c>
    </row>
    <row r="155" spans="1:3" x14ac:dyDescent="0.25">
      <c r="A155" s="3"/>
      <c r="C155" s="19" t="s">
        <v>518</v>
      </c>
    </row>
    <row r="156" spans="1:3" x14ac:dyDescent="0.25">
      <c r="A156" s="3"/>
      <c r="C156" s="19" t="s">
        <v>519</v>
      </c>
    </row>
    <row r="157" spans="1:3" x14ac:dyDescent="0.25">
      <c r="A157" s="3"/>
      <c r="C157" s="19" t="s">
        <v>520</v>
      </c>
    </row>
    <row r="158" spans="1:3" x14ac:dyDescent="0.25">
      <c r="A158" s="3"/>
      <c r="C158" s="19" t="s">
        <v>521</v>
      </c>
    </row>
    <row r="159" spans="1:3" x14ac:dyDescent="0.25">
      <c r="A159" s="3"/>
      <c r="C159" s="6" t="s">
        <v>514</v>
      </c>
    </row>
    <row r="160" spans="1:3" x14ac:dyDescent="0.25">
      <c r="A160" s="3"/>
      <c r="C160" s="6" t="s">
        <v>515</v>
      </c>
    </row>
    <row r="161" spans="1:4" x14ac:dyDescent="0.25">
      <c r="A161" s="3"/>
      <c r="C161" s="6" t="s">
        <v>522</v>
      </c>
    </row>
    <row r="162" spans="1:4" x14ac:dyDescent="0.25">
      <c r="A162" s="3"/>
    </row>
    <row r="163" spans="1:4" x14ac:dyDescent="0.25">
      <c r="A163" s="3"/>
      <c r="B163" s="20" t="s">
        <v>68</v>
      </c>
    </row>
    <row r="164" spans="1:4" x14ac:dyDescent="0.25">
      <c r="A164" s="3"/>
      <c r="B164" s="20"/>
      <c r="C164" s="6" t="s">
        <v>119</v>
      </c>
    </row>
    <row r="165" spans="1:4" x14ac:dyDescent="0.25">
      <c r="A165" s="3"/>
      <c r="C165" s="6" t="s">
        <v>120</v>
      </c>
    </row>
    <row r="166" spans="1:4" x14ac:dyDescent="0.25">
      <c r="A166" s="3"/>
      <c r="C166" s="6" t="s">
        <v>121</v>
      </c>
    </row>
    <row r="167" spans="1:4" x14ac:dyDescent="0.25">
      <c r="A167" s="3"/>
    </row>
    <row r="168" spans="1:4" x14ac:dyDescent="0.25">
      <c r="A168" s="3"/>
      <c r="B168" s="2" t="s">
        <v>122</v>
      </c>
    </row>
    <row r="169" spans="1:4" x14ac:dyDescent="0.25">
      <c r="A169" s="3"/>
      <c r="C169" s="2" t="s">
        <v>123</v>
      </c>
    </row>
    <row r="170" spans="1:4" x14ac:dyDescent="0.25">
      <c r="A170" s="3"/>
      <c r="C170" s="2" t="s">
        <v>124</v>
      </c>
    </row>
    <row r="171" spans="1:4" x14ac:dyDescent="0.25">
      <c r="A171" s="3"/>
      <c r="C171" s="2" t="s">
        <v>125</v>
      </c>
    </row>
    <row r="172" spans="1:4" x14ac:dyDescent="0.25">
      <c r="A172" s="3"/>
      <c r="C172" s="2" t="s">
        <v>126</v>
      </c>
    </row>
    <row r="173" spans="1:4" x14ac:dyDescent="0.25">
      <c r="A173" s="3"/>
    </row>
    <row r="174" spans="1:4" x14ac:dyDescent="0.25">
      <c r="A174" s="3"/>
      <c r="B174" s="2" t="s">
        <v>127</v>
      </c>
      <c r="D174" s="21" t="s">
        <v>128</v>
      </c>
    </row>
    <row r="175" spans="1:4" x14ac:dyDescent="0.25">
      <c r="A175" s="3"/>
    </row>
    <row r="176" spans="1:4" ht="15.6" x14ac:dyDescent="0.3">
      <c r="A176" s="3"/>
      <c r="B176" s="9" t="s">
        <v>129</v>
      </c>
    </row>
    <row r="177" spans="1:7" x14ac:dyDescent="0.25">
      <c r="A177" s="3"/>
      <c r="B177" s="2" t="s">
        <v>130</v>
      </c>
    </row>
    <row r="178" spans="1:7" x14ac:dyDescent="0.25">
      <c r="A178" s="3"/>
      <c r="B178" s="2" t="s">
        <v>131</v>
      </c>
    </row>
    <row r="179" spans="1:7" x14ac:dyDescent="0.25">
      <c r="A179" s="3"/>
      <c r="C179" s="2" t="s">
        <v>541</v>
      </c>
    </row>
    <row r="180" spans="1:7" x14ac:dyDescent="0.25">
      <c r="A180" s="3"/>
      <c r="C180" s="2" t="s">
        <v>542</v>
      </c>
    </row>
    <row r="181" spans="1:7" x14ac:dyDescent="0.25">
      <c r="A181" s="3"/>
      <c r="C181" s="2" t="s">
        <v>543</v>
      </c>
    </row>
    <row r="182" spans="1:7" x14ac:dyDescent="0.25">
      <c r="A182" s="3"/>
      <c r="C182" s="2" t="s">
        <v>544</v>
      </c>
    </row>
    <row r="183" spans="1:7" x14ac:dyDescent="0.25">
      <c r="A183" s="3"/>
      <c r="B183" s="2" t="s">
        <v>132</v>
      </c>
    </row>
    <row r="184" spans="1:7" x14ac:dyDescent="0.25">
      <c r="A184" s="3"/>
      <c r="B184" s="2" t="s">
        <v>133</v>
      </c>
    </row>
    <row r="185" spans="1:7" x14ac:dyDescent="0.25">
      <c r="A185" s="3"/>
      <c r="C185" s="2" t="s">
        <v>134</v>
      </c>
      <c r="G185" s="5" t="s">
        <v>135</v>
      </c>
    </row>
    <row r="186" spans="1:7" x14ac:dyDescent="0.25">
      <c r="A186" s="3"/>
      <c r="C186" s="2" t="s">
        <v>136</v>
      </c>
      <c r="G186" s="5" t="s">
        <v>137</v>
      </c>
    </row>
    <row r="187" spans="1:7" x14ac:dyDescent="0.25">
      <c r="A187" s="3"/>
    </row>
    <row r="188" spans="1:7" x14ac:dyDescent="0.25">
      <c r="A188" s="3"/>
      <c r="B188" s="2" t="s">
        <v>138</v>
      </c>
    </row>
    <row r="189" spans="1:7" x14ac:dyDescent="0.25">
      <c r="A189" s="3"/>
      <c r="B189" s="2" t="s">
        <v>523</v>
      </c>
      <c r="E189" s="22" t="s">
        <v>139</v>
      </c>
    </row>
    <row r="190" spans="1:7" x14ac:dyDescent="0.25">
      <c r="A190" s="3"/>
    </row>
    <row r="191" spans="1:7" ht="15.6" x14ac:dyDescent="0.3">
      <c r="A191" s="3"/>
      <c r="B191" s="9" t="s">
        <v>140</v>
      </c>
    </row>
    <row r="192" spans="1:7" x14ac:dyDescent="0.25">
      <c r="B192" s="2" t="s">
        <v>141</v>
      </c>
    </row>
    <row r="193" spans="2:8" x14ac:dyDescent="0.25">
      <c r="B193" s="20"/>
      <c r="C193" s="20"/>
      <c r="D193" s="20"/>
      <c r="E193" s="20"/>
      <c r="F193" s="20"/>
      <c r="G193" s="20"/>
      <c r="H193" s="5" t="s">
        <v>142</v>
      </c>
    </row>
    <row r="194" spans="2:8" x14ac:dyDescent="0.25">
      <c r="B194" s="20"/>
      <c r="C194" s="20"/>
      <c r="D194" s="20"/>
      <c r="E194" s="20"/>
      <c r="F194" s="20"/>
      <c r="G194" s="20"/>
      <c r="H194" s="5"/>
    </row>
    <row r="195" spans="2:8" x14ac:dyDescent="0.25">
      <c r="B195" s="20"/>
      <c r="C195" s="20"/>
      <c r="D195" s="20"/>
      <c r="E195" s="20"/>
      <c r="F195" s="20" t="s">
        <v>143</v>
      </c>
      <c r="G195" s="20"/>
      <c r="H195" s="5" t="s">
        <v>144</v>
      </c>
    </row>
    <row r="196" spans="2:8" x14ac:dyDescent="0.25">
      <c r="B196" s="20"/>
      <c r="C196" s="20"/>
      <c r="D196" s="20" t="s">
        <v>145</v>
      </c>
      <c r="E196" s="20"/>
      <c r="F196" s="20"/>
      <c r="G196" s="20"/>
      <c r="H196" s="5"/>
    </row>
    <row r="197" spans="2:8" x14ac:dyDescent="0.25">
      <c r="B197" s="20" t="s">
        <v>146</v>
      </c>
      <c r="C197" s="20"/>
      <c r="D197" s="20"/>
      <c r="E197" s="20"/>
      <c r="F197" s="20" t="s">
        <v>147</v>
      </c>
      <c r="G197" s="20"/>
      <c r="H197" s="5" t="s">
        <v>148</v>
      </c>
    </row>
    <row r="198" spans="2:8" x14ac:dyDescent="0.25">
      <c r="B198" s="20"/>
      <c r="C198" s="20"/>
      <c r="D198" s="20" t="s">
        <v>149</v>
      </c>
      <c r="E198" s="20"/>
      <c r="F198" s="20"/>
      <c r="G198" s="20"/>
      <c r="H198" s="20"/>
    </row>
    <row r="200" spans="2:8" x14ac:dyDescent="0.25">
      <c r="B200" s="2" t="s">
        <v>150</v>
      </c>
    </row>
    <row r="201" spans="2:8" x14ac:dyDescent="0.25">
      <c r="B201" s="2" t="s">
        <v>151</v>
      </c>
    </row>
    <row r="202" spans="2:8" ht="14.4" x14ac:dyDescent="0.25">
      <c r="C202" s="23" t="s">
        <v>152</v>
      </c>
    </row>
    <row r="203" spans="2:8" x14ac:dyDescent="0.25">
      <c r="B203" s="2" t="s">
        <v>153</v>
      </c>
    </row>
    <row r="204" spans="2:8" x14ac:dyDescent="0.25">
      <c r="B204" s="5" t="s">
        <v>539</v>
      </c>
    </row>
    <row r="206" spans="2:8" x14ac:dyDescent="0.25">
      <c r="B206" s="10" t="s">
        <v>154</v>
      </c>
      <c r="C206" s="20" t="s">
        <v>155</v>
      </c>
    </row>
    <row r="207" spans="2:8" x14ac:dyDescent="0.25">
      <c r="C207" s="2" t="s">
        <v>156</v>
      </c>
    </row>
    <row r="208" spans="2:8" x14ac:dyDescent="0.25">
      <c r="C208" s="2" t="s">
        <v>157</v>
      </c>
    </row>
    <row r="210" spans="2:3" x14ac:dyDescent="0.25">
      <c r="B210" s="10" t="s">
        <v>48</v>
      </c>
    </row>
    <row r="211" spans="2:3" x14ac:dyDescent="0.25">
      <c r="B211" s="10"/>
      <c r="C211" s="6" t="s">
        <v>158</v>
      </c>
    </row>
    <row r="212" spans="2:3" x14ac:dyDescent="0.25">
      <c r="B212" s="10"/>
      <c r="C212" s="7" t="s">
        <v>159</v>
      </c>
    </row>
    <row r="213" spans="2:3" x14ac:dyDescent="0.25">
      <c r="B213" s="10"/>
      <c r="C213" s="8" t="s">
        <v>525</v>
      </c>
    </row>
    <row r="214" spans="2:3" x14ac:dyDescent="0.25">
      <c r="B214" s="10"/>
      <c r="C214" s="8" t="s">
        <v>526</v>
      </c>
    </row>
    <row r="215" spans="2:3" x14ac:dyDescent="0.25">
      <c r="B215" s="10"/>
      <c r="C215" s="8" t="s">
        <v>160</v>
      </c>
    </row>
    <row r="216" spans="2:3" x14ac:dyDescent="0.25">
      <c r="B216" s="10"/>
      <c r="C216" s="8" t="s">
        <v>55</v>
      </c>
    </row>
    <row r="217" spans="2:3" x14ac:dyDescent="0.25">
      <c r="B217" s="10"/>
      <c r="C217" s="8" t="s">
        <v>161</v>
      </c>
    </row>
    <row r="218" spans="2:3" x14ac:dyDescent="0.25">
      <c r="B218" s="10"/>
      <c r="C218" s="8" t="s">
        <v>162</v>
      </c>
    </row>
    <row r="219" spans="2:3" x14ac:dyDescent="0.25">
      <c r="B219" s="10"/>
      <c r="C219" s="8" t="s">
        <v>55</v>
      </c>
    </row>
    <row r="220" spans="2:3" x14ac:dyDescent="0.25">
      <c r="B220" s="10"/>
      <c r="C220" s="8" t="s">
        <v>163</v>
      </c>
    </row>
    <row r="221" spans="2:3" x14ac:dyDescent="0.25">
      <c r="C221" s="8" t="s">
        <v>164</v>
      </c>
    </row>
    <row r="222" spans="2:3" x14ac:dyDescent="0.25">
      <c r="C222" s="8" t="s">
        <v>55</v>
      </c>
    </row>
    <row r="223" spans="2:3" x14ac:dyDescent="0.25">
      <c r="C223" s="8" t="s">
        <v>165</v>
      </c>
    </row>
    <row r="224" spans="2:3" x14ac:dyDescent="0.25">
      <c r="C224" s="8" t="s">
        <v>166</v>
      </c>
    </row>
    <row r="225" spans="1:15" x14ac:dyDescent="0.25">
      <c r="C225" s="6" t="s">
        <v>17</v>
      </c>
    </row>
    <row r="226" spans="1:15" x14ac:dyDescent="0.25">
      <c r="A226" s="3"/>
    </row>
    <row r="227" spans="1:15" ht="15.6" x14ac:dyDescent="0.3">
      <c r="A227" s="3"/>
      <c r="B227" s="9" t="s">
        <v>167</v>
      </c>
    </row>
    <row r="228" spans="1:15" x14ac:dyDescent="0.25">
      <c r="A228" s="3"/>
      <c r="B228" s="2" t="s">
        <v>168</v>
      </c>
    </row>
    <row r="229" spans="1:15" x14ac:dyDescent="0.25">
      <c r="A229" s="3"/>
      <c r="B229" s="2" t="s">
        <v>169</v>
      </c>
    </row>
    <row r="230" spans="1:15" x14ac:dyDescent="0.25">
      <c r="A230" s="3"/>
      <c r="B230" s="2" t="s">
        <v>170</v>
      </c>
    </row>
    <row r="231" spans="1:15" x14ac:dyDescent="0.25">
      <c r="A231" s="3"/>
    </row>
    <row r="232" spans="1:15" x14ac:dyDescent="0.25">
      <c r="A232" s="3"/>
      <c r="B232" s="10" t="s">
        <v>171</v>
      </c>
    </row>
    <row r="233" spans="1:15" x14ac:dyDescent="0.25">
      <c r="A233" s="3"/>
      <c r="C233" s="19" t="s">
        <v>172</v>
      </c>
    </row>
    <row r="234" spans="1:15" x14ac:dyDescent="0.25">
      <c r="A234" s="3"/>
      <c r="C234" s="22"/>
      <c r="D234" s="5" t="s">
        <v>173</v>
      </c>
    </row>
    <row r="235" spans="1:15" x14ac:dyDescent="0.25">
      <c r="A235" s="3"/>
      <c r="C235" s="22"/>
      <c r="D235" s="5" t="s">
        <v>174</v>
      </c>
    </row>
    <row r="236" spans="1:15" x14ac:dyDescent="0.25">
      <c r="A236" s="3"/>
      <c r="C236" s="22"/>
      <c r="D236" s="5" t="s">
        <v>175</v>
      </c>
    </row>
    <row r="237" spans="1:15" x14ac:dyDescent="0.25">
      <c r="A237" s="3"/>
      <c r="C237" s="19" t="s">
        <v>176</v>
      </c>
    </row>
    <row r="238" spans="1:15" x14ac:dyDescent="0.25">
      <c r="A238" s="3"/>
    </row>
    <row r="239" spans="1:15" x14ac:dyDescent="0.25">
      <c r="A239" s="3"/>
      <c r="B239" s="10" t="s">
        <v>68</v>
      </c>
      <c r="M239" s="10" t="s">
        <v>177</v>
      </c>
    </row>
    <row r="240" spans="1:15" x14ac:dyDescent="0.25">
      <c r="A240" s="3"/>
      <c r="B240" s="6"/>
      <c r="C240" s="6" t="s">
        <v>178</v>
      </c>
      <c r="M240" s="24">
        <v>1</v>
      </c>
      <c r="N240" s="24">
        <v>5</v>
      </c>
      <c r="O240" s="24">
        <v>12</v>
      </c>
    </row>
    <row r="241" spans="1:15" x14ac:dyDescent="0.25">
      <c r="A241" s="3"/>
      <c r="B241" s="7"/>
      <c r="C241" s="7" t="s">
        <v>179</v>
      </c>
      <c r="G241" s="25"/>
      <c r="M241" s="26"/>
      <c r="N241" s="26"/>
      <c r="O241" s="26"/>
    </row>
    <row r="242" spans="1:15" x14ac:dyDescent="0.25">
      <c r="A242" s="3"/>
      <c r="B242" s="7"/>
      <c r="C242" s="7" t="s">
        <v>180</v>
      </c>
      <c r="G242" s="25"/>
      <c r="M242" s="26"/>
      <c r="N242" s="26"/>
      <c r="O242" s="26"/>
    </row>
    <row r="243" spans="1:15" x14ac:dyDescent="0.25">
      <c r="A243" s="3"/>
      <c r="B243" s="8"/>
      <c r="C243" s="8" t="s">
        <v>181</v>
      </c>
      <c r="M243" s="26"/>
      <c r="N243" s="26"/>
      <c r="O243" s="26"/>
    </row>
    <row r="244" spans="1:15" x14ac:dyDescent="0.25">
      <c r="A244" s="3"/>
      <c r="B244" s="8"/>
      <c r="C244" s="8" t="s">
        <v>182</v>
      </c>
      <c r="M244" s="26"/>
      <c r="N244" s="26"/>
      <c r="O244" s="26"/>
    </row>
    <row r="245" spans="1:15" x14ac:dyDescent="0.25">
      <c r="A245" s="3"/>
      <c r="B245" s="8"/>
      <c r="C245" s="8" t="s">
        <v>183</v>
      </c>
      <c r="M245" s="26"/>
      <c r="N245" s="26"/>
      <c r="O245" s="26"/>
    </row>
    <row r="246" spans="1:15" x14ac:dyDescent="0.25">
      <c r="A246" s="3"/>
      <c r="B246" s="8"/>
      <c r="C246" s="8" t="s">
        <v>184</v>
      </c>
      <c r="F246" s="25"/>
      <c r="M246" s="26"/>
      <c r="N246" s="26"/>
      <c r="O246" s="26"/>
    </row>
    <row r="247" spans="1:15" x14ac:dyDescent="0.25">
      <c r="A247" s="3"/>
      <c r="B247" s="8"/>
      <c r="C247" s="8" t="s">
        <v>185</v>
      </c>
      <c r="F247" s="25"/>
      <c r="M247" s="26"/>
      <c r="N247" s="26"/>
      <c r="O247" s="26"/>
    </row>
    <row r="248" spans="1:15" x14ac:dyDescent="0.25">
      <c r="A248" s="3"/>
      <c r="B248" s="27"/>
      <c r="C248" s="8" t="s">
        <v>186</v>
      </c>
    </row>
    <row r="249" spans="1:15" x14ac:dyDescent="0.25">
      <c r="A249" s="3"/>
      <c r="B249" s="6"/>
      <c r="C249" s="8" t="s">
        <v>187</v>
      </c>
    </row>
    <row r="250" spans="1:15" x14ac:dyDescent="0.25">
      <c r="A250" s="3"/>
      <c r="B250" s="8"/>
      <c r="C250" s="8" t="s">
        <v>188</v>
      </c>
    </row>
    <row r="251" spans="1:15" x14ac:dyDescent="0.25">
      <c r="A251" s="3"/>
      <c r="B251" s="8"/>
      <c r="C251" s="6" t="s">
        <v>17</v>
      </c>
    </row>
    <row r="252" spans="1:15" x14ac:dyDescent="0.25">
      <c r="A252" s="3"/>
      <c r="B252" s="8"/>
      <c r="C252" s="14"/>
      <c r="D252" s="14"/>
      <c r="E252" s="14"/>
      <c r="F252" s="14"/>
      <c r="G252" s="14"/>
      <c r="H252" s="14"/>
      <c r="I252" s="14"/>
      <c r="J252" s="28"/>
    </row>
    <row r="253" spans="1:15" x14ac:dyDescent="0.25">
      <c r="A253" s="3"/>
      <c r="B253" s="8"/>
    </row>
    <row r="254" spans="1:15" x14ac:dyDescent="0.25">
      <c r="A254" s="3"/>
      <c r="B254" s="8"/>
      <c r="C254" s="6" t="s">
        <v>189</v>
      </c>
    </row>
    <row r="255" spans="1:15" x14ac:dyDescent="0.25">
      <c r="A255" s="3"/>
      <c r="B255" s="8"/>
      <c r="C255" s="7" t="s">
        <v>190</v>
      </c>
    </row>
    <row r="256" spans="1:15" x14ac:dyDescent="0.25">
      <c r="A256" s="3"/>
      <c r="B256" s="8"/>
      <c r="C256" s="8" t="s">
        <v>191</v>
      </c>
    </row>
    <row r="257" spans="1:3" x14ac:dyDescent="0.25">
      <c r="A257" s="3"/>
      <c r="B257" s="8"/>
      <c r="C257" s="8" t="s">
        <v>192</v>
      </c>
    </row>
    <row r="258" spans="1:3" x14ac:dyDescent="0.25">
      <c r="A258" s="3"/>
      <c r="B258" s="8"/>
      <c r="C258" s="8" t="s">
        <v>193</v>
      </c>
    </row>
    <row r="259" spans="1:3" x14ac:dyDescent="0.25">
      <c r="A259" s="3"/>
      <c r="B259" s="8"/>
      <c r="C259" s="8" t="s">
        <v>194</v>
      </c>
    </row>
    <row r="260" spans="1:3" x14ac:dyDescent="0.25">
      <c r="A260" s="3"/>
      <c r="B260" s="8"/>
      <c r="C260" s="8" t="s">
        <v>195</v>
      </c>
    </row>
    <row r="261" spans="1:3" x14ac:dyDescent="0.25">
      <c r="A261" s="3"/>
      <c r="B261" s="8"/>
      <c r="C261" s="8" t="s">
        <v>196</v>
      </c>
    </row>
    <row r="262" spans="1:3" x14ac:dyDescent="0.25">
      <c r="A262" s="3"/>
      <c r="B262" s="8"/>
      <c r="C262" s="6" t="s">
        <v>17</v>
      </c>
    </row>
    <row r="263" spans="1:3" x14ac:dyDescent="0.25">
      <c r="A263" s="3"/>
      <c r="B263" s="8"/>
    </row>
    <row r="264" spans="1:3" ht="13.8" x14ac:dyDescent="0.25">
      <c r="A264" s="3"/>
      <c r="B264" s="29" t="s">
        <v>197</v>
      </c>
    </row>
    <row r="265" spans="1:3" x14ac:dyDescent="0.25">
      <c r="B265" s="2" t="s">
        <v>198</v>
      </c>
    </row>
    <row r="293" spans="2:2" x14ac:dyDescent="0.25">
      <c r="B293" s="2" t="s">
        <v>524</v>
      </c>
    </row>
    <row r="294" spans="2:2" x14ac:dyDescent="0.25">
      <c r="B294" s="21" t="s">
        <v>199</v>
      </c>
    </row>
  </sheetData>
  <mergeCells count="1">
    <mergeCell ref="B2:J2"/>
  </mergeCells>
  <hyperlinks>
    <hyperlink ref="C158" r:id="rId1" display="http://msdn.microsoft.com/en-us/library/wts33hb3.aspx" xr:uid="{00000000-0004-0000-0000-000000000000}"/>
    <hyperlink ref="D174" r:id="rId2" xr:uid="{00000000-0004-0000-0000-000001000000}"/>
    <hyperlink ref="B294" r:id="rId3" xr:uid="{00000000-0004-0000-0000-000002000000}"/>
  </hyperlinks>
  <pageMargins left="0.75" right="0.75" top="1" bottom="1" header="0.5" footer="0.5"/>
  <pageSetup paperSize="9" scale="53" orientation="portrait" r:id="rId4"/>
  <headerFooter alignWithMargins="0">
    <oddFooter>&amp;Lã LabMasters.pl</oddFooter>
  </headerFooter>
  <rowBreaks count="3" manualBreakCount="3">
    <brk id="73" max="10" man="1"/>
    <brk id="145" max="10" man="1"/>
    <brk id="226" max="10" man="1"/>
  </rowBreaks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/>
  <dimension ref="A1:G216"/>
  <sheetViews>
    <sheetView showGridLines="0" zoomScaleNormal="100" workbookViewId="0"/>
  </sheetViews>
  <sheetFormatPr defaultColWidth="9.109375" defaultRowHeight="13.2" x14ac:dyDescent="0.25"/>
  <cols>
    <col min="1" max="1" width="9.109375" style="2"/>
    <col min="2" max="2" width="11.88671875" style="2" customWidth="1"/>
    <col min="3" max="3" width="8.5546875" style="2" bestFit="1" customWidth="1"/>
    <col min="4" max="4" width="14.88671875" style="2" bestFit="1" customWidth="1"/>
    <col min="5" max="5" width="14.44140625" style="2" bestFit="1" customWidth="1"/>
    <col min="6" max="6" width="18.109375" style="2" bestFit="1" customWidth="1"/>
    <col min="7" max="7" width="9.5546875" style="2" bestFit="1" customWidth="1"/>
    <col min="8" max="16384" width="9.109375" style="2"/>
  </cols>
  <sheetData>
    <row r="1" spans="1:7" s="28" customFormat="1" x14ac:dyDescent="0.25">
      <c r="A1" s="31"/>
    </row>
    <row r="2" spans="1:7" s="32" customFormat="1" ht="18.75" customHeight="1" x14ac:dyDescent="0.3">
      <c r="B2" s="33" t="s">
        <v>511</v>
      </c>
    </row>
    <row r="4" spans="1:7" x14ac:dyDescent="0.25">
      <c r="B4" s="20" t="s">
        <v>200</v>
      </c>
    </row>
    <row r="5" spans="1:7" x14ac:dyDescent="0.25">
      <c r="B5" s="20" t="s">
        <v>201</v>
      </c>
    </row>
    <row r="6" spans="1:7" x14ac:dyDescent="0.25">
      <c r="B6" s="20" t="s">
        <v>202</v>
      </c>
      <c r="C6" s="34"/>
    </row>
    <row r="7" spans="1:7" x14ac:dyDescent="0.25">
      <c r="B7" s="5"/>
      <c r="C7" s="34"/>
    </row>
    <row r="8" spans="1:7" x14ac:dyDescent="0.25">
      <c r="B8" s="2" t="s">
        <v>71</v>
      </c>
      <c r="C8" s="2" t="s">
        <v>72</v>
      </c>
      <c r="D8" s="2" t="s">
        <v>73</v>
      </c>
      <c r="E8" s="2" t="s">
        <v>74</v>
      </c>
      <c r="F8" s="2" t="s">
        <v>75</v>
      </c>
      <c r="G8" s="2" t="s">
        <v>203</v>
      </c>
    </row>
    <row r="9" spans="1:7" x14ac:dyDescent="0.25">
      <c r="B9" s="2">
        <v>38742</v>
      </c>
      <c r="C9" s="2" t="s">
        <v>77</v>
      </c>
      <c r="D9" s="2" t="s">
        <v>78</v>
      </c>
      <c r="E9" s="2">
        <v>90774</v>
      </c>
      <c r="F9" s="2">
        <v>104354</v>
      </c>
      <c r="G9" s="2">
        <f t="shared" ref="G9:G72" si="0">F9-E9</f>
        <v>13580</v>
      </c>
    </row>
    <row r="10" spans="1:7" x14ac:dyDescent="0.25">
      <c r="B10" s="2">
        <v>38469</v>
      </c>
      <c r="C10" s="2" t="s">
        <v>77</v>
      </c>
      <c r="D10" s="2" t="s">
        <v>79</v>
      </c>
      <c r="E10" s="2">
        <v>60110</v>
      </c>
      <c r="F10" s="2">
        <v>61265</v>
      </c>
      <c r="G10" s="2">
        <f t="shared" si="0"/>
        <v>1155</v>
      </c>
    </row>
    <row r="11" spans="1:7" x14ac:dyDescent="0.25">
      <c r="B11" s="2">
        <v>38671</v>
      </c>
      <c r="C11" s="2" t="s">
        <v>77</v>
      </c>
      <c r="D11" s="2" t="s">
        <v>81</v>
      </c>
      <c r="E11" s="2">
        <v>57836</v>
      </c>
      <c r="F11" s="2">
        <v>96966</v>
      </c>
      <c r="G11" s="2">
        <f t="shared" si="0"/>
        <v>39130</v>
      </c>
    </row>
    <row r="12" spans="1:7" x14ac:dyDescent="0.25">
      <c r="B12" s="2">
        <v>39009</v>
      </c>
      <c r="C12" s="2" t="s">
        <v>77</v>
      </c>
      <c r="D12" s="2" t="s">
        <v>83</v>
      </c>
      <c r="E12" s="2">
        <v>57608</v>
      </c>
      <c r="F12" s="2">
        <v>102367</v>
      </c>
      <c r="G12" s="2">
        <f t="shared" si="0"/>
        <v>44759</v>
      </c>
    </row>
    <row r="13" spans="1:7" x14ac:dyDescent="0.25">
      <c r="B13" s="2">
        <v>38833</v>
      </c>
      <c r="C13" s="2" t="s">
        <v>77</v>
      </c>
      <c r="D13" s="2" t="s">
        <v>85</v>
      </c>
      <c r="E13" s="2">
        <v>63238</v>
      </c>
      <c r="F13" s="2">
        <v>102308</v>
      </c>
      <c r="G13" s="2">
        <f t="shared" si="0"/>
        <v>39070</v>
      </c>
    </row>
    <row r="14" spans="1:7" x14ac:dyDescent="0.25">
      <c r="B14" s="2">
        <v>38777</v>
      </c>
      <c r="C14" s="2" t="s">
        <v>77</v>
      </c>
      <c r="D14" s="2" t="s">
        <v>87</v>
      </c>
      <c r="E14" s="2">
        <v>79166</v>
      </c>
      <c r="F14" s="2">
        <v>147231</v>
      </c>
      <c r="G14" s="2">
        <f t="shared" si="0"/>
        <v>68065</v>
      </c>
    </row>
    <row r="15" spans="1:7" x14ac:dyDescent="0.25">
      <c r="B15" s="2">
        <v>38621</v>
      </c>
      <c r="C15" s="2" t="s">
        <v>77</v>
      </c>
      <c r="D15" s="2" t="s">
        <v>88</v>
      </c>
      <c r="E15" s="2">
        <v>35910</v>
      </c>
      <c r="F15" s="2">
        <v>66246</v>
      </c>
      <c r="G15" s="2">
        <f t="shared" si="0"/>
        <v>30336</v>
      </c>
    </row>
    <row r="16" spans="1:7" x14ac:dyDescent="0.25">
      <c r="B16" s="2">
        <v>38757</v>
      </c>
      <c r="C16" s="2" t="s">
        <v>77</v>
      </c>
      <c r="D16" s="2" t="s">
        <v>90</v>
      </c>
      <c r="E16" s="2">
        <v>32761</v>
      </c>
      <c r="F16" s="2">
        <v>43816</v>
      </c>
      <c r="G16" s="2">
        <f t="shared" si="0"/>
        <v>11055</v>
      </c>
    </row>
    <row r="17" spans="2:7" x14ac:dyDescent="0.25">
      <c r="B17" s="2">
        <v>38406</v>
      </c>
      <c r="C17" s="2" t="s">
        <v>77</v>
      </c>
      <c r="D17" s="2" t="s">
        <v>92</v>
      </c>
      <c r="E17" s="2">
        <v>44870</v>
      </c>
      <c r="F17" s="2">
        <v>75638</v>
      </c>
      <c r="G17" s="2">
        <f t="shared" si="0"/>
        <v>30768</v>
      </c>
    </row>
    <row r="18" spans="2:7" x14ac:dyDescent="0.25">
      <c r="B18" s="2">
        <v>38601</v>
      </c>
      <c r="C18" s="2" t="s">
        <v>77</v>
      </c>
      <c r="D18" s="2" t="s">
        <v>93</v>
      </c>
      <c r="E18" s="2">
        <v>40925</v>
      </c>
      <c r="F18" s="2">
        <v>57833</v>
      </c>
      <c r="G18" s="2">
        <f t="shared" si="0"/>
        <v>16908</v>
      </c>
    </row>
    <row r="19" spans="2:7" x14ac:dyDescent="0.25">
      <c r="B19" s="2">
        <v>38804</v>
      </c>
      <c r="C19" s="2" t="s">
        <v>77</v>
      </c>
      <c r="D19" s="2" t="s">
        <v>94</v>
      </c>
      <c r="E19" s="2">
        <v>41327</v>
      </c>
      <c r="F19" s="2">
        <v>77321</v>
      </c>
      <c r="G19" s="2">
        <f t="shared" si="0"/>
        <v>35994</v>
      </c>
    </row>
    <row r="20" spans="2:7" x14ac:dyDescent="0.25">
      <c r="B20" s="2">
        <v>38979</v>
      </c>
      <c r="C20" s="2" t="s">
        <v>77</v>
      </c>
      <c r="D20" s="2" t="s">
        <v>95</v>
      </c>
      <c r="E20" s="2">
        <v>41617</v>
      </c>
      <c r="F20" s="2">
        <v>52208</v>
      </c>
      <c r="G20" s="2">
        <f t="shared" si="0"/>
        <v>10591</v>
      </c>
    </row>
    <row r="21" spans="2:7" x14ac:dyDescent="0.25">
      <c r="B21" s="2">
        <v>39153</v>
      </c>
      <c r="C21" s="2" t="s">
        <v>77</v>
      </c>
      <c r="D21" s="2" t="s">
        <v>204</v>
      </c>
      <c r="E21" s="2">
        <v>41858</v>
      </c>
      <c r="F21" s="2">
        <v>44740</v>
      </c>
      <c r="G21" s="2">
        <f t="shared" si="0"/>
        <v>2882</v>
      </c>
    </row>
    <row r="22" spans="2:7" x14ac:dyDescent="0.25">
      <c r="B22" s="2">
        <v>38554</v>
      </c>
      <c r="C22" s="2" t="s">
        <v>77</v>
      </c>
      <c r="D22" s="2" t="s">
        <v>205</v>
      </c>
      <c r="E22" s="2">
        <v>77418</v>
      </c>
      <c r="F22" s="2">
        <v>95484</v>
      </c>
      <c r="G22" s="2">
        <f t="shared" si="0"/>
        <v>18066</v>
      </c>
    </row>
    <row r="23" spans="2:7" x14ac:dyDescent="0.25">
      <c r="B23" s="2">
        <v>38628</v>
      </c>
      <c r="C23" s="2" t="s">
        <v>77</v>
      </c>
      <c r="D23" s="2" t="s">
        <v>206</v>
      </c>
      <c r="E23" s="2">
        <v>54541</v>
      </c>
      <c r="F23" s="2">
        <v>79151</v>
      </c>
      <c r="G23" s="2">
        <f t="shared" si="0"/>
        <v>24610</v>
      </c>
    </row>
    <row r="24" spans="2:7" x14ac:dyDescent="0.25">
      <c r="B24" s="2">
        <v>38752</v>
      </c>
      <c r="C24" s="2" t="s">
        <v>77</v>
      </c>
      <c r="D24" s="2" t="s">
        <v>207</v>
      </c>
      <c r="E24" s="2">
        <v>52131</v>
      </c>
      <c r="F24" s="2">
        <v>93866</v>
      </c>
      <c r="G24" s="2">
        <f t="shared" si="0"/>
        <v>41735</v>
      </c>
    </row>
    <row r="25" spans="2:7" x14ac:dyDescent="0.25">
      <c r="B25" s="2">
        <v>39007</v>
      </c>
      <c r="C25" s="2" t="s">
        <v>77</v>
      </c>
      <c r="D25" s="2" t="s">
        <v>208</v>
      </c>
      <c r="E25" s="2">
        <v>47120</v>
      </c>
      <c r="F25" s="2">
        <v>48413</v>
      </c>
      <c r="G25" s="2">
        <f t="shared" si="0"/>
        <v>1293</v>
      </c>
    </row>
    <row r="26" spans="2:7" x14ac:dyDescent="0.25">
      <c r="B26" s="2">
        <v>38679</v>
      </c>
      <c r="C26" s="2" t="s">
        <v>77</v>
      </c>
      <c r="D26" s="2" t="s">
        <v>209</v>
      </c>
      <c r="E26" s="2">
        <v>44745</v>
      </c>
      <c r="F26" s="2">
        <v>46072</v>
      </c>
      <c r="G26" s="2">
        <f t="shared" si="0"/>
        <v>1327</v>
      </c>
    </row>
    <row r="27" spans="2:7" x14ac:dyDescent="0.25">
      <c r="B27" s="2">
        <v>39036</v>
      </c>
      <c r="C27" s="2" t="s">
        <v>77</v>
      </c>
      <c r="D27" s="2" t="s">
        <v>210</v>
      </c>
      <c r="E27" s="2">
        <v>42350</v>
      </c>
      <c r="F27" s="2">
        <v>83696</v>
      </c>
      <c r="G27" s="2">
        <f t="shared" si="0"/>
        <v>41346</v>
      </c>
    </row>
    <row r="28" spans="2:7" x14ac:dyDescent="0.25">
      <c r="B28" s="2">
        <v>38566</v>
      </c>
      <c r="C28" s="2" t="s">
        <v>77</v>
      </c>
      <c r="D28" s="2" t="s">
        <v>211</v>
      </c>
      <c r="E28" s="2">
        <v>36266</v>
      </c>
      <c r="F28" s="2">
        <v>71346</v>
      </c>
      <c r="G28" s="2">
        <f t="shared" si="0"/>
        <v>35080</v>
      </c>
    </row>
    <row r="29" spans="2:7" x14ac:dyDescent="0.25">
      <c r="B29" s="2">
        <v>38894</v>
      </c>
      <c r="C29" s="2" t="s">
        <v>77</v>
      </c>
      <c r="D29" s="2" t="s">
        <v>212</v>
      </c>
      <c r="E29" s="2">
        <v>42862</v>
      </c>
      <c r="F29" s="2">
        <v>83972</v>
      </c>
      <c r="G29" s="2">
        <f t="shared" si="0"/>
        <v>41110</v>
      </c>
    </row>
    <row r="30" spans="2:7" x14ac:dyDescent="0.25">
      <c r="B30" s="2">
        <v>38743</v>
      </c>
      <c r="C30" s="2" t="s">
        <v>77</v>
      </c>
      <c r="D30" s="2" t="s">
        <v>213</v>
      </c>
      <c r="E30" s="2">
        <v>38354</v>
      </c>
      <c r="F30" s="2">
        <v>71348</v>
      </c>
      <c r="G30" s="2">
        <f t="shared" si="0"/>
        <v>32994</v>
      </c>
    </row>
    <row r="31" spans="2:7" x14ac:dyDescent="0.25">
      <c r="B31" s="2">
        <v>38904</v>
      </c>
      <c r="C31" s="2" t="s">
        <v>77</v>
      </c>
      <c r="D31" s="2" t="s">
        <v>214</v>
      </c>
      <c r="E31" s="2">
        <v>123646</v>
      </c>
      <c r="F31" s="2">
        <v>163492</v>
      </c>
      <c r="G31" s="2">
        <f t="shared" si="0"/>
        <v>39846</v>
      </c>
    </row>
    <row r="32" spans="2:7" x14ac:dyDescent="0.25">
      <c r="B32" s="2">
        <v>38457</v>
      </c>
      <c r="C32" s="2" t="s">
        <v>77</v>
      </c>
      <c r="D32" s="2" t="s">
        <v>215</v>
      </c>
      <c r="E32" s="2">
        <v>72699</v>
      </c>
      <c r="F32" s="2">
        <v>135818</v>
      </c>
      <c r="G32" s="2">
        <f t="shared" si="0"/>
        <v>63119</v>
      </c>
    </row>
    <row r="33" spans="2:7" x14ac:dyDescent="0.25">
      <c r="B33" s="2">
        <v>38819</v>
      </c>
      <c r="C33" s="2" t="s">
        <v>77</v>
      </c>
      <c r="D33" s="2" t="s">
        <v>216</v>
      </c>
      <c r="E33" s="2">
        <v>75693</v>
      </c>
      <c r="F33" s="2">
        <v>109876</v>
      </c>
      <c r="G33" s="2">
        <f t="shared" si="0"/>
        <v>34183</v>
      </c>
    </row>
    <row r="34" spans="2:7" x14ac:dyDescent="0.25">
      <c r="B34" s="2">
        <v>39157</v>
      </c>
      <c r="C34" s="2" t="s">
        <v>77</v>
      </c>
      <c r="D34" s="2" t="s">
        <v>217</v>
      </c>
      <c r="E34" s="2">
        <v>77353</v>
      </c>
      <c r="F34" s="2">
        <v>89736</v>
      </c>
      <c r="G34" s="2">
        <f t="shared" si="0"/>
        <v>12383</v>
      </c>
    </row>
    <row r="35" spans="2:7" x14ac:dyDescent="0.25">
      <c r="B35" s="2">
        <v>38663</v>
      </c>
      <c r="C35" s="2" t="s">
        <v>77</v>
      </c>
      <c r="D35" s="2" t="s">
        <v>218</v>
      </c>
      <c r="E35" s="2">
        <v>75064</v>
      </c>
      <c r="F35" s="2">
        <v>139700</v>
      </c>
      <c r="G35" s="2">
        <f t="shared" si="0"/>
        <v>64636</v>
      </c>
    </row>
    <row r="36" spans="2:7" x14ac:dyDescent="0.25">
      <c r="B36" s="2">
        <v>38653</v>
      </c>
      <c r="C36" s="2" t="s">
        <v>219</v>
      </c>
      <c r="D36" s="2" t="s">
        <v>220</v>
      </c>
      <c r="E36" s="2">
        <v>89290</v>
      </c>
      <c r="F36" s="2">
        <v>127889</v>
      </c>
      <c r="G36" s="2">
        <f t="shared" si="0"/>
        <v>38599</v>
      </c>
    </row>
    <row r="37" spans="2:7" x14ac:dyDescent="0.25">
      <c r="B37" s="2">
        <v>38653</v>
      </c>
      <c r="C37" s="2" t="s">
        <v>219</v>
      </c>
      <c r="D37" s="2" t="s">
        <v>221</v>
      </c>
      <c r="E37" s="2">
        <v>89290</v>
      </c>
      <c r="F37" s="2">
        <v>127338</v>
      </c>
      <c r="G37" s="2">
        <f t="shared" si="0"/>
        <v>38048</v>
      </c>
    </row>
    <row r="38" spans="2:7" x14ac:dyDescent="0.25">
      <c r="B38" s="2">
        <v>38986</v>
      </c>
      <c r="C38" s="2" t="s">
        <v>219</v>
      </c>
      <c r="D38" s="2" t="s">
        <v>222</v>
      </c>
      <c r="E38" s="2">
        <v>95015</v>
      </c>
      <c r="F38" s="2">
        <v>123155</v>
      </c>
      <c r="G38" s="2">
        <f t="shared" si="0"/>
        <v>28140</v>
      </c>
    </row>
    <row r="39" spans="2:7" x14ac:dyDescent="0.25">
      <c r="B39" s="2">
        <v>38643</v>
      </c>
      <c r="C39" s="2" t="s">
        <v>219</v>
      </c>
      <c r="D39" s="2" t="s">
        <v>223</v>
      </c>
      <c r="E39" s="2">
        <v>66263</v>
      </c>
      <c r="F39" s="2">
        <v>96732</v>
      </c>
      <c r="G39" s="2">
        <f t="shared" si="0"/>
        <v>30469</v>
      </c>
    </row>
    <row r="40" spans="2:7" x14ac:dyDescent="0.25">
      <c r="B40" s="2">
        <v>38630</v>
      </c>
      <c r="C40" s="2" t="s">
        <v>219</v>
      </c>
      <c r="D40" s="2" t="s">
        <v>224</v>
      </c>
      <c r="E40" s="2">
        <v>66575</v>
      </c>
      <c r="F40" s="2">
        <v>113496</v>
      </c>
      <c r="G40" s="2">
        <f t="shared" si="0"/>
        <v>46921</v>
      </c>
    </row>
    <row r="41" spans="2:7" x14ac:dyDescent="0.25">
      <c r="B41" s="2">
        <v>38772</v>
      </c>
      <c r="C41" s="2" t="s">
        <v>219</v>
      </c>
      <c r="D41" s="2" t="s">
        <v>225</v>
      </c>
      <c r="E41" s="2">
        <v>86683</v>
      </c>
      <c r="F41" s="2">
        <v>125745</v>
      </c>
      <c r="G41" s="2">
        <f t="shared" si="0"/>
        <v>39062</v>
      </c>
    </row>
    <row r="42" spans="2:7" x14ac:dyDescent="0.25">
      <c r="B42" s="2">
        <v>38357</v>
      </c>
      <c r="C42" s="2" t="s">
        <v>219</v>
      </c>
      <c r="D42" s="2" t="s">
        <v>226</v>
      </c>
      <c r="E42" s="2">
        <v>34669</v>
      </c>
      <c r="F42" s="2">
        <v>67860</v>
      </c>
      <c r="G42" s="2">
        <f t="shared" si="0"/>
        <v>33191</v>
      </c>
    </row>
    <row r="43" spans="2:7" x14ac:dyDescent="0.25">
      <c r="B43" s="2">
        <v>38853</v>
      </c>
      <c r="C43" s="2" t="s">
        <v>219</v>
      </c>
      <c r="D43" s="2" t="s">
        <v>227</v>
      </c>
      <c r="E43" s="2">
        <v>35279</v>
      </c>
      <c r="F43" s="2">
        <v>55102</v>
      </c>
      <c r="G43" s="2">
        <f t="shared" si="0"/>
        <v>19823</v>
      </c>
    </row>
    <row r="44" spans="2:7" x14ac:dyDescent="0.25">
      <c r="B44" s="2">
        <v>38334</v>
      </c>
      <c r="C44" s="2" t="s">
        <v>219</v>
      </c>
      <c r="D44" s="2" t="s">
        <v>228</v>
      </c>
      <c r="E44" s="2">
        <v>52564</v>
      </c>
      <c r="F44" s="2">
        <v>84933</v>
      </c>
      <c r="G44" s="2">
        <f t="shared" si="0"/>
        <v>32369</v>
      </c>
    </row>
    <row r="45" spans="2:7" x14ac:dyDescent="0.25">
      <c r="B45" s="2">
        <v>38736</v>
      </c>
      <c r="C45" s="2" t="s">
        <v>219</v>
      </c>
      <c r="D45" s="2" t="s">
        <v>229</v>
      </c>
      <c r="E45" s="2">
        <v>40724</v>
      </c>
      <c r="F45" s="2">
        <v>74780</v>
      </c>
      <c r="G45" s="2">
        <f t="shared" si="0"/>
        <v>34056</v>
      </c>
    </row>
    <row r="46" spans="2:7" x14ac:dyDescent="0.25">
      <c r="B46" s="2">
        <v>38729</v>
      </c>
      <c r="C46" s="2" t="s">
        <v>219</v>
      </c>
      <c r="D46" s="2" t="s">
        <v>230</v>
      </c>
      <c r="E46" s="2">
        <v>50083</v>
      </c>
      <c r="F46" s="2">
        <v>81803</v>
      </c>
      <c r="G46" s="2">
        <f t="shared" si="0"/>
        <v>31720</v>
      </c>
    </row>
    <row r="47" spans="2:7" x14ac:dyDescent="0.25">
      <c r="B47" s="2">
        <v>38481</v>
      </c>
      <c r="C47" s="2" t="s">
        <v>219</v>
      </c>
      <c r="D47" s="2" t="s">
        <v>231</v>
      </c>
      <c r="E47" s="2">
        <v>59450</v>
      </c>
      <c r="F47" s="2">
        <v>108095</v>
      </c>
      <c r="G47" s="2">
        <f t="shared" si="0"/>
        <v>48645</v>
      </c>
    </row>
    <row r="48" spans="2:7" x14ac:dyDescent="0.25">
      <c r="B48" s="2">
        <v>38964</v>
      </c>
      <c r="C48" s="2" t="s">
        <v>219</v>
      </c>
      <c r="D48" s="2" t="s">
        <v>232</v>
      </c>
      <c r="E48" s="2">
        <v>67796</v>
      </c>
      <c r="F48" s="2">
        <v>86767</v>
      </c>
      <c r="G48" s="2">
        <f t="shared" si="0"/>
        <v>18971</v>
      </c>
    </row>
    <row r="49" spans="2:7" x14ac:dyDescent="0.25">
      <c r="B49" s="2">
        <v>38526</v>
      </c>
      <c r="C49" s="2" t="s">
        <v>219</v>
      </c>
      <c r="D49" s="2" t="s">
        <v>233</v>
      </c>
      <c r="E49" s="2">
        <v>53405</v>
      </c>
      <c r="F49" s="2">
        <v>73643</v>
      </c>
      <c r="G49" s="2">
        <f t="shared" si="0"/>
        <v>20238</v>
      </c>
    </row>
    <row r="50" spans="2:7" x14ac:dyDescent="0.25">
      <c r="B50" s="2">
        <v>38882</v>
      </c>
      <c r="C50" s="2" t="s">
        <v>219</v>
      </c>
      <c r="D50" s="2" t="s">
        <v>234</v>
      </c>
      <c r="E50" s="2">
        <v>54799</v>
      </c>
      <c r="F50" s="2">
        <v>80877</v>
      </c>
      <c r="G50" s="2">
        <f t="shared" si="0"/>
        <v>26078</v>
      </c>
    </row>
    <row r="51" spans="2:7" x14ac:dyDescent="0.25">
      <c r="B51" s="2">
        <v>38674</v>
      </c>
      <c r="C51" s="2" t="s">
        <v>219</v>
      </c>
      <c r="D51" s="2" t="s">
        <v>235</v>
      </c>
      <c r="E51" s="2">
        <v>44416</v>
      </c>
      <c r="F51" s="2">
        <v>88357</v>
      </c>
      <c r="G51" s="2">
        <f t="shared" si="0"/>
        <v>43941</v>
      </c>
    </row>
    <row r="52" spans="2:7" x14ac:dyDescent="0.25">
      <c r="B52" s="2">
        <v>38425</v>
      </c>
      <c r="C52" s="2" t="s">
        <v>219</v>
      </c>
      <c r="D52" s="2" t="s">
        <v>236</v>
      </c>
      <c r="E52" s="2">
        <v>31907</v>
      </c>
      <c r="F52" s="2">
        <v>54717</v>
      </c>
      <c r="G52" s="2">
        <f t="shared" si="0"/>
        <v>22810</v>
      </c>
    </row>
    <row r="53" spans="2:7" x14ac:dyDescent="0.25">
      <c r="B53" s="2">
        <v>38341</v>
      </c>
      <c r="C53" s="2" t="s">
        <v>219</v>
      </c>
      <c r="D53" s="2" t="s">
        <v>237</v>
      </c>
      <c r="E53" s="2">
        <v>38806</v>
      </c>
      <c r="F53" s="2">
        <v>63403</v>
      </c>
      <c r="G53" s="2">
        <f t="shared" si="0"/>
        <v>24597</v>
      </c>
    </row>
    <row r="54" spans="2:7" x14ac:dyDescent="0.25">
      <c r="B54" s="2">
        <v>38929</v>
      </c>
      <c r="C54" s="2" t="s">
        <v>219</v>
      </c>
      <c r="D54" s="2" t="s">
        <v>238</v>
      </c>
      <c r="E54" s="2">
        <v>40282</v>
      </c>
      <c r="F54" s="2">
        <v>53014</v>
      </c>
      <c r="G54" s="2">
        <f t="shared" si="0"/>
        <v>12732</v>
      </c>
    </row>
    <row r="55" spans="2:7" x14ac:dyDescent="0.25">
      <c r="B55" s="2">
        <v>38740</v>
      </c>
      <c r="C55" s="2" t="s">
        <v>219</v>
      </c>
      <c r="D55" s="2" t="s">
        <v>239</v>
      </c>
      <c r="E55" s="2">
        <v>38595</v>
      </c>
      <c r="F55" s="2">
        <v>69474</v>
      </c>
      <c r="G55" s="2">
        <f t="shared" si="0"/>
        <v>30879</v>
      </c>
    </row>
    <row r="56" spans="2:7" x14ac:dyDescent="0.25">
      <c r="B56" s="2">
        <v>38182</v>
      </c>
      <c r="C56" s="2" t="s">
        <v>219</v>
      </c>
      <c r="D56" s="2" t="s">
        <v>240</v>
      </c>
      <c r="E56" s="2">
        <v>121309</v>
      </c>
      <c r="F56" s="2">
        <v>221971</v>
      </c>
      <c r="G56" s="2">
        <f t="shared" si="0"/>
        <v>100662</v>
      </c>
    </row>
    <row r="57" spans="2:7" x14ac:dyDescent="0.25">
      <c r="B57" s="2">
        <v>38434</v>
      </c>
      <c r="C57" s="2" t="s">
        <v>219</v>
      </c>
      <c r="D57" s="2" t="s">
        <v>241</v>
      </c>
      <c r="E57" s="2">
        <v>141534</v>
      </c>
      <c r="F57" s="2">
        <v>178144</v>
      </c>
      <c r="G57" s="2">
        <f t="shared" si="0"/>
        <v>36610</v>
      </c>
    </row>
    <row r="58" spans="2:7" x14ac:dyDescent="0.25">
      <c r="B58" s="2">
        <v>38611</v>
      </c>
      <c r="C58" s="2" t="s">
        <v>219</v>
      </c>
      <c r="D58" s="2" t="s">
        <v>242</v>
      </c>
      <c r="E58" s="2">
        <v>97111</v>
      </c>
      <c r="F58" s="2">
        <v>171981</v>
      </c>
      <c r="G58" s="2">
        <f t="shared" si="0"/>
        <v>74870</v>
      </c>
    </row>
    <row r="59" spans="2:7" x14ac:dyDescent="0.25">
      <c r="B59" s="2">
        <v>38356</v>
      </c>
      <c r="C59" s="2" t="s">
        <v>219</v>
      </c>
      <c r="D59" s="2" t="s">
        <v>243</v>
      </c>
      <c r="E59" s="2">
        <v>73084</v>
      </c>
      <c r="F59" s="2">
        <v>86863</v>
      </c>
      <c r="G59" s="2">
        <f t="shared" si="0"/>
        <v>13779</v>
      </c>
    </row>
    <row r="60" spans="2:7" x14ac:dyDescent="0.25">
      <c r="B60" s="2">
        <v>38946</v>
      </c>
      <c r="C60" s="2" t="s">
        <v>219</v>
      </c>
      <c r="D60" s="2" t="s">
        <v>244</v>
      </c>
      <c r="E60" s="2">
        <v>92973</v>
      </c>
      <c r="F60" s="2">
        <v>130684</v>
      </c>
      <c r="G60" s="2">
        <f t="shared" si="0"/>
        <v>37711</v>
      </c>
    </row>
    <row r="61" spans="2:7" x14ac:dyDescent="0.25">
      <c r="B61" s="2">
        <v>38866</v>
      </c>
      <c r="C61" s="2" t="s">
        <v>245</v>
      </c>
      <c r="D61" s="2" t="s">
        <v>246</v>
      </c>
      <c r="E61" s="2">
        <v>58114</v>
      </c>
      <c r="F61" s="2">
        <v>73878</v>
      </c>
      <c r="G61" s="2">
        <f t="shared" si="0"/>
        <v>15764</v>
      </c>
    </row>
    <row r="62" spans="2:7" x14ac:dyDescent="0.25">
      <c r="B62" s="2">
        <v>38335</v>
      </c>
      <c r="C62" s="2" t="s">
        <v>245</v>
      </c>
      <c r="D62" s="2" t="s">
        <v>247</v>
      </c>
      <c r="E62" s="2">
        <v>65899</v>
      </c>
      <c r="F62" s="2">
        <v>95965</v>
      </c>
      <c r="G62" s="2">
        <f t="shared" si="0"/>
        <v>30066</v>
      </c>
    </row>
    <row r="63" spans="2:7" x14ac:dyDescent="0.25">
      <c r="B63" s="2">
        <v>38910</v>
      </c>
      <c r="C63" s="2" t="s">
        <v>245</v>
      </c>
      <c r="D63" s="2" t="s">
        <v>248</v>
      </c>
      <c r="E63" s="2">
        <v>64589</v>
      </c>
      <c r="F63" s="2">
        <v>118561</v>
      </c>
      <c r="G63" s="2">
        <f t="shared" si="0"/>
        <v>53972</v>
      </c>
    </row>
    <row r="64" spans="2:7" x14ac:dyDescent="0.25">
      <c r="B64" s="2">
        <v>38964</v>
      </c>
      <c r="C64" s="2" t="s">
        <v>245</v>
      </c>
      <c r="D64" s="2" t="s">
        <v>249</v>
      </c>
      <c r="E64" s="2">
        <v>79166</v>
      </c>
      <c r="F64" s="2">
        <v>121807</v>
      </c>
      <c r="G64" s="2">
        <f t="shared" si="0"/>
        <v>42641</v>
      </c>
    </row>
    <row r="65" spans="2:7" x14ac:dyDescent="0.25">
      <c r="B65" s="2">
        <v>37706</v>
      </c>
      <c r="C65" s="2" t="s">
        <v>245</v>
      </c>
      <c r="D65" s="2" t="s">
        <v>250</v>
      </c>
      <c r="E65" s="2">
        <v>30738</v>
      </c>
      <c r="F65" s="2">
        <v>43523</v>
      </c>
      <c r="G65" s="2">
        <f t="shared" si="0"/>
        <v>12785</v>
      </c>
    </row>
    <row r="66" spans="2:7" x14ac:dyDescent="0.25">
      <c r="B66" s="2">
        <v>37943</v>
      </c>
      <c r="C66" s="2" t="s">
        <v>245</v>
      </c>
      <c r="D66" s="2" t="s">
        <v>251</v>
      </c>
      <c r="E66" s="2">
        <v>32651</v>
      </c>
      <c r="F66" s="2">
        <v>48353</v>
      </c>
      <c r="G66" s="2">
        <f t="shared" si="0"/>
        <v>15702</v>
      </c>
    </row>
    <row r="67" spans="2:7" x14ac:dyDescent="0.25">
      <c r="B67" s="2">
        <v>38232</v>
      </c>
      <c r="C67" s="2" t="s">
        <v>245</v>
      </c>
      <c r="D67" s="2" t="s">
        <v>252</v>
      </c>
      <c r="E67" s="2">
        <v>35605</v>
      </c>
      <c r="F67" s="2">
        <v>58185</v>
      </c>
      <c r="G67" s="2">
        <f t="shared" si="0"/>
        <v>22580</v>
      </c>
    </row>
    <row r="68" spans="2:7" x14ac:dyDescent="0.25">
      <c r="B68" s="2">
        <v>38574</v>
      </c>
      <c r="C68" s="2" t="s">
        <v>245</v>
      </c>
      <c r="D68" s="2" t="s">
        <v>253</v>
      </c>
      <c r="E68" s="2">
        <v>33454</v>
      </c>
      <c r="F68" s="2">
        <v>46105</v>
      </c>
      <c r="G68" s="2">
        <f t="shared" si="0"/>
        <v>12651</v>
      </c>
    </row>
    <row r="69" spans="2:7" x14ac:dyDescent="0.25">
      <c r="B69" s="2">
        <v>38929</v>
      </c>
      <c r="C69" s="2" t="s">
        <v>245</v>
      </c>
      <c r="D69" s="2" t="s">
        <v>254</v>
      </c>
      <c r="E69" s="2">
        <v>32761</v>
      </c>
      <c r="F69" s="2">
        <v>59990</v>
      </c>
      <c r="G69" s="2">
        <f t="shared" si="0"/>
        <v>27229</v>
      </c>
    </row>
    <row r="70" spans="2:7" x14ac:dyDescent="0.25">
      <c r="B70" s="2">
        <v>37778</v>
      </c>
      <c r="C70" s="2" t="s">
        <v>245</v>
      </c>
      <c r="D70" s="2" t="s">
        <v>255</v>
      </c>
      <c r="E70" s="2">
        <v>43876</v>
      </c>
      <c r="F70" s="2">
        <v>85058</v>
      </c>
      <c r="G70" s="2">
        <f t="shared" si="0"/>
        <v>41182</v>
      </c>
    </row>
    <row r="71" spans="2:7" x14ac:dyDescent="0.25">
      <c r="B71" s="2">
        <v>38013</v>
      </c>
      <c r="C71" s="2" t="s">
        <v>245</v>
      </c>
      <c r="D71" s="2" t="s">
        <v>256</v>
      </c>
      <c r="E71" s="2">
        <v>46970</v>
      </c>
      <c r="F71" s="2">
        <v>81452</v>
      </c>
      <c r="G71" s="2">
        <f t="shared" si="0"/>
        <v>34482</v>
      </c>
    </row>
    <row r="72" spans="2:7" x14ac:dyDescent="0.25">
      <c r="B72" s="2">
        <v>38238</v>
      </c>
      <c r="C72" s="2" t="s">
        <v>245</v>
      </c>
      <c r="D72" s="2" t="s">
        <v>257</v>
      </c>
      <c r="E72" s="2">
        <v>47603</v>
      </c>
      <c r="F72" s="2">
        <v>90809</v>
      </c>
      <c r="G72" s="2">
        <f t="shared" si="0"/>
        <v>43206</v>
      </c>
    </row>
    <row r="73" spans="2:7" x14ac:dyDescent="0.25">
      <c r="B73" s="2">
        <v>38510</v>
      </c>
      <c r="C73" s="2" t="s">
        <v>245</v>
      </c>
      <c r="D73" s="2" t="s">
        <v>258</v>
      </c>
      <c r="E73" s="2">
        <v>43239</v>
      </c>
      <c r="F73" s="2">
        <v>64734</v>
      </c>
      <c r="G73" s="2">
        <f t="shared" ref="G73:G136" si="1">F73-E73</f>
        <v>21495</v>
      </c>
    </row>
    <row r="74" spans="2:7" x14ac:dyDescent="0.25">
      <c r="B74" s="2">
        <v>38734</v>
      </c>
      <c r="C74" s="2" t="s">
        <v>245</v>
      </c>
      <c r="D74" s="2" t="s">
        <v>259</v>
      </c>
      <c r="E74" s="2">
        <v>37511</v>
      </c>
      <c r="F74" s="2">
        <v>69771</v>
      </c>
      <c r="G74" s="2">
        <f t="shared" si="1"/>
        <v>32260</v>
      </c>
    </row>
    <row r="75" spans="2:7" x14ac:dyDescent="0.25">
      <c r="B75" s="2">
        <v>38010</v>
      </c>
      <c r="C75" s="2" t="s">
        <v>245</v>
      </c>
      <c r="D75" s="2" t="s">
        <v>260</v>
      </c>
      <c r="E75" s="2">
        <v>64947</v>
      </c>
      <c r="F75" s="2">
        <v>79255</v>
      </c>
      <c r="G75" s="2">
        <f t="shared" si="1"/>
        <v>14308</v>
      </c>
    </row>
    <row r="76" spans="2:7" x14ac:dyDescent="0.25">
      <c r="B76" s="2">
        <v>38539</v>
      </c>
      <c r="C76" s="2" t="s">
        <v>245</v>
      </c>
      <c r="D76" s="2" t="s">
        <v>261</v>
      </c>
      <c r="E76" s="2">
        <v>60686</v>
      </c>
      <c r="F76" s="2">
        <v>87826</v>
      </c>
      <c r="G76" s="2">
        <f t="shared" si="1"/>
        <v>27140</v>
      </c>
    </row>
    <row r="77" spans="2:7" x14ac:dyDescent="0.25">
      <c r="B77" s="2">
        <v>37778</v>
      </c>
      <c r="C77" s="2" t="s">
        <v>245</v>
      </c>
      <c r="D77" s="2" t="s">
        <v>262</v>
      </c>
      <c r="E77" s="2">
        <v>44710</v>
      </c>
      <c r="F77" s="2">
        <v>80325</v>
      </c>
      <c r="G77" s="2">
        <f t="shared" si="1"/>
        <v>35615</v>
      </c>
    </row>
    <row r="78" spans="2:7" x14ac:dyDescent="0.25">
      <c r="B78" s="2">
        <v>37638</v>
      </c>
      <c r="C78" s="2" t="s">
        <v>245</v>
      </c>
      <c r="D78" s="2" t="s">
        <v>263</v>
      </c>
      <c r="E78" s="2">
        <v>31154</v>
      </c>
      <c r="F78" s="2">
        <v>41311</v>
      </c>
      <c r="G78" s="2">
        <f t="shared" si="1"/>
        <v>10157</v>
      </c>
    </row>
    <row r="79" spans="2:7" x14ac:dyDescent="0.25">
      <c r="B79" s="2">
        <v>37882</v>
      </c>
      <c r="C79" s="2" t="s">
        <v>245</v>
      </c>
      <c r="D79" s="2" t="s">
        <v>264</v>
      </c>
      <c r="E79" s="2">
        <v>31321</v>
      </c>
      <c r="F79" s="2">
        <v>40986</v>
      </c>
      <c r="G79" s="2">
        <f t="shared" si="1"/>
        <v>9665</v>
      </c>
    </row>
    <row r="80" spans="2:7" x14ac:dyDescent="0.25">
      <c r="B80" s="2">
        <v>38168</v>
      </c>
      <c r="C80" s="2" t="s">
        <v>245</v>
      </c>
      <c r="D80" s="2" t="s">
        <v>265</v>
      </c>
      <c r="E80" s="2">
        <v>32785</v>
      </c>
      <c r="F80" s="2">
        <v>65082</v>
      </c>
      <c r="G80" s="2">
        <f t="shared" si="1"/>
        <v>32297</v>
      </c>
    </row>
    <row r="81" spans="2:7" x14ac:dyDescent="0.25">
      <c r="B81" s="2">
        <v>38499</v>
      </c>
      <c r="C81" s="2" t="s">
        <v>245</v>
      </c>
      <c r="D81" s="2" t="s">
        <v>266</v>
      </c>
      <c r="E81" s="2">
        <v>34190</v>
      </c>
      <c r="F81" s="2">
        <v>43404</v>
      </c>
      <c r="G81" s="2">
        <f t="shared" si="1"/>
        <v>9214</v>
      </c>
    </row>
    <row r="82" spans="2:7" x14ac:dyDescent="0.25">
      <c r="B82" s="2">
        <v>38775</v>
      </c>
      <c r="C82" s="2" t="s">
        <v>245</v>
      </c>
      <c r="D82" s="2" t="s">
        <v>267</v>
      </c>
      <c r="E82" s="2">
        <v>32691</v>
      </c>
      <c r="F82" s="2">
        <v>64487</v>
      </c>
      <c r="G82" s="2">
        <f t="shared" si="1"/>
        <v>31796</v>
      </c>
    </row>
    <row r="83" spans="2:7" x14ac:dyDescent="0.25">
      <c r="B83" s="2">
        <v>38762</v>
      </c>
      <c r="C83" s="2" t="s">
        <v>245</v>
      </c>
      <c r="D83" s="2" t="s">
        <v>268</v>
      </c>
      <c r="E83" s="2">
        <v>44745</v>
      </c>
      <c r="F83" s="2">
        <v>85893</v>
      </c>
      <c r="G83" s="2">
        <f t="shared" si="1"/>
        <v>41148</v>
      </c>
    </row>
    <row r="84" spans="2:7" x14ac:dyDescent="0.25">
      <c r="B84" s="2">
        <v>38467</v>
      </c>
      <c r="C84" s="2" t="s">
        <v>245</v>
      </c>
      <c r="D84" s="2" t="s">
        <v>269</v>
      </c>
      <c r="E84" s="2">
        <v>92208</v>
      </c>
      <c r="F84" s="2">
        <v>167334</v>
      </c>
      <c r="G84" s="2">
        <f t="shared" si="1"/>
        <v>75126</v>
      </c>
    </row>
    <row r="85" spans="2:7" x14ac:dyDescent="0.25">
      <c r="B85" s="2">
        <v>38321</v>
      </c>
      <c r="C85" s="2" t="s">
        <v>245</v>
      </c>
      <c r="D85" s="2" t="s">
        <v>270</v>
      </c>
      <c r="E85" s="2">
        <v>69437</v>
      </c>
      <c r="F85" s="2">
        <v>69748</v>
      </c>
      <c r="G85" s="2">
        <f t="shared" si="1"/>
        <v>311</v>
      </c>
    </row>
    <row r="86" spans="2:7" x14ac:dyDescent="0.25">
      <c r="B86" s="2">
        <v>38995</v>
      </c>
      <c r="C86" s="2" t="s">
        <v>245</v>
      </c>
      <c r="D86" s="2" t="s">
        <v>271</v>
      </c>
      <c r="E86" s="2">
        <v>77028</v>
      </c>
      <c r="F86" s="2">
        <v>105628</v>
      </c>
      <c r="G86" s="2">
        <f t="shared" si="1"/>
        <v>28600</v>
      </c>
    </row>
    <row r="87" spans="2:7" x14ac:dyDescent="0.25">
      <c r="B87" s="2">
        <v>37750</v>
      </c>
      <c r="C87" s="2" t="s">
        <v>245</v>
      </c>
      <c r="D87" s="2" t="s">
        <v>272</v>
      </c>
      <c r="E87" s="2">
        <v>65814</v>
      </c>
      <c r="F87" s="2">
        <v>67022</v>
      </c>
      <c r="G87" s="2">
        <f t="shared" si="1"/>
        <v>1208</v>
      </c>
    </row>
    <row r="88" spans="2:7" x14ac:dyDescent="0.25">
      <c r="B88" s="2">
        <v>37984</v>
      </c>
      <c r="C88" s="2" t="s">
        <v>245</v>
      </c>
      <c r="D88" s="2" t="s">
        <v>273</v>
      </c>
      <c r="E88" s="2">
        <v>66343</v>
      </c>
      <c r="F88" s="2">
        <v>102406</v>
      </c>
      <c r="G88" s="2">
        <f t="shared" si="1"/>
        <v>36063</v>
      </c>
    </row>
    <row r="89" spans="2:7" x14ac:dyDescent="0.25">
      <c r="B89" s="2">
        <v>38285</v>
      </c>
      <c r="C89" s="2" t="s">
        <v>274</v>
      </c>
      <c r="D89" s="2" t="s">
        <v>275</v>
      </c>
      <c r="E89" s="2">
        <v>66263</v>
      </c>
      <c r="F89" s="2">
        <v>124632</v>
      </c>
      <c r="G89" s="2">
        <f t="shared" si="1"/>
        <v>58369</v>
      </c>
    </row>
    <row r="90" spans="2:7" x14ac:dyDescent="0.25">
      <c r="B90" s="2">
        <v>38348</v>
      </c>
      <c r="C90" s="2" t="s">
        <v>274</v>
      </c>
      <c r="D90" s="2" t="s">
        <v>276</v>
      </c>
      <c r="E90" s="2">
        <v>66263</v>
      </c>
      <c r="F90" s="2">
        <v>68492</v>
      </c>
      <c r="G90" s="2">
        <f t="shared" si="1"/>
        <v>2229</v>
      </c>
    </row>
    <row r="91" spans="2:7" x14ac:dyDescent="0.25">
      <c r="B91" s="2">
        <v>38545</v>
      </c>
      <c r="C91" s="2" t="s">
        <v>274</v>
      </c>
      <c r="D91" s="2" t="s">
        <v>277</v>
      </c>
      <c r="E91" s="2">
        <v>62325</v>
      </c>
      <c r="F91" s="2">
        <v>99259</v>
      </c>
      <c r="G91" s="2">
        <f t="shared" si="1"/>
        <v>36934</v>
      </c>
    </row>
    <row r="92" spans="2:7" x14ac:dyDescent="0.25">
      <c r="B92" s="2">
        <v>38754</v>
      </c>
      <c r="C92" s="2" t="s">
        <v>274</v>
      </c>
      <c r="D92" s="2" t="s">
        <v>278</v>
      </c>
      <c r="E92" s="2">
        <v>53187</v>
      </c>
      <c r="F92" s="2">
        <v>58380</v>
      </c>
      <c r="G92" s="2">
        <f t="shared" si="1"/>
        <v>5193</v>
      </c>
    </row>
    <row r="93" spans="2:7" x14ac:dyDescent="0.25">
      <c r="B93" s="2">
        <v>38981</v>
      </c>
      <c r="C93" s="2" t="s">
        <v>274</v>
      </c>
      <c r="D93" s="2" t="s">
        <v>279</v>
      </c>
      <c r="E93" s="2">
        <v>52246</v>
      </c>
      <c r="F93" s="2">
        <v>80862</v>
      </c>
      <c r="G93" s="2">
        <f t="shared" si="1"/>
        <v>28616</v>
      </c>
    </row>
    <row r="94" spans="2:7" x14ac:dyDescent="0.25">
      <c r="B94" s="2">
        <v>38800</v>
      </c>
      <c r="C94" s="2" t="s">
        <v>274</v>
      </c>
      <c r="D94" s="2" t="s">
        <v>280</v>
      </c>
      <c r="E94" s="2">
        <v>79342</v>
      </c>
      <c r="F94" s="2">
        <v>142736</v>
      </c>
      <c r="G94" s="2">
        <f t="shared" si="1"/>
        <v>63394</v>
      </c>
    </row>
    <row r="95" spans="2:7" x14ac:dyDescent="0.25">
      <c r="B95" s="2">
        <v>38985</v>
      </c>
      <c r="C95" s="2" t="s">
        <v>274</v>
      </c>
      <c r="D95" s="2" t="s">
        <v>281</v>
      </c>
      <c r="E95" s="2">
        <v>78341</v>
      </c>
      <c r="F95" s="2">
        <v>123589</v>
      </c>
      <c r="G95" s="2">
        <f t="shared" si="1"/>
        <v>45248</v>
      </c>
    </row>
    <row r="96" spans="2:7" x14ac:dyDescent="0.25">
      <c r="B96" s="2">
        <v>37895</v>
      </c>
      <c r="C96" s="2" t="s">
        <v>274</v>
      </c>
      <c r="D96" s="2" t="s">
        <v>282</v>
      </c>
      <c r="E96" s="2">
        <v>30479</v>
      </c>
      <c r="F96" s="2">
        <v>50305</v>
      </c>
      <c r="G96" s="2">
        <f t="shared" si="1"/>
        <v>19826</v>
      </c>
    </row>
    <row r="97" spans="2:7" x14ac:dyDescent="0.25">
      <c r="B97" s="2">
        <v>38665</v>
      </c>
      <c r="C97" s="2" t="s">
        <v>274</v>
      </c>
      <c r="D97" s="2" t="s">
        <v>283</v>
      </c>
      <c r="E97" s="2">
        <v>34271</v>
      </c>
      <c r="F97" s="2">
        <v>42294</v>
      </c>
      <c r="G97" s="2">
        <f t="shared" si="1"/>
        <v>8023</v>
      </c>
    </row>
    <row r="98" spans="2:7" x14ac:dyDescent="0.25">
      <c r="B98" s="2">
        <v>37993</v>
      </c>
      <c r="C98" s="2" t="s">
        <v>274</v>
      </c>
      <c r="D98" s="2" t="s">
        <v>284</v>
      </c>
      <c r="E98" s="2">
        <v>48109</v>
      </c>
      <c r="F98" s="2">
        <v>71814</v>
      </c>
      <c r="G98" s="2">
        <f t="shared" si="1"/>
        <v>23705</v>
      </c>
    </row>
    <row r="99" spans="2:7" x14ac:dyDescent="0.25">
      <c r="B99" s="2">
        <v>38408</v>
      </c>
      <c r="C99" s="2" t="s">
        <v>274</v>
      </c>
      <c r="D99" s="2" t="s">
        <v>285</v>
      </c>
      <c r="E99" s="2">
        <v>43908</v>
      </c>
      <c r="F99" s="2">
        <v>75169</v>
      </c>
      <c r="G99" s="2">
        <f t="shared" si="1"/>
        <v>31261</v>
      </c>
    </row>
    <row r="100" spans="2:7" x14ac:dyDescent="0.25">
      <c r="B100" s="2">
        <v>38640</v>
      </c>
      <c r="C100" s="2" t="s">
        <v>274</v>
      </c>
      <c r="D100" s="2" t="s">
        <v>286</v>
      </c>
      <c r="E100" s="2">
        <v>43335</v>
      </c>
      <c r="F100" s="2">
        <v>79704</v>
      </c>
      <c r="G100" s="2">
        <f t="shared" si="1"/>
        <v>36369</v>
      </c>
    </row>
    <row r="101" spans="2:7" x14ac:dyDescent="0.25">
      <c r="B101" s="2">
        <v>38791</v>
      </c>
      <c r="C101" s="2" t="s">
        <v>274</v>
      </c>
      <c r="D101" s="2" t="s">
        <v>287</v>
      </c>
      <c r="E101" s="2">
        <v>38398</v>
      </c>
      <c r="F101" s="2">
        <v>66224</v>
      </c>
      <c r="G101" s="2">
        <f t="shared" si="1"/>
        <v>27826</v>
      </c>
    </row>
    <row r="102" spans="2:7" x14ac:dyDescent="0.25">
      <c r="B102" s="2">
        <v>38968</v>
      </c>
      <c r="C102" s="2" t="s">
        <v>274</v>
      </c>
      <c r="D102" s="2" t="s">
        <v>288</v>
      </c>
      <c r="E102" s="2">
        <v>41938</v>
      </c>
      <c r="F102" s="2">
        <v>67712</v>
      </c>
      <c r="G102" s="2">
        <f t="shared" si="1"/>
        <v>25774</v>
      </c>
    </row>
    <row r="103" spans="2:7" x14ac:dyDescent="0.25">
      <c r="B103" s="2">
        <v>37907</v>
      </c>
      <c r="C103" s="2" t="s">
        <v>274</v>
      </c>
      <c r="D103" s="2" t="s">
        <v>289</v>
      </c>
      <c r="E103" s="2">
        <v>73629</v>
      </c>
      <c r="F103" s="2">
        <v>81974</v>
      </c>
      <c r="G103" s="2">
        <f t="shared" si="1"/>
        <v>8345</v>
      </c>
    </row>
    <row r="104" spans="2:7" x14ac:dyDescent="0.25">
      <c r="B104" s="2">
        <v>38099</v>
      </c>
      <c r="C104" s="2" t="s">
        <v>274</v>
      </c>
      <c r="D104" s="2" t="s">
        <v>290</v>
      </c>
      <c r="E104" s="2">
        <v>64947</v>
      </c>
      <c r="F104" s="2">
        <v>89530</v>
      </c>
      <c r="G104" s="2">
        <f t="shared" si="1"/>
        <v>24583</v>
      </c>
    </row>
    <row r="105" spans="2:7" x14ac:dyDescent="0.25">
      <c r="B105" s="2">
        <v>38310</v>
      </c>
      <c r="C105" s="2" t="s">
        <v>274</v>
      </c>
      <c r="D105" s="2" t="s">
        <v>291</v>
      </c>
      <c r="E105" s="2">
        <v>62387</v>
      </c>
      <c r="F105" s="2">
        <v>92367</v>
      </c>
      <c r="G105" s="2">
        <f t="shared" si="1"/>
        <v>29980</v>
      </c>
    </row>
    <row r="106" spans="2:7" x14ac:dyDescent="0.25">
      <c r="B106" s="2">
        <v>38152</v>
      </c>
      <c r="C106" s="2" t="s">
        <v>274</v>
      </c>
      <c r="D106" s="2" t="s">
        <v>292</v>
      </c>
      <c r="E106" s="2">
        <v>52999</v>
      </c>
      <c r="F106" s="2">
        <v>68869</v>
      </c>
      <c r="G106" s="2">
        <f t="shared" si="1"/>
        <v>15870</v>
      </c>
    </row>
    <row r="107" spans="2:7" x14ac:dyDescent="0.25">
      <c r="B107" s="2">
        <v>38344</v>
      </c>
      <c r="C107" s="2" t="s">
        <v>274</v>
      </c>
      <c r="D107" s="2" t="s">
        <v>292</v>
      </c>
      <c r="E107" s="2">
        <v>54727</v>
      </c>
      <c r="F107" s="2">
        <v>108958</v>
      </c>
      <c r="G107" s="2">
        <f t="shared" si="1"/>
        <v>54231</v>
      </c>
    </row>
    <row r="108" spans="2:7" x14ac:dyDescent="0.25">
      <c r="B108" s="2">
        <v>38608</v>
      </c>
      <c r="C108" s="2" t="s">
        <v>274</v>
      </c>
      <c r="D108" s="2" t="s">
        <v>293</v>
      </c>
      <c r="E108" s="2">
        <v>46238</v>
      </c>
      <c r="F108" s="2">
        <v>92107</v>
      </c>
      <c r="G108" s="2">
        <f t="shared" si="1"/>
        <v>45869</v>
      </c>
    </row>
    <row r="109" spans="2:7" x14ac:dyDescent="0.25">
      <c r="B109" s="2">
        <v>39004</v>
      </c>
      <c r="C109" s="2" t="s">
        <v>274</v>
      </c>
      <c r="D109" s="2" t="s">
        <v>294</v>
      </c>
      <c r="E109" s="2">
        <v>47010</v>
      </c>
      <c r="F109" s="2">
        <v>62487</v>
      </c>
      <c r="G109" s="2">
        <f t="shared" si="1"/>
        <v>15477</v>
      </c>
    </row>
    <row r="110" spans="2:7" x14ac:dyDescent="0.25">
      <c r="B110" s="2">
        <v>39041</v>
      </c>
      <c r="C110" s="2" t="s">
        <v>274</v>
      </c>
      <c r="D110" s="2" t="s">
        <v>295</v>
      </c>
      <c r="E110" s="2">
        <v>55281</v>
      </c>
      <c r="F110" s="2">
        <v>57249</v>
      </c>
      <c r="G110" s="2">
        <f t="shared" si="1"/>
        <v>1968</v>
      </c>
    </row>
    <row r="111" spans="2:7" x14ac:dyDescent="0.25">
      <c r="B111" s="2">
        <v>38107</v>
      </c>
      <c r="C111" s="2" t="s">
        <v>274</v>
      </c>
      <c r="D111" s="2" t="s">
        <v>296</v>
      </c>
      <c r="E111" s="2">
        <v>46572</v>
      </c>
      <c r="F111" s="2">
        <v>71509</v>
      </c>
      <c r="G111" s="2">
        <f t="shared" si="1"/>
        <v>24937</v>
      </c>
    </row>
    <row r="112" spans="2:7" x14ac:dyDescent="0.25">
      <c r="B112" s="2">
        <v>38455</v>
      </c>
      <c r="C112" s="2" t="s">
        <v>274</v>
      </c>
      <c r="D112" s="2" t="s">
        <v>297</v>
      </c>
      <c r="E112" s="2">
        <v>40221</v>
      </c>
      <c r="F112" s="2">
        <v>58951</v>
      </c>
      <c r="G112" s="2">
        <f t="shared" si="1"/>
        <v>18730</v>
      </c>
    </row>
    <row r="113" spans="2:7" x14ac:dyDescent="0.25">
      <c r="B113" s="2">
        <v>37894</v>
      </c>
      <c r="C113" s="2" t="s">
        <v>274</v>
      </c>
      <c r="D113" s="2" t="s">
        <v>298</v>
      </c>
      <c r="E113" s="2">
        <v>36464</v>
      </c>
      <c r="F113" s="2">
        <v>49837</v>
      </c>
      <c r="G113" s="2">
        <f t="shared" si="1"/>
        <v>13373</v>
      </c>
    </row>
    <row r="114" spans="2:7" x14ac:dyDescent="0.25">
      <c r="B114" s="2">
        <v>38078</v>
      </c>
      <c r="C114" s="2" t="s">
        <v>274</v>
      </c>
      <c r="D114" s="2" t="s">
        <v>299</v>
      </c>
      <c r="E114" s="2">
        <v>34123</v>
      </c>
      <c r="F114" s="2">
        <v>52730</v>
      </c>
      <c r="G114" s="2">
        <f t="shared" si="1"/>
        <v>18607</v>
      </c>
    </row>
    <row r="115" spans="2:7" x14ac:dyDescent="0.25">
      <c r="B115" s="2">
        <v>38392</v>
      </c>
      <c r="C115" s="2" t="s">
        <v>274</v>
      </c>
      <c r="D115" s="2" t="s">
        <v>300</v>
      </c>
      <c r="E115" s="2">
        <v>40596</v>
      </c>
      <c r="F115" s="2">
        <v>76518</v>
      </c>
      <c r="G115" s="2">
        <f t="shared" si="1"/>
        <v>35922</v>
      </c>
    </row>
    <row r="116" spans="2:7" x14ac:dyDescent="0.25">
      <c r="B116" s="2">
        <v>38642</v>
      </c>
      <c r="C116" s="2" t="s">
        <v>274</v>
      </c>
      <c r="D116" s="2" t="s">
        <v>301</v>
      </c>
      <c r="E116" s="2">
        <v>43576</v>
      </c>
      <c r="F116" s="2">
        <v>70434</v>
      </c>
      <c r="G116" s="2">
        <f t="shared" si="1"/>
        <v>26858</v>
      </c>
    </row>
    <row r="117" spans="2:7" x14ac:dyDescent="0.25">
      <c r="B117" s="2">
        <v>39020</v>
      </c>
      <c r="C117" s="2" t="s">
        <v>274</v>
      </c>
      <c r="D117" s="2" t="s">
        <v>302</v>
      </c>
      <c r="E117" s="2">
        <v>39568</v>
      </c>
      <c r="F117" s="2">
        <v>60024</v>
      </c>
      <c r="G117" s="2">
        <f t="shared" si="1"/>
        <v>20456</v>
      </c>
    </row>
    <row r="118" spans="2:7" x14ac:dyDescent="0.25">
      <c r="B118" s="2">
        <v>38174</v>
      </c>
      <c r="C118" s="2" t="s">
        <v>274</v>
      </c>
      <c r="D118" s="2" t="s">
        <v>303</v>
      </c>
      <c r="E118" s="2">
        <v>138407</v>
      </c>
      <c r="F118" s="2">
        <v>169638</v>
      </c>
      <c r="G118" s="2">
        <f t="shared" si="1"/>
        <v>31231</v>
      </c>
    </row>
    <row r="119" spans="2:7" x14ac:dyDescent="0.25">
      <c r="B119" s="2">
        <v>38677</v>
      </c>
      <c r="C119" s="2" t="s">
        <v>274</v>
      </c>
      <c r="D119" s="2" t="s">
        <v>304</v>
      </c>
      <c r="E119" s="2">
        <v>99296</v>
      </c>
      <c r="F119" s="2">
        <v>130795</v>
      </c>
      <c r="G119" s="2">
        <f t="shared" si="1"/>
        <v>31499</v>
      </c>
    </row>
    <row r="120" spans="2:7" x14ac:dyDescent="0.25">
      <c r="B120" s="2">
        <v>38955</v>
      </c>
      <c r="C120" s="2" t="s">
        <v>274</v>
      </c>
      <c r="D120" s="2" t="s">
        <v>305</v>
      </c>
      <c r="E120" s="2">
        <v>119247</v>
      </c>
      <c r="F120" s="2">
        <v>150754</v>
      </c>
      <c r="G120" s="2">
        <f t="shared" si="1"/>
        <v>31507</v>
      </c>
    </row>
    <row r="121" spans="2:7" x14ac:dyDescent="0.25">
      <c r="B121" s="2">
        <v>38545</v>
      </c>
      <c r="C121" s="2" t="s">
        <v>274</v>
      </c>
      <c r="D121" s="2" t="s">
        <v>306</v>
      </c>
      <c r="E121" s="2">
        <v>90916</v>
      </c>
      <c r="F121" s="2">
        <v>118893</v>
      </c>
      <c r="G121" s="2">
        <f t="shared" si="1"/>
        <v>27977</v>
      </c>
    </row>
    <row r="122" spans="2:7" x14ac:dyDescent="0.25">
      <c r="B122" s="2">
        <v>38722</v>
      </c>
      <c r="C122" s="2" t="s">
        <v>274</v>
      </c>
      <c r="D122" s="2" t="s">
        <v>307</v>
      </c>
      <c r="E122" s="2">
        <v>80209</v>
      </c>
      <c r="F122" s="2">
        <v>113061</v>
      </c>
      <c r="G122" s="2">
        <f t="shared" si="1"/>
        <v>32852</v>
      </c>
    </row>
    <row r="123" spans="2:7" x14ac:dyDescent="0.25">
      <c r="B123" s="2">
        <v>38849</v>
      </c>
      <c r="C123" s="2" t="s">
        <v>274</v>
      </c>
      <c r="D123" s="2" t="s">
        <v>308</v>
      </c>
      <c r="E123" s="2">
        <v>80131</v>
      </c>
      <c r="F123" s="2">
        <v>99140</v>
      </c>
      <c r="G123" s="2">
        <f t="shared" si="1"/>
        <v>19009</v>
      </c>
    </row>
    <row r="124" spans="2:7" x14ac:dyDescent="0.25">
      <c r="B124" s="2">
        <v>38084</v>
      </c>
      <c r="C124" s="2" t="s">
        <v>274</v>
      </c>
      <c r="D124" s="2" t="s">
        <v>309</v>
      </c>
      <c r="E124" s="2">
        <v>80578</v>
      </c>
      <c r="F124" s="2">
        <v>113496</v>
      </c>
      <c r="G124" s="2">
        <f t="shared" si="1"/>
        <v>32918</v>
      </c>
    </row>
    <row r="125" spans="2:7" x14ac:dyDescent="0.25">
      <c r="B125" s="2">
        <v>38316</v>
      </c>
      <c r="C125" s="2" t="s">
        <v>274</v>
      </c>
      <c r="D125" s="2" t="s">
        <v>310</v>
      </c>
      <c r="E125" s="2">
        <v>93910</v>
      </c>
      <c r="F125" s="2">
        <v>183706</v>
      </c>
      <c r="G125" s="2">
        <f t="shared" si="1"/>
        <v>89796</v>
      </c>
    </row>
    <row r="126" spans="2:7" x14ac:dyDescent="0.25">
      <c r="B126" s="2">
        <v>38511</v>
      </c>
      <c r="C126" s="2" t="s">
        <v>274</v>
      </c>
      <c r="D126" s="2" t="s">
        <v>311</v>
      </c>
      <c r="E126" s="2">
        <v>83351</v>
      </c>
      <c r="F126" s="2">
        <v>110692</v>
      </c>
      <c r="G126" s="2">
        <f t="shared" si="1"/>
        <v>27341</v>
      </c>
    </row>
    <row r="127" spans="2:7" x14ac:dyDescent="0.25">
      <c r="B127" s="2">
        <v>38412</v>
      </c>
      <c r="C127" s="2" t="s">
        <v>312</v>
      </c>
      <c r="D127" s="2" t="s">
        <v>313</v>
      </c>
      <c r="E127" s="2">
        <v>89290</v>
      </c>
      <c r="F127" s="2">
        <v>129383</v>
      </c>
      <c r="G127" s="2">
        <f t="shared" si="1"/>
        <v>40093</v>
      </c>
    </row>
    <row r="128" spans="2:7" x14ac:dyDescent="0.25">
      <c r="B128" s="2">
        <v>38973</v>
      </c>
      <c r="C128" s="2" t="s">
        <v>312</v>
      </c>
      <c r="D128" s="2" t="s">
        <v>314</v>
      </c>
      <c r="E128" s="2">
        <v>87318</v>
      </c>
      <c r="F128" s="2">
        <v>153331</v>
      </c>
      <c r="G128" s="2">
        <f t="shared" si="1"/>
        <v>66013</v>
      </c>
    </row>
    <row r="129" spans="2:7" x14ac:dyDescent="0.25">
      <c r="B129" s="2">
        <v>38744</v>
      </c>
      <c r="C129" s="2" t="s">
        <v>312</v>
      </c>
      <c r="D129" s="2" t="s">
        <v>315</v>
      </c>
      <c r="E129" s="2">
        <v>55682</v>
      </c>
      <c r="F129" s="2">
        <v>83934</v>
      </c>
      <c r="G129" s="2">
        <f t="shared" si="1"/>
        <v>28252</v>
      </c>
    </row>
    <row r="130" spans="2:7" x14ac:dyDescent="0.25">
      <c r="B130" s="2">
        <v>38476</v>
      </c>
      <c r="C130" s="2" t="s">
        <v>312</v>
      </c>
      <c r="D130" s="2" t="s">
        <v>316</v>
      </c>
      <c r="E130" s="2">
        <v>66263</v>
      </c>
      <c r="F130" s="2">
        <v>116781</v>
      </c>
      <c r="G130" s="2">
        <f t="shared" si="1"/>
        <v>50518</v>
      </c>
    </row>
    <row r="131" spans="2:7" x14ac:dyDescent="0.25">
      <c r="B131" s="2">
        <v>38925</v>
      </c>
      <c r="C131" s="2" t="s">
        <v>312</v>
      </c>
      <c r="D131" s="2" t="s">
        <v>317</v>
      </c>
      <c r="E131" s="2">
        <v>57032</v>
      </c>
      <c r="F131" s="2">
        <v>78190</v>
      </c>
      <c r="G131" s="2">
        <f t="shared" si="1"/>
        <v>21158</v>
      </c>
    </row>
    <row r="132" spans="2:7" x14ac:dyDescent="0.25">
      <c r="B132" s="2">
        <v>38819</v>
      </c>
      <c r="C132" s="2" t="s">
        <v>312</v>
      </c>
      <c r="D132" s="2" t="s">
        <v>318</v>
      </c>
      <c r="E132" s="2">
        <v>86395</v>
      </c>
      <c r="F132" s="2">
        <v>100917</v>
      </c>
      <c r="G132" s="2">
        <f t="shared" si="1"/>
        <v>14522</v>
      </c>
    </row>
    <row r="133" spans="2:7" x14ac:dyDescent="0.25">
      <c r="B133" s="2">
        <v>38807</v>
      </c>
      <c r="C133" s="2" t="s">
        <v>312</v>
      </c>
      <c r="D133" s="2" t="s">
        <v>319</v>
      </c>
      <c r="E133" s="2">
        <v>36823</v>
      </c>
      <c r="F133" s="2">
        <v>72665</v>
      </c>
      <c r="G133" s="2">
        <f t="shared" si="1"/>
        <v>35842</v>
      </c>
    </row>
    <row r="134" spans="2:7" x14ac:dyDescent="0.25">
      <c r="B134" s="2">
        <v>38770</v>
      </c>
      <c r="C134" s="2" t="s">
        <v>312</v>
      </c>
      <c r="D134" s="2" t="s">
        <v>320</v>
      </c>
      <c r="E134" s="2">
        <v>54092</v>
      </c>
      <c r="F134" s="2">
        <v>73535</v>
      </c>
      <c r="G134" s="2">
        <f t="shared" si="1"/>
        <v>19443</v>
      </c>
    </row>
    <row r="135" spans="2:7" x14ac:dyDescent="0.25">
      <c r="B135" s="2">
        <v>38419</v>
      </c>
      <c r="C135" s="2" t="s">
        <v>312</v>
      </c>
      <c r="D135" s="2" t="s">
        <v>321</v>
      </c>
      <c r="E135" s="2">
        <v>41106</v>
      </c>
      <c r="F135" s="2">
        <v>43368</v>
      </c>
      <c r="G135" s="2">
        <f t="shared" si="1"/>
        <v>2262</v>
      </c>
    </row>
    <row r="136" spans="2:7" x14ac:dyDescent="0.25">
      <c r="B136" s="2">
        <v>38757</v>
      </c>
      <c r="C136" s="2" t="s">
        <v>312</v>
      </c>
      <c r="D136" s="2" t="s">
        <v>322</v>
      </c>
      <c r="E136" s="2">
        <v>41287</v>
      </c>
      <c r="F136" s="2">
        <v>68056</v>
      </c>
      <c r="G136" s="2">
        <f t="shared" si="1"/>
        <v>26769</v>
      </c>
    </row>
    <row r="137" spans="2:7" x14ac:dyDescent="0.25">
      <c r="B137" s="2">
        <v>38803</v>
      </c>
      <c r="C137" s="2" t="s">
        <v>312</v>
      </c>
      <c r="D137" s="2" t="s">
        <v>323</v>
      </c>
      <c r="E137" s="2">
        <v>42130</v>
      </c>
      <c r="F137" s="2">
        <v>62575</v>
      </c>
      <c r="G137" s="2">
        <f t="shared" ref="G137:G200" si="2">F137-E137</f>
        <v>20445</v>
      </c>
    </row>
    <row r="138" spans="2:7" x14ac:dyDescent="0.25">
      <c r="B138" s="2">
        <v>38327</v>
      </c>
      <c r="C138" s="2" t="s">
        <v>312</v>
      </c>
      <c r="D138" s="2" t="s">
        <v>324</v>
      </c>
      <c r="E138" s="2">
        <v>70289</v>
      </c>
      <c r="F138" s="2">
        <v>107239</v>
      </c>
      <c r="G138" s="2">
        <f t="shared" si="2"/>
        <v>36950</v>
      </c>
    </row>
    <row r="139" spans="2:7" x14ac:dyDescent="0.25">
      <c r="B139" s="2">
        <v>38497</v>
      </c>
      <c r="C139" s="2" t="s">
        <v>312</v>
      </c>
      <c r="D139" s="2" t="s">
        <v>325</v>
      </c>
      <c r="E139" s="2">
        <v>57313</v>
      </c>
      <c r="F139" s="2">
        <v>74131</v>
      </c>
      <c r="G139" s="2">
        <f t="shared" si="2"/>
        <v>16818</v>
      </c>
    </row>
    <row r="140" spans="2:7" x14ac:dyDescent="0.25">
      <c r="B140" s="2">
        <v>38575</v>
      </c>
      <c r="C140" s="2" t="s">
        <v>312</v>
      </c>
      <c r="D140" s="2" t="s">
        <v>326</v>
      </c>
      <c r="E140" s="2">
        <v>53516</v>
      </c>
      <c r="F140" s="2">
        <v>58965</v>
      </c>
      <c r="G140" s="2">
        <f t="shared" si="2"/>
        <v>5449</v>
      </c>
    </row>
    <row r="141" spans="2:7" x14ac:dyDescent="0.25">
      <c r="B141" s="2">
        <v>38870</v>
      </c>
      <c r="C141" s="2" t="s">
        <v>312</v>
      </c>
      <c r="D141" s="2" t="s">
        <v>327</v>
      </c>
      <c r="E141" s="2">
        <v>47809</v>
      </c>
      <c r="F141" s="2">
        <v>95035</v>
      </c>
      <c r="G141" s="2">
        <f t="shared" si="2"/>
        <v>47226</v>
      </c>
    </row>
    <row r="142" spans="2:7" x14ac:dyDescent="0.25">
      <c r="B142" s="2">
        <v>38329</v>
      </c>
      <c r="C142" s="2" t="s">
        <v>312</v>
      </c>
      <c r="D142" s="2" t="s">
        <v>328</v>
      </c>
      <c r="E142" s="2">
        <v>40768</v>
      </c>
      <c r="F142" s="2">
        <v>56355</v>
      </c>
      <c r="G142" s="2">
        <f t="shared" si="2"/>
        <v>15587</v>
      </c>
    </row>
    <row r="143" spans="2:7" x14ac:dyDescent="0.25">
      <c r="B143" s="2">
        <v>38826</v>
      </c>
      <c r="C143" s="2" t="s">
        <v>312</v>
      </c>
      <c r="D143" s="2" t="s">
        <v>329</v>
      </c>
      <c r="E143" s="2">
        <v>44416</v>
      </c>
      <c r="F143" s="2">
        <v>64325</v>
      </c>
      <c r="G143" s="2">
        <f t="shared" si="2"/>
        <v>19909</v>
      </c>
    </row>
    <row r="144" spans="2:7" x14ac:dyDescent="0.25">
      <c r="B144" s="2">
        <v>38464</v>
      </c>
      <c r="C144" s="2" t="s">
        <v>312</v>
      </c>
      <c r="D144" s="2" t="s">
        <v>330</v>
      </c>
      <c r="E144" s="2">
        <v>42859</v>
      </c>
      <c r="F144" s="2">
        <v>63606</v>
      </c>
      <c r="G144" s="2">
        <f t="shared" si="2"/>
        <v>20747</v>
      </c>
    </row>
    <row r="145" spans="2:7" x14ac:dyDescent="0.25">
      <c r="B145" s="2">
        <v>38727</v>
      </c>
      <c r="C145" s="2" t="s">
        <v>312</v>
      </c>
      <c r="D145" s="2" t="s">
        <v>331</v>
      </c>
      <c r="E145" s="2">
        <v>35744</v>
      </c>
      <c r="F145" s="2">
        <v>49477</v>
      </c>
      <c r="G145" s="2">
        <f t="shared" si="2"/>
        <v>13733</v>
      </c>
    </row>
    <row r="146" spans="2:7" x14ac:dyDescent="0.25">
      <c r="B146" s="2">
        <v>38919</v>
      </c>
      <c r="C146" s="2" t="s">
        <v>312</v>
      </c>
      <c r="D146" s="2" t="s">
        <v>332</v>
      </c>
      <c r="E146" s="2">
        <v>43665</v>
      </c>
      <c r="F146" s="2">
        <v>44542</v>
      </c>
      <c r="G146" s="2">
        <f t="shared" si="2"/>
        <v>877</v>
      </c>
    </row>
    <row r="147" spans="2:7" x14ac:dyDescent="0.25">
      <c r="B147" s="2">
        <v>38925</v>
      </c>
      <c r="C147" s="2" t="s">
        <v>312</v>
      </c>
      <c r="D147" s="2" t="s">
        <v>333</v>
      </c>
      <c r="E147" s="2">
        <v>147911</v>
      </c>
      <c r="F147" s="2">
        <v>261736</v>
      </c>
      <c r="G147" s="2">
        <f t="shared" si="2"/>
        <v>113825</v>
      </c>
    </row>
    <row r="148" spans="2:7" x14ac:dyDescent="0.25">
      <c r="B148" s="2">
        <v>38400</v>
      </c>
      <c r="C148" s="2" t="s">
        <v>312</v>
      </c>
      <c r="D148" s="2" t="s">
        <v>334</v>
      </c>
      <c r="E148" s="2">
        <v>154488</v>
      </c>
      <c r="F148" s="2">
        <v>217818</v>
      </c>
      <c r="G148" s="2">
        <f t="shared" si="2"/>
        <v>63330</v>
      </c>
    </row>
    <row r="149" spans="2:7" x14ac:dyDescent="0.25">
      <c r="B149" s="2">
        <v>38843</v>
      </c>
      <c r="C149" s="2" t="s">
        <v>312</v>
      </c>
      <c r="D149" s="2" t="s">
        <v>335</v>
      </c>
      <c r="E149" s="2">
        <v>83160</v>
      </c>
      <c r="F149" s="2">
        <v>121970</v>
      </c>
      <c r="G149" s="2">
        <f t="shared" si="2"/>
        <v>38810</v>
      </c>
    </row>
    <row r="150" spans="2:7" x14ac:dyDescent="0.25">
      <c r="B150" s="2">
        <v>39050</v>
      </c>
      <c r="C150" s="2" t="s">
        <v>312</v>
      </c>
      <c r="D150" s="2" t="s">
        <v>336</v>
      </c>
      <c r="E150" s="2">
        <v>70313</v>
      </c>
      <c r="F150" s="2">
        <v>87883</v>
      </c>
      <c r="G150" s="2">
        <f t="shared" si="2"/>
        <v>17570</v>
      </c>
    </row>
    <row r="151" spans="2:7" x14ac:dyDescent="0.25">
      <c r="B151" s="2">
        <v>39051</v>
      </c>
      <c r="C151" s="2" t="s">
        <v>312</v>
      </c>
      <c r="D151" s="2" t="s">
        <v>337</v>
      </c>
      <c r="E151" s="2">
        <v>88221</v>
      </c>
      <c r="F151" s="2">
        <v>168226</v>
      </c>
      <c r="G151" s="2">
        <f t="shared" si="2"/>
        <v>80005</v>
      </c>
    </row>
    <row r="152" spans="2:7" x14ac:dyDescent="0.25">
      <c r="B152" s="2">
        <v>38294</v>
      </c>
      <c r="C152" s="2" t="s">
        <v>312</v>
      </c>
      <c r="D152" s="2" t="s">
        <v>338</v>
      </c>
      <c r="E152" s="2">
        <v>73084</v>
      </c>
      <c r="F152" s="2">
        <v>133640</v>
      </c>
      <c r="G152" s="2">
        <f t="shared" si="2"/>
        <v>60556</v>
      </c>
    </row>
    <row r="153" spans="2:7" x14ac:dyDescent="0.25">
      <c r="B153" s="2">
        <v>38034</v>
      </c>
      <c r="C153" s="2" t="s">
        <v>339</v>
      </c>
      <c r="D153" s="2" t="s">
        <v>340</v>
      </c>
      <c r="E153" s="2">
        <v>76421</v>
      </c>
      <c r="F153" s="2">
        <v>141680</v>
      </c>
      <c r="G153" s="2">
        <f t="shared" si="2"/>
        <v>65259</v>
      </c>
    </row>
    <row r="154" spans="2:7" x14ac:dyDescent="0.25">
      <c r="B154" s="2">
        <v>38435</v>
      </c>
      <c r="C154" s="2" t="s">
        <v>339</v>
      </c>
      <c r="D154" s="2" t="s">
        <v>341</v>
      </c>
      <c r="E154" s="2">
        <v>89290</v>
      </c>
      <c r="F154" s="2">
        <v>115199</v>
      </c>
      <c r="G154" s="2">
        <f t="shared" si="2"/>
        <v>25909</v>
      </c>
    </row>
    <row r="155" spans="2:7" x14ac:dyDescent="0.25">
      <c r="B155" s="2">
        <v>38279</v>
      </c>
      <c r="C155" s="2" t="s">
        <v>339</v>
      </c>
      <c r="D155" s="2" t="s">
        <v>342</v>
      </c>
      <c r="E155" s="2">
        <v>66263</v>
      </c>
      <c r="F155" s="2">
        <v>111037</v>
      </c>
      <c r="G155" s="2">
        <f t="shared" si="2"/>
        <v>44774</v>
      </c>
    </row>
    <row r="156" spans="2:7" x14ac:dyDescent="0.25">
      <c r="B156" s="2">
        <v>38421</v>
      </c>
      <c r="C156" s="2" t="s">
        <v>339</v>
      </c>
      <c r="D156" s="2" t="s">
        <v>343</v>
      </c>
      <c r="E156" s="2">
        <v>53553</v>
      </c>
      <c r="F156" s="2">
        <v>79341</v>
      </c>
      <c r="G156" s="2">
        <f t="shared" si="2"/>
        <v>25788</v>
      </c>
    </row>
    <row r="157" spans="2:7" x14ac:dyDescent="0.25">
      <c r="B157" s="2">
        <v>38730</v>
      </c>
      <c r="C157" s="2" t="s">
        <v>339</v>
      </c>
      <c r="D157" s="2" t="s">
        <v>344</v>
      </c>
      <c r="E157" s="2">
        <v>51481</v>
      </c>
      <c r="F157" s="2">
        <v>74661</v>
      </c>
      <c r="G157" s="2">
        <f t="shared" si="2"/>
        <v>23180</v>
      </c>
    </row>
    <row r="158" spans="2:7" x14ac:dyDescent="0.25">
      <c r="B158" s="2">
        <v>38863</v>
      </c>
      <c r="C158" s="2" t="s">
        <v>339</v>
      </c>
      <c r="D158" s="2" t="s">
        <v>345</v>
      </c>
      <c r="E158" s="2">
        <v>52911</v>
      </c>
      <c r="F158" s="2">
        <v>85949</v>
      </c>
      <c r="G158" s="2">
        <f t="shared" si="2"/>
        <v>33038</v>
      </c>
    </row>
    <row r="159" spans="2:7" x14ac:dyDescent="0.25">
      <c r="B159" s="2">
        <v>39062</v>
      </c>
      <c r="C159" s="2" t="s">
        <v>339</v>
      </c>
      <c r="D159" s="2" t="s">
        <v>346</v>
      </c>
      <c r="E159" s="2">
        <v>57672</v>
      </c>
      <c r="F159" s="2">
        <v>111513</v>
      </c>
      <c r="G159" s="2">
        <f t="shared" si="2"/>
        <v>53841</v>
      </c>
    </row>
    <row r="160" spans="2:7" x14ac:dyDescent="0.25">
      <c r="B160" s="2">
        <v>38772</v>
      </c>
      <c r="C160" s="2" t="s">
        <v>339</v>
      </c>
      <c r="D160" s="2" t="s">
        <v>347</v>
      </c>
      <c r="E160" s="2">
        <v>79166</v>
      </c>
      <c r="F160" s="2">
        <v>148384</v>
      </c>
      <c r="G160" s="2">
        <f t="shared" si="2"/>
        <v>69218</v>
      </c>
    </row>
    <row r="161" spans="2:7" x14ac:dyDescent="0.25">
      <c r="B161" s="2">
        <v>39027</v>
      </c>
      <c r="C161" s="2" t="s">
        <v>339</v>
      </c>
      <c r="D161" s="2" t="s">
        <v>348</v>
      </c>
      <c r="E161" s="2">
        <v>93316</v>
      </c>
      <c r="F161" s="2">
        <v>142944</v>
      </c>
      <c r="G161" s="2">
        <f t="shared" si="2"/>
        <v>49628</v>
      </c>
    </row>
    <row r="162" spans="2:7" x14ac:dyDescent="0.25">
      <c r="B162" s="2">
        <v>38434</v>
      </c>
      <c r="C162" s="2" t="s">
        <v>339</v>
      </c>
      <c r="D162" s="2" t="s">
        <v>349</v>
      </c>
      <c r="E162" s="2">
        <v>32460</v>
      </c>
      <c r="F162" s="2">
        <v>63018</v>
      </c>
      <c r="G162" s="2">
        <f t="shared" si="2"/>
        <v>30558</v>
      </c>
    </row>
    <row r="163" spans="2:7" x14ac:dyDescent="0.25">
      <c r="B163" s="2">
        <v>39051</v>
      </c>
      <c r="C163" s="2" t="s">
        <v>339</v>
      </c>
      <c r="D163" s="2" t="s">
        <v>350</v>
      </c>
      <c r="E163" s="2">
        <v>29837</v>
      </c>
      <c r="F163" s="2">
        <v>45997</v>
      </c>
      <c r="G163" s="2">
        <f t="shared" si="2"/>
        <v>16160</v>
      </c>
    </row>
    <row r="164" spans="2:7" x14ac:dyDescent="0.25">
      <c r="B164" s="2">
        <v>38021</v>
      </c>
      <c r="C164" s="2" t="s">
        <v>339</v>
      </c>
      <c r="D164" s="2" t="s">
        <v>351</v>
      </c>
      <c r="E164" s="2">
        <v>42343</v>
      </c>
      <c r="F164" s="2">
        <v>71766</v>
      </c>
      <c r="G164" s="2">
        <f t="shared" si="2"/>
        <v>29423</v>
      </c>
    </row>
    <row r="165" spans="2:7" x14ac:dyDescent="0.25">
      <c r="B165" s="2">
        <v>38385</v>
      </c>
      <c r="C165" s="2" t="s">
        <v>339</v>
      </c>
      <c r="D165" s="2" t="s">
        <v>352</v>
      </c>
      <c r="E165" s="2">
        <v>49465</v>
      </c>
      <c r="F165" s="2">
        <v>94833</v>
      </c>
      <c r="G165" s="2">
        <f t="shared" si="2"/>
        <v>45368</v>
      </c>
    </row>
    <row r="166" spans="2:7" x14ac:dyDescent="0.25">
      <c r="B166" s="2">
        <v>38489</v>
      </c>
      <c r="C166" s="2" t="s">
        <v>339</v>
      </c>
      <c r="D166" s="2" t="s">
        <v>353</v>
      </c>
      <c r="E166" s="2">
        <v>45037</v>
      </c>
      <c r="F166" s="2">
        <v>64232</v>
      </c>
      <c r="G166" s="2">
        <f t="shared" si="2"/>
        <v>19195</v>
      </c>
    </row>
    <row r="167" spans="2:7" x14ac:dyDescent="0.25">
      <c r="B167" s="2">
        <v>38791</v>
      </c>
      <c r="C167" s="2" t="s">
        <v>339</v>
      </c>
      <c r="D167" s="2" t="s">
        <v>354</v>
      </c>
      <c r="E167" s="2">
        <v>49637</v>
      </c>
      <c r="F167" s="2">
        <v>66093</v>
      </c>
      <c r="G167" s="2">
        <f t="shared" si="2"/>
        <v>16456</v>
      </c>
    </row>
    <row r="168" spans="2:7" x14ac:dyDescent="0.25">
      <c r="B168" s="2">
        <v>39091</v>
      </c>
      <c r="C168" s="2" t="s">
        <v>339</v>
      </c>
      <c r="D168" s="2" t="s">
        <v>355</v>
      </c>
      <c r="E168" s="2">
        <v>43665</v>
      </c>
      <c r="F168" s="2">
        <v>74977</v>
      </c>
      <c r="G168" s="2">
        <f t="shared" si="2"/>
        <v>31312</v>
      </c>
    </row>
    <row r="169" spans="2:7" x14ac:dyDescent="0.25">
      <c r="B169" s="2">
        <v>37992</v>
      </c>
      <c r="C169" s="2" t="s">
        <v>339</v>
      </c>
      <c r="D169" s="2" t="s">
        <v>356</v>
      </c>
      <c r="E169" s="2">
        <v>64839</v>
      </c>
      <c r="F169" s="2">
        <v>64983</v>
      </c>
      <c r="G169" s="2">
        <f t="shared" si="2"/>
        <v>144</v>
      </c>
    </row>
    <row r="170" spans="2:7" x14ac:dyDescent="0.25">
      <c r="B170" s="2">
        <v>38435</v>
      </c>
      <c r="C170" s="2" t="s">
        <v>339</v>
      </c>
      <c r="D170" s="2" t="s">
        <v>357</v>
      </c>
      <c r="E170" s="2">
        <v>47030</v>
      </c>
      <c r="F170" s="2">
        <v>55096</v>
      </c>
      <c r="G170" s="2">
        <f t="shared" si="2"/>
        <v>8066</v>
      </c>
    </row>
    <row r="171" spans="2:7" x14ac:dyDescent="0.25">
      <c r="B171" s="2">
        <v>38903</v>
      </c>
      <c r="C171" s="2" t="s">
        <v>339</v>
      </c>
      <c r="D171" s="2" t="s">
        <v>358</v>
      </c>
      <c r="E171" s="2">
        <v>47392</v>
      </c>
      <c r="F171" s="2">
        <v>94762</v>
      </c>
      <c r="G171" s="2">
        <f t="shared" si="2"/>
        <v>47370</v>
      </c>
    </row>
    <row r="172" spans="2:7" x14ac:dyDescent="0.25">
      <c r="B172" s="2">
        <v>38785</v>
      </c>
      <c r="C172" s="2" t="s">
        <v>339</v>
      </c>
      <c r="D172" s="2" t="s">
        <v>359</v>
      </c>
      <c r="E172" s="2">
        <v>44416</v>
      </c>
      <c r="F172" s="2">
        <v>66414</v>
      </c>
      <c r="G172" s="2">
        <f t="shared" si="2"/>
        <v>21998</v>
      </c>
    </row>
    <row r="173" spans="2:7" x14ac:dyDescent="0.25">
      <c r="B173" s="2">
        <v>38022</v>
      </c>
      <c r="C173" s="2" t="s">
        <v>339</v>
      </c>
      <c r="D173" s="2" t="s">
        <v>360</v>
      </c>
      <c r="E173" s="2">
        <v>30276</v>
      </c>
      <c r="F173" s="2">
        <v>53674</v>
      </c>
      <c r="G173" s="2">
        <f t="shared" si="2"/>
        <v>23398</v>
      </c>
    </row>
    <row r="174" spans="2:7" x14ac:dyDescent="0.25">
      <c r="B174" s="2">
        <v>38828</v>
      </c>
      <c r="C174" s="2" t="s">
        <v>339</v>
      </c>
      <c r="D174" s="2" t="s">
        <v>361</v>
      </c>
      <c r="E174" s="2">
        <v>34708</v>
      </c>
      <c r="F174" s="2">
        <v>65591</v>
      </c>
      <c r="G174" s="2">
        <f t="shared" si="2"/>
        <v>30883</v>
      </c>
    </row>
    <row r="175" spans="2:7" x14ac:dyDescent="0.25">
      <c r="B175" s="2">
        <v>38320</v>
      </c>
      <c r="C175" s="2" t="s">
        <v>339</v>
      </c>
      <c r="D175" s="2" t="s">
        <v>362</v>
      </c>
      <c r="E175" s="2">
        <v>35105</v>
      </c>
      <c r="F175" s="2">
        <v>62210</v>
      </c>
      <c r="G175" s="2">
        <f t="shared" si="2"/>
        <v>27105</v>
      </c>
    </row>
    <row r="176" spans="2:7" x14ac:dyDescent="0.25">
      <c r="B176" s="2">
        <v>38440</v>
      </c>
      <c r="C176" s="2" t="s">
        <v>339</v>
      </c>
      <c r="D176" s="2" t="s">
        <v>363</v>
      </c>
      <c r="E176" s="2">
        <v>40762</v>
      </c>
      <c r="F176" s="2">
        <v>60791</v>
      </c>
      <c r="G176" s="2">
        <f t="shared" si="2"/>
        <v>20029</v>
      </c>
    </row>
    <row r="177" spans="2:7" x14ac:dyDescent="0.25">
      <c r="B177" s="2">
        <v>38632</v>
      </c>
      <c r="C177" s="2" t="s">
        <v>339</v>
      </c>
      <c r="D177" s="2" t="s">
        <v>364</v>
      </c>
      <c r="E177" s="2">
        <v>35744</v>
      </c>
      <c r="F177" s="2">
        <v>45414</v>
      </c>
      <c r="G177" s="2">
        <f t="shared" si="2"/>
        <v>9670</v>
      </c>
    </row>
    <row r="178" spans="2:7" x14ac:dyDescent="0.25">
      <c r="B178" s="2">
        <v>39079</v>
      </c>
      <c r="C178" s="2" t="s">
        <v>339</v>
      </c>
      <c r="D178" s="2" t="s">
        <v>365</v>
      </c>
      <c r="E178" s="2">
        <v>34820</v>
      </c>
      <c r="F178" s="2">
        <v>36361</v>
      </c>
      <c r="G178" s="2">
        <f t="shared" si="2"/>
        <v>1541</v>
      </c>
    </row>
    <row r="179" spans="2:7" x14ac:dyDescent="0.25">
      <c r="B179" s="2">
        <v>39031</v>
      </c>
      <c r="C179" s="2" t="s">
        <v>339</v>
      </c>
      <c r="D179" s="2" t="s">
        <v>366</v>
      </c>
      <c r="E179" s="2">
        <v>48124</v>
      </c>
      <c r="F179" s="2">
        <v>84899</v>
      </c>
      <c r="G179" s="2">
        <f t="shared" si="2"/>
        <v>36775</v>
      </c>
    </row>
    <row r="180" spans="2:7" x14ac:dyDescent="0.25">
      <c r="B180" s="2">
        <v>38320</v>
      </c>
      <c r="C180" s="2" t="s">
        <v>339</v>
      </c>
      <c r="D180" s="2" t="s">
        <v>367</v>
      </c>
      <c r="E180" s="2">
        <v>78690</v>
      </c>
      <c r="F180" s="2">
        <v>137715</v>
      </c>
      <c r="G180" s="2">
        <f t="shared" si="2"/>
        <v>59025</v>
      </c>
    </row>
    <row r="181" spans="2:7" x14ac:dyDescent="0.25">
      <c r="B181" s="2">
        <v>38842</v>
      </c>
      <c r="C181" s="2" t="s">
        <v>339</v>
      </c>
      <c r="D181" s="2" t="s">
        <v>368</v>
      </c>
      <c r="E181" s="2">
        <v>80131</v>
      </c>
      <c r="F181" s="2">
        <v>148364</v>
      </c>
      <c r="G181" s="2">
        <f t="shared" si="2"/>
        <v>68233</v>
      </c>
    </row>
    <row r="182" spans="2:7" x14ac:dyDescent="0.25">
      <c r="B182" s="2">
        <v>39007</v>
      </c>
      <c r="C182" s="2" t="s">
        <v>339</v>
      </c>
      <c r="D182" s="2" t="s">
        <v>369</v>
      </c>
      <c r="E182" s="2">
        <v>86483</v>
      </c>
      <c r="F182" s="2">
        <v>145762</v>
      </c>
      <c r="G182" s="2">
        <f t="shared" si="2"/>
        <v>59279</v>
      </c>
    </row>
    <row r="183" spans="2:7" x14ac:dyDescent="0.25">
      <c r="B183" s="2">
        <v>38423</v>
      </c>
      <c r="C183" s="2" t="s">
        <v>339</v>
      </c>
      <c r="D183" s="2" t="s">
        <v>370</v>
      </c>
      <c r="E183" s="2">
        <v>62094</v>
      </c>
      <c r="F183" s="2">
        <v>111840</v>
      </c>
      <c r="G183" s="2">
        <f t="shared" si="2"/>
        <v>49746</v>
      </c>
    </row>
    <row r="184" spans="2:7" x14ac:dyDescent="0.25">
      <c r="B184" s="2">
        <v>38623</v>
      </c>
      <c r="C184" s="2" t="s">
        <v>339</v>
      </c>
      <c r="D184" s="2" t="s">
        <v>371</v>
      </c>
      <c r="E184" s="2">
        <v>78442</v>
      </c>
      <c r="F184" s="2">
        <v>143523</v>
      </c>
      <c r="G184" s="2">
        <f t="shared" si="2"/>
        <v>65081</v>
      </c>
    </row>
    <row r="185" spans="2:7" x14ac:dyDescent="0.25">
      <c r="B185" s="2">
        <v>38835</v>
      </c>
      <c r="C185" s="2" t="s">
        <v>339</v>
      </c>
      <c r="D185" s="2" t="s">
        <v>372</v>
      </c>
      <c r="E185" s="2">
        <v>66817</v>
      </c>
      <c r="F185" s="2">
        <v>113802</v>
      </c>
      <c r="G185" s="2">
        <f t="shared" si="2"/>
        <v>46985</v>
      </c>
    </row>
    <row r="186" spans="2:7" x14ac:dyDescent="0.25">
      <c r="B186" s="2">
        <v>38973</v>
      </c>
      <c r="C186" s="2" t="s">
        <v>373</v>
      </c>
      <c r="D186" s="2" t="s">
        <v>374</v>
      </c>
      <c r="E186" s="2">
        <v>90774</v>
      </c>
      <c r="F186" s="2">
        <v>137926</v>
      </c>
      <c r="G186" s="2">
        <f t="shared" si="2"/>
        <v>47152</v>
      </c>
    </row>
    <row r="187" spans="2:7" x14ac:dyDescent="0.25">
      <c r="B187" s="2">
        <v>38371</v>
      </c>
      <c r="C187" s="2" t="s">
        <v>373</v>
      </c>
      <c r="D187" s="2" t="s">
        <v>375</v>
      </c>
      <c r="E187" s="2">
        <v>66263</v>
      </c>
      <c r="F187" s="2">
        <v>70106</v>
      </c>
      <c r="G187" s="2">
        <f t="shared" si="2"/>
        <v>3843</v>
      </c>
    </row>
    <row r="188" spans="2:7" x14ac:dyDescent="0.25">
      <c r="B188" s="2">
        <v>38569</v>
      </c>
      <c r="C188" s="2" t="s">
        <v>373</v>
      </c>
      <c r="D188" s="2" t="s">
        <v>376</v>
      </c>
      <c r="E188" s="2">
        <v>53993</v>
      </c>
      <c r="F188" s="2">
        <v>94326</v>
      </c>
      <c r="G188" s="2">
        <f t="shared" si="2"/>
        <v>40333</v>
      </c>
    </row>
    <row r="189" spans="2:7" x14ac:dyDescent="0.25">
      <c r="B189" s="2">
        <v>38747</v>
      </c>
      <c r="C189" s="2" t="s">
        <v>373</v>
      </c>
      <c r="D189" s="2" t="s">
        <v>377</v>
      </c>
      <c r="E189" s="2">
        <v>49962</v>
      </c>
      <c r="F189" s="2">
        <v>76842</v>
      </c>
      <c r="G189" s="2">
        <f t="shared" si="2"/>
        <v>26880</v>
      </c>
    </row>
    <row r="190" spans="2:7" x14ac:dyDescent="0.25">
      <c r="B190" s="2">
        <v>38996</v>
      </c>
      <c r="C190" s="2" t="s">
        <v>373</v>
      </c>
      <c r="D190" s="2" t="s">
        <v>378</v>
      </c>
      <c r="E190" s="2">
        <v>55753</v>
      </c>
      <c r="F190" s="2">
        <v>90512</v>
      </c>
      <c r="G190" s="2">
        <f t="shared" si="2"/>
        <v>34759</v>
      </c>
    </row>
    <row r="191" spans="2:7" x14ac:dyDescent="0.25">
      <c r="B191" s="2">
        <v>38805</v>
      </c>
      <c r="C191" s="2" t="s">
        <v>373</v>
      </c>
      <c r="D191" s="2" t="s">
        <v>379</v>
      </c>
      <c r="E191" s="2">
        <v>57487</v>
      </c>
      <c r="F191" s="2">
        <v>59377</v>
      </c>
      <c r="G191" s="2">
        <f t="shared" si="2"/>
        <v>1890</v>
      </c>
    </row>
    <row r="192" spans="2:7" x14ac:dyDescent="0.25">
      <c r="B192" s="2">
        <v>38763</v>
      </c>
      <c r="C192" s="2" t="s">
        <v>373</v>
      </c>
      <c r="D192" s="2" t="s">
        <v>380</v>
      </c>
      <c r="E192" s="2">
        <v>79342</v>
      </c>
      <c r="F192" s="2">
        <v>103270</v>
      </c>
      <c r="G192" s="2">
        <f t="shared" si="2"/>
        <v>23928</v>
      </c>
    </row>
    <row r="193" spans="2:7" x14ac:dyDescent="0.25">
      <c r="B193" s="2">
        <v>38999</v>
      </c>
      <c r="C193" s="2" t="s">
        <v>373</v>
      </c>
      <c r="D193" s="2" t="s">
        <v>381</v>
      </c>
      <c r="E193" s="2">
        <v>88256</v>
      </c>
      <c r="F193" s="2">
        <v>174880</v>
      </c>
      <c r="G193" s="2">
        <f t="shared" si="2"/>
        <v>86624</v>
      </c>
    </row>
    <row r="194" spans="2:7" x14ac:dyDescent="0.25">
      <c r="B194" s="2">
        <v>38180</v>
      </c>
      <c r="C194" s="2" t="s">
        <v>373</v>
      </c>
      <c r="D194" s="2" t="s">
        <v>382</v>
      </c>
      <c r="E194" s="2">
        <v>31819</v>
      </c>
      <c r="F194" s="2">
        <v>49096</v>
      </c>
      <c r="G194" s="2">
        <f t="shared" si="2"/>
        <v>17277</v>
      </c>
    </row>
    <row r="195" spans="2:7" x14ac:dyDescent="0.25">
      <c r="B195" s="2">
        <v>38988</v>
      </c>
      <c r="C195" s="2" t="s">
        <v>373</v>
      </c>
      <c r="D195" s="2" t="s">
        <v>383</v>
      </c>
      <c r="E195" s="2">
        <v>45383</v>
      </c>
      <c r="F195" s="2">
        <v>85385</v>
      </c>
      <c r="G195" s="2">
        <f t="shared" si="2"/>
        <v>40002</v>
      </c>
    </row>
    <row r="196" spans="2:7" x14ac:dyDescent="0.25">
      <c r="B196" s="2">
        <v>38303</v>
      </c>
      <c r="C196" s="2" t="s">
        <v>373</v>
      </c>
      <c r="D196" s="2" t="s">
        <v>384</v>
      </c>
      <c r="E196" s="2">
        <v>41992</v>
      </c>
      <c r="F196" s="2">
        <v>62899</v>
      </c>
      <c r="G196" s="2">
        <f t="shared" si="2"/>
        <v>20907</v>
      </c>
    </row>
    <row r="197" spans="2:7" x14ac:dyDescent="0.25">
      <c r="B197" s="2">
        <v>38511</v>
      </c>
      <c r="C197" s="2" t="s">
        <v>373</v>
      </c>
      <c r="D197" s="2" t="s">
        <v>385</v>
      </c>
      <c r="E197" s="2">
        <v>39921</v>
      </c>
      <c r="F197" s="2">
        <v>62767</v>
      </c>
      <c r="G197" s="2">
        <f t="shared" si="2"/>
        <v>22846</v>
      </c>
    </row>
    <row r="198" spans="2:7" x14ac:dyDescent="0.25">
      <c r="B198" s="2">
        <v>38503</v>
      </c>
      <c r="C198" s="2" t="s">
        <v>373</v>
      </c>
      <c r="D198" s="2" t="s">
        <v>386</v>
      </c>
      <c r="E198" s="2">
        <v>39921</v>
      </c>
      <c r="F198" s="2">
        <v>65343</v>
      </c>
      <c r="G198" s="2">
        <f t="shared" si="2"/>
        <v>25422</v>
      </c>
    </row>
    <row r="199" spans="2:7" x14ac:dyDescent="0.25">
      <c r="B199" s="2">
        <v>38833</v>
      </c>
      <c r="C199" s="2" t="s">
        <v>373</v>
      </c>
      <c r="D199" s="2" t="s">
        <v>387</v>
      </c>
      <c r="E199" s="2">
        <v>41417</v>
      </c>
      <c r="F199" s="2">
        <v>78169</v>
      </c>
      <c r="G199" s="2">
        <f t="shared" si="2"/>
        <v>36752</v>
      </c>
    </row>
    <row r="200" spans="2:7" x14ac:dyDescent="0.25">
      <c r="B200" s="2">
        <v>38901</v>
      </c>
      <c r="C200" s="2" t="s">
        <v>373</v>
      </c>
      <c r="D200" s="2" t="s">
        <v>388</v>
      </c>
      <c r="E200" s="2">
        <v>41417</v>
      </c>
      <c r="F200" s="2">
        <v>58899</v>
      </c>
      <c r="G200" s="2">
        <f t="shared" si="2"/>
        <v>17482</v>
      </c>
    </row>
    <row r="201" spans="2:7" x14ac:dyDescent="0.25">
      <c r="B201" s="2">
        <v>38331</v>
      </c>
      <c r="C201" s="2" t="s">
        <v>373</v>
      </c>
      <c r="D201" s="2" t="s">
        <v>389</v>
      </c>
      <c r="E201" s="2">
        <v>53596</v>
      </c>
      <c r="F201" s="2">
        <v>71586</v>
      </c>
      <c r="G201" s="2">
        <f t="shared" ref="G201:G216" si="3">F201-E201</f>
        <v>17990</v>
      </c>
    </row>
    <row r="202" spans="2:7" x14ac:dyDescent="0.25">
      <c r="B202" s="2">
        <v>38553</v>
      </c>
      <c r="C202" s="2" t="s">
        <v>373</v>
      </c>
      <c r="D202" s="2" t="s">
        <v>390</v>
      </c>
      <c r="E202" s="2">
        <v>53621</v>
      </c>
      <c r="F202" s="2">
        <v>57256</v>
      </c>
      <c r="G202" s="2">
        <f t="shared" si="3"/>
        <v>3635</v>
      </c>
    </row>
    <row r="203" spans="2:7" x14ac:dyDescent="0.25">
      <c r="B203" s="2">
        <v>38869</v>
      </c>
      <c r="C203" s="2" t="s">
        <v>373</v>
      </c>
      <c r="D203" s="2" t="s">
        <v>391</v>
      </c>
      <c r="E203" s="2">
        <v>42546</v>
      </c>
      <c r="F203" s="2">
        <v>72580</v>
      </c>
      <c r="G203" s="2">
        <f t="shared" si="3"/>
        <v>30034</v>
      </c>
    </row>
    <row r="204" spans="2:7" x14ac:dyDescent="0.25">
      <c r="B204" s="2">
        <v>38314</v>
      </c>
      <c r="C204" s="2" t="s">
        <v>373</v>
      </c>
      <c r="D204" s="2" t="s">
        <v>392</v>
      </c>
      <c r="E204" s="2">
        <v>32943</v>
      </c>
      <c r="F204" s="2">
        <v>48940</v>
      </c>
      <c r="G204" s="2">
        <f t="shared" si="3"/>
        <v>15997</v>
      </c>
    </row>
    <row r="205" spans="2:7" x14ac:dyDescent="0.25">
      <c r="B205" s="2">
        <v>38540</v>
      </c>
      <c r="C205" s="2" t="s">
        <v>373</v>
      </c>
      <c r="D205" s="2" t="s">
        <v>393</v>
      </c>
      <c r="E205" s="2">
        <v>31285</v>
      </c>
      <c r="F205" s="2">
        <v>41954</v>
      </c>
      <c r="G205" s="2">
        <f t="shared" si="3"/>
        <v>10669</v>
      </c>
    </row>
    <row r="206" spans="2:7" x14ac:dyDescent="0.25">
      <c r="B206" s="2">
        <v>38517</v>
      </c>
      <c r="C206" s="2" t="s">
        <v>373</v>
      </c>
      <c r="D206" s="2" t="s">
        <v>394</v>
      </c>
      <c r="E206" s="2">
        <v>36266</v>
      </c>
      <c r="F206" s="2">
        <v>54843</v>
      </c>
      <c r="G206" s="2">
        <f t="shared" si="3"/>
        <v>18577</v>
      </c>
    </row>
    <row r="207" spans="2:7" x14ac:dyDescent="0.25">
      <c r="B207" s="2">
        <v>38818</v>
      </c>
      <c r="C207" s="2" t="s">
        <v>373</v>
      </c>
      <c r="D207" s="2" t="s">
        <v>395</v>
      </c>
      <c r="E207" s="2">
        <v>30336</v>
      </c>
      <c r="F207" s="2">
        <v>60259</v>
      </c>
      <c r="G207" s="2">
        <f t="shared" si="3"/>
        <v>29923</v>
      </c>
    </row>
    <row r="208" spans="2:7" x14ac:dyDescent="0.25">
      <c r="B208" s="2">
        <v>38982</v>
      </c>
      <c r="C208" s="2" t="s">
        <v>373</v>
      </c>
      <c r="D208" s="2" t="s">
        <v>396</v>
      </c>
      <c r="E208" s="2">
        <v>35252</v>
      </c>
      <c r="F208" s="2">
        <v>48398</v>
      </c>
      <c r="G208" s="2">
        <f t="shared" si="3"/>
        <v>13146</v>
      </c>
    </row>
    <row r="209" spans="2:7" x14ac:dyDescent="0.25">
      <c r="B209" s="2">
        <v>39095</v>
      </c>
      <c r="C209" s="2" t="s">
        <v>373</v>
      </c>
      <c r="D209" s="2" t="s">
        <v>397</v>
      </c>
      <c r="E209" s="2">
        <v>36063</v>
      </c>
      <c r="F209" s="2">
        <v>57355</v>
      </c>
      <c r="G209" s="2">
        <f t="shared" si="3"/>
        <v>21292</v>
      </c>
    </row>
    <row r="210" spans="2:7" x14ac:dyDescent="0.25">
      <c r="B210" s="2">
        <v>39021</v>
      </c>
      <c r="C210" s="2" t="s">
        <v>373</v>
      </c>
      <c r="D210" s="2" t="s">
        <v>398</v>
      </c>
      <c r="E210" s="2">
        <v>64221</v>
      </c>
      <c r="F210" s="2">
        <v>71507</v>
      </c>
      <c r="G210" s="2">
        <f t="shared" si="3"/>
        <v>7286</v>
      </c>
    </row>
    <row r="211" spans="2:7" x14ac:dyDescent="0.25">
      <c r="B211" s="2">
        <v>38510</v>
      </c>
      <c r="C211" s="2" t="s">
        <v>373</v>
      </c>
      <c r="D211" s="2" t="s">
        <v>399</v>
      </c>
      <c r="E211" s="2">
        <v>92370</v>
      </c>
      <c r="F211" s="2">
        <v>127409</v>
      </c>
      <c r="G211" s="2">
        <f t="shared" si="3"/>
        <v>35039</v>
      </c>
    </row>
    <row r="212" spans="2:7" x14ac:dyDescent="0.25">
      <c r="B212" s="2">
        <v>38621</v>
      </c>
      <c r="C212" s="2" t="s">
        <v>373</v>
      </c>
      <c r="D212" s="2" t="s">
        <v>400</v>
      </c>
      <c r="E212" s="2">
        <v>95329</v>
      </c>
      <c r="F212" s="2">
        <v>159671</v>
      </c>
      <c r="G212" s="2">
        <f t="shared" si="3"/>
        <v>64342</v>
      </c>
    </row>
    <row r="213" spans="2:7" x14ac:dyDescent="0.25">
      <c r="B213" s="2">
        <v>38435</v>
      </c>
      <c r="C213" s="2" t="s">
        <v>373</v>
      </c>
      <c r="D213" s="2" t="s">
        <v>401</v>
      </c>
      <c r="E213" s="2">
        <v>79823</v>
      </c>
      <c r="F213" s="2">
        <v>103890</v>
      </c>
      <c r="G213" s="2">
        <f t="shared" si="3"/>
        <v>24067</v>
      </c>
    </row>
    <row r="214" spans="2:7" x14ac:dyDescent="0.25">
      <c r="B214" s="2">
        <v>38894</v>
      </c>
      <c r="C214" s="2" t="s">
        <v>373</v>
      </c>
      <c r="D214" s="2" t="s">
        <v>402</v>
      </c>
      <c r="E214" s="2">
        <v>90931</v>
      </c>
      <c r="F214" s="2">
        <v>144985</v>
      </c>
      <c r="G214" s="2">
        <f t="shared" si="3"/>
        <v>54054</v>
      </c>
    </row>
    <row r="215" spans="2:7" x14ac:dyDescent="0.25">
      <c r="B215" s="2">
        <v>38845</v>
      </c>
      <c r="C215" s="2" t="s">
        <v>373</v>
      </c>
      <c r="D215" s="2" t="s">
        <v>403</v>
      </c>
      <c r="E215" s="2">
        <v>83066</v>
      </c>
      <c r="F215" s="2">
        <v>98282</v>
      </c>
      <c r="G215" s="2">
        <f t="shared" si="3"/>
        <v>15216</v>
      </c>
    </row>
    <row r="216" spans="2:7" x14ac:dyDescent="0.25">
      <c r="B216" s="2">
        <v>39023</v>
      </c>
      <c r="C216" s="2" t="s">
        <v>373</v>
      </c>
      <c r="D216" s="2" t="s">
        <v>404</v>
      </c>
      <c r="E216" s="2">
        <v>68270</v>
      </c>
      <c r="F216" s="2">
        <v>129638</v>
      </c>
      <c r="G216" s="2">
        <f t="shared" si="3"/>
        <v>61368</v>
      </c>
    </row>
  </sheetData>
  <pageMargins left="0.75" right="0.75" top="1" bottom="1" header="0.5" footer="0.5"/>
  <pageSetup paperSize="9" orientation="portrait" r:id="rId1"/>
  <headerFooter alignWithMargins="0">
    <oddFooter>&amp;Lã LabMasters.pl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2"/>
  <dimension ref="A1:I21"/>
  <sheetViews>
    <sheetView showGridLines="0" zoomScaleNormal="100" workbookViewId="0"/>
  </sheetViews>
  <sheetFormatPr defaultColWidth="9.109375" defaultRowHeight="13.2" x14ac:dyDescent="0.25"/>
  <cols>
    <col min="1" max="1" width="9.109375" style="2"/>
    <col min="2" max="2" width="16.33203125" style="2" customWidth="1"/>
    <col min="3" max="3" width="13.33203125" style="2" customWidth="1"/>
    <col min="4" max="6" width="9.109375" style="2"/>
    <col min="7" max="7" width="16.33203125" style="2" bestFit="1" customWidth="1"/>
    <col min="8" max="8" width="14" style="2" bestFit="1" customWidth="1"/>
    <col min="9" max="16384" width="9.109375" style="2"/>
  </cols>
  <sheetData>
    <row r="1" spans="1:9" s="28" customFormat="1" x14ac:dyDescent="0.25">
      <c r="A1" s="31"/>
    </row>
    <row r="2" spans="1:9" s="32" customFormat="1" ht="18.75" customHeight="1" x14ac:dyDescent="0.3">
      <c r="B2" s="33" t="s">
        <v>510</v>
      </c>
    </row>
    <row r="4" spans="1:9" x14ac:dyDescent="0.25">
      <c r="B4" s="20" t="s">
        <v>405</v>
      </c>
    </row>
    <row r="5" spans="1:9" x14ac:dyDescent="0.25">
      <c r="B5" s="2" t="s">
        <v>406</v>
      </c>
    </row>
    <row r="6" spans="1:9" x14ac:dyDescent="0.25">
      <c r="B6" s="2" t="s">
        <v>407</v>
      </c>
    </row>
    <row r="9" spans="1:9" x14ac:dyDescent="0.25">
      <c r="B9" s="10" t="s">
        <v>408</v>
      </c>
      <c r="G9" s="10" t="s">
        <v>409</v>
      </c>
    </row>
    <row r="10" spans="1:9" x14ac:dyDescent="0.25">
      <c r="B10" s="38" t="s">
        <v>410</v>
      </c>
      <c r="C10" s="38" t="s">
        <v>411</v>
      </c>
      <c r="D10" s="38" t="s">
        <v>412</v>
      </c>
      <c r="G10" s="38" t="s">
        <v>410</v>
      </c>
      <c r="H10" s="38" t="s">
        <v>411</v>
      </c>
      <c r="I10" s="38" t="s">
        <v>412</v>
      </c>
    </row>
    <row r="11" spans="1:9" x14ac:dyDescent="0.25">
      <c r="B11" s="35" t="s">
        <v>413</v>
      </c>
      <c r="C11" s="36">
        <v>58867</v>
      </c>
      <c r="D11" s="37" t="s">
        <v>414</v>
      </c>
      <c r="G11" s="35" t="s">
        <v>415</v>
      </c>
      <c r="H11" s="36">
        <v>100000</v>
      </c>
      <c r="I11" s="37" t="s">
        <v>416</v>
      </c>
    </row>
    <row r="12" spans="1:9" x14ac:dyDescent="0.25">
      <c r="B12" s="35" t="s">
        <v>417</v>
      </c>
      <c r="C12" s="36">
        <v>100000</v>
      </c>
      <c r="D12" s="37" t="s">
        <v>416</v>
      </c>
      <c r="G12" s="35" t="s">
        <v>418</v>
      </c>
      <c r="H12" s="36">
        <v>97000</v>
      </c>
      <c r="I12" s="37" t="s">
        <v>414</v>
      </c>
    </row>
    <row r="13" spans="1:9" x14ac:dyDescent="0.25">
      <c r="B13" s="35" t="s">
        <v>419</v>
      </c>
      <c r="C13" s="36">
        <v>100000</v>
      </c>
      <c r="D13" s="37" t="s">
        <v>416</v>
      </c>
      <c r="G13" s="35" t="s">
        <v>420</v>
      </c>
      <c r="H13" s="36">
        <v>94000</v>
      </c>
      <c r="I13" s="37" t="s">
        <v>421</v>
      </c>
    </row>
    <row r="14" spans="1:9" x14ac:dyDescent="0.25">
      <c r="B14" s="35" t="s">
        <v>422</v>
      </c>
      <c r="C14" s="36">
        <v>97000</v>
      </c>
      <c r="D14" s="37" t="s">
        <v>423</v>
      </c>
      <c r="G14" s="35" t="s">
        <v>424</v>
      </c>
      <c r="H14" s="36">
        <v>100000</v>
      </c>
      <c r="I14" s="37" t="s">
        <v>416</v>
      </c>
    </row>
    <row r="15" spans="1:9" x14ac:dyDescent="0.25">
      <c r="B15" s="35" t="s">
        <v>425</v>
      </c>
      <c r="C15" s="36">
        <v>99000</v>
      </c>
      <c r="D15" s="37" t="s">
        <v>414</v>
      </c>
      <c r="G15" s="35" t="s">
        <v>426</v>
      </c>
      <c r="H15" s="36">
        <v>70632</v>
      </c>
      <c r="I15" s="37" t="s">
        <v>423</v>
      </c>
    </row>
    <row r="16" spans="1:9" x14ac:dyDescent="0.25">
      <c r="B16" s="35" t="s">
        <v>427</v>
      </c>
      <c r="C16" s="36">
        <v>99000</v>
      </c>
      <c r="D16" s="37" t="s">
        <v>421</v>
      </c>
      <c r="G16" s="35" t="s">
        <v>428</v>
      </c>
      <c r="H16" s="36">
        <v>28748</v>
      </c>
      <c r="I16" s="37" t="s">
        <v>421</v>
      </c>
    </row>
    <row r="17" spans="2:9" x14ac:dyDescent="0.25">
      <c r="B17" s="35" t="s">
        <v>429</v>
      </c>
      <c r="C17" s="36">
        <v>96000</v>
      </c>
      <c r="D17" s="37" t="s">
        <v>414</v>
      </c>
      <c r="G17" s="35" t="s">
        <v>430</v>
      </c>
      <c r="H17" s="36">
        <v>94000</v>
      </c>
      <c r="I17" s="37" t="s">
        <v>421</v>
      </c>
    </row>
    <row r="18" spans="2:9" x14ac:dyDescent="0.25">
      <c r="B18" s="35" t="s">
        <v>431</v>
      </c>
      <c r="C18" s="36">
        <v>95000</v>
      </c>
      <c r="D18" s="37" t="s">
        <v>414</v>
      </c>
      <c r="G18" s="35" t="s">
        <v>432</v>
      </c>
      <c r="H18" s="36">
        <v>100000</v>
      </c>
      <c r="I18" s="37" t="s">
        <v>416</v>
      </c>
    </row>
    <row r="19" spans="2:9" x14ac:dyDescent="0.25">
      <c r="B19" s="35" t="s">
        <v>433</v>
      </c>
      <c r="C19" s="36">
        <v>98000</v>
      </c>
      <c r="D19" s="37" t="s">
        <v>423</v>
      </c>
      <c r="G19" s="35" t="s">
        <v>434</v>
      </c>
      <c r="H19" s="36">
        <v>94000</v>
      </c>
      <c r="I19" s="37" t="s">
        <v>423</v>
      </c>
    </row>
    <row r="20" spans="2:9" x14ac:dyDescent="0.25">
      <c r="B20" s="35" t="s">
        <v>435</v>
      </c>
      <c r="C20" s="36">
        <v>94000</v>
      </c>
      <c r="D20" s="37" t="s">
        <v>421</v>
      </c>
      <c r="G20" s="35" t="s">
        <v>436</v>
      </c>
      <c r="H20" s="36">
        <v>100000</v>
      </c>
      <c r="I20" s="37" t="s">
        <v>416</v>
      </c>
    </row>
    <row r="21" spans="2:9" x14ac:dyDescent="0.25">
      <c r="B21" s="35" t="s">
        <v>437</v>
      </c>
      <c r="C21" s="36">
        <v>70892</v>
      </c>
      <c r="D21" s="37" t="s">
        <v>414</v>
      </c>
    </row>
  </sheetData>
  <pageMargins left="0.75" right="0.75" top="1" bottom="1" header="0.5" footer="0.5"/>
  <pageSetup paperSize="9" scale="83" orientation="portrait" horizontalDpi="4294967293" r:id="rId1"/>
  <headerFooter alignWithMargins="0">
    <oddFooter>&amp;Lã LabMasters.pl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3"/>
  <dimension ref="A1:D16"/>
  <sheetViews>
    <sheetView showGridLines="0" zoomScaleNormal="100" workbookViewId="0"/>
  </sheetViews>
  <sheetFormatPr defaultColWidth="9.109375" defaultRowHeight="13.2" x14ac:dyDescent="0.25"/>
  <cols>
    <col min="1" max="1" width="9.109375" style="2"/>
    <col min="2" max="3" width="13.109375" style="2" customWidth="1"/>
    <col min="4" max="4" width="11.109375" style="2" bestFit="1" customWidth="1"/>
    <col min="5" max="16384" width="9.109375" style="2"/>
  </cols>
  <sheetData>
    <row r="1" spans="1:4" s="28" customFormat="1" x14ac:dyDescent="0.25">
      <c r="A1" s="31"/>
    </row>
    <row r="2" spans="1:4" s="32" customFormat="1" ht="18.75" customHeight="1" x14ac:dyDescent="0.3">
      <c r="B2" s="33" t="s">
        <v>509</v>
      </c>
    </row>
    <row r="4" spans="1:4" x14ac:dyDescent="0.25">
      <c r="B4" s="20" t="s">
        <v>438</v>
      </c>
    </row>
    <row r="5" spans="1:4" x14ac:dyDescent="0.25">
      <c r="B5" s="20" t="s">
        <v>439</v>
      </c>
    </row>
    <row r="6" spans="1:4" x14ac:dyDescent="0.25">
      <c r="B6" s="20" t="s">
        <v>440</v>
      </c>
    </row>
    <row r="7" spans="1:4" x14ac:dyDescent="0.25">
      <c r="B7" s="20"/>
    </row>
    <row r="8" spans="1:4" x14ac:dyDescent="0.25">
      <c r="B8" s="20"/>
    </row>
    <row r="9" spans="1:4" x14ac:dyDescent="0.25">
      <c r="B9" s="40" t="s">
        <v>441</v>
      </c>
      <c r="C9" s="41" t="s">
        <v>442</v>
      </c>
    </row>
    <row r="10" spans="1:4" x14ac:dyDescent="0.25">
      <c r="B10" s="40"/>
      <c r="C10" s="20" t="s">
        <v>443</v>
      </c>
    </row>
    <row r="11" spans="1:4" x14ac:dyDescent="0.25">
      <c r="B11" s="40"/>
    </row>
    <row r="12" spans="1:4" x14ac:dyDescent="0.25">
      <c r="B12" s="40" t="s">
        <v>444</v>
      </c>
      <c r="C12" s="59" t="s">
        <v>445</v>
      </c>
    </row>
    <row r="14" spans="1:4" x14ac:dyDescent="0.25">
      <c r="B14" s="42" t="s">
        <v>446</v>
      </c>
      <c r="C14" s="42" t="s">
        <v>444</v>
      </c>
      <c r="D14" s="42" t="s">
        <v>447</v>
      </c>
    </row>
    <row r="15" spans="1:4" x14ac:dyDescent="0.25">
      <c r="B15" s="28"/>
      <c r="C15" s="28"/>
      <c r="D15" s="28"/>
    </row>
    <row r="16" spans="1:4" x14ac:dyDescent="0.25">
      <c r="B16" s="28"/>
      <c r="C16" s="28"/>
      <c r="D16" s="28"/>
    </row>
  </sheetData>
  <conditionalFormatting sqref="C10">
    <cfRule type="expression" dxfId="2" priority="1">
      <formula>$C$9="NIE"</formula>
    </cfRule>
  </conditionalFormatting>
  <dataValidations count="2">
    <dataValidation type="list" allowBlank="1" showInputMessage="1" showErrorMessage="1" sqref="C12" xr:uid="{00000000-0002-0000-0300-000000000000}">
      <formula1>"Gdańsk,Warszawa,Wrocław"</formula1>
    </dataValidation>
    <dataValidation type="list" allowBlank="1" showInputMessage="1" showErrorMessage="1" sqref="C9" xr:uid="{00000000-0002-0000-0300-000001000000}">
      <formula1>"TAK,NIE"</formula1>
    </dataValidation>
  </dataValidations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4"/>
  <dimension ref="A1:D31"/>
  <sheetViews>
    <sheetView showGridLines="0" zoomScaleNormal="100" workbookViewId="0"/>
  </sheetViews>
  <sheetFormatPr defaultColWidth="9.109375" defaultRowHeight="13.2" x14ac:dyDescent="0.25"/>
  <cols>
    <col min="1" max="16384" width="9.109375" style="2"/>
  </cols>
  <sheetData>
    <row r="1" spans="1:4" s="28" customFormat="1" x14ac:dyDescent="0.25">
      <c r="A1" s="31"/>
    </row>
    <row r="2" spans="1:4" s="32" customFormat="1" ht="18.75" customHeight="1" x14ac:dyDescent="0.3">
      <c r="B2" s="33" t="s">
        <v>508</v>
      </c>
    </row>
    <row r="4" spans="1:4" x14ac:dyDescent="0.25">
      <c r="B4" s="20" t="s">
        <v>448</v>
      </c>
    </row>
    <row r="5" spans="1:4" x14ac:dyDescent="0.25">
      <c r="B5" s="20" t="s">
        <v>449</v>
      </c>
    </row>
    <row r="6" spans="1:4" x14ac:dyDescent="0.25">
      <c r="B6" s="20" t="s">
        <v>450</v>
      </c>
    </row>
    <row r="8" spans="1:4" x14ac:dyDescent="0.25">
      <c r="B8" s="10" t="s">
        <v>451</v>
      </c>
      <c r="D8" s="41" t="s">
        <v>442</v>
      </c>
    </row>
    <row r="9" spans="1:4" x14ac:dyDescent="0.25">
      <c r="B9" s="20" t="s">
        <v>452</v>
      </c>
    </row>
    <row r="10" spans="1:4" x14ac:dyDescent="0.25">
      <c r="B10" s="20" t="s">
        <v>453</v>
      </c>
    </row>
    <row r="11" spans="1:4" x14ac:dyDescent="0.25">
      <c r="B11" s="20" t="s">
        <v>454</v>
      </c>
    </row>
    <row r="12" spans="1:4" x14ac:dyDescent="0.25">
      <c r="B12" s="20" t="s">
        <v>455</v>
      </c>
    </row>
    <row r="13" spans="1:4" x14ac:dyDescent="0.25">
      <c r="B13" s="20" t="s">
        <v>456</v>
      </c>
    </row>
    <row r="14" spans="1:4" x14ac:dyDescent="0.25">
      <c r="B14" s="20"/>
    </row>
    <row r="15" spans="1:4" x14ac:dyDescent="0.25">
      <c r="B15" s="11" t="s">
        <v>457</v>
      </c>
    </row>
    <row r="16" spans="1:4" x14ac:dyDescent="0.25">
      <c r="A16" s="35"/>
      <c r="B16" s="2" t="s">
        <v>458</v>
      </c>
      <c r="C16" s="37"/>
      <c r="D16" s="20"/>
    </row>
    <row r="17" spans="1:3" x14ac:dyDescent="0.25">
      <c r="A17" s="35"/>
      <c r="B17" s="2" t="s">
        <v>459</v>
      </c>
      <c r="C17" s="37"/>
    </row>
    <row r="18" spans="1:3" x14ac:dyDescent="0.25">
      <c r="A18" s="35"/>
      <c r="B18" s="2" t="s">
        <v>460</v>
      </c>
      <c r="C18" s="37"/>
    </row>
    <row r="19" spans="1:3" x14ac:dyDescent="0.25">
      <c r="A19" s="35"/>
      <c r="B19" s="2" t="s">
        <v>461</v>
      </c>
      <c r="C19" s="37"/>
    </row>
    <row r="20" spans="1:3" x14ac:dyDescent="0.25">
      <c r="A20" s="35"/>
      <c r="B20" s="2" t="s">
        <v>462</v>
      </c>
      <c r="C20" s="37"/>
    </row>
    <row r="21" spans="1:3" x14ac:dyDescent="0.25">
      <c r="A21" s="35"/>
      <c r="B21" s="2" t="s">
        <v>463</v>
      </c>
      <c r="C21" s="37"/>
    </row>
    <row r="22" spans="1:3" x14ac:dyDescent="0.25">
      <c r="A22" s="35"/>
      <c r="B22" s="2" t="s">
        <v>464</v>
      </c>
      <c r="C22" s="37"/>
    </row>
    <row r="23" spans="1:3" x14ac:dyDescent="0.25">
      <c r="A23" s="35"/>
      <c r="B23" s="2" t="s">
        <v>465</v>
      </c>
      <c r="C23" s="37"/>
    </row>
    <row r="24" spans="1:3" x14ac:dyDescent="0.25">
      <c r="A24" s="35"/>
      <c r="B24" s="2" t="s">
        <v>466</v>
      </c>
      <c r="C24" s="37"/>
    </row>
    <row r="25" spans="1:3" x14ac:dyDescent="0.25">
      <c r="A25" s="35"/>
      <c r="B25" s="2" t="s">
        <v>467</v>
      </c>
      <c r="C25" s="37"/>
    </row>
    <row r="26" spans="1:3" x14ac:dyDescent="0.25">
      <c r="A26" s="35"/>
      <c r="B26" s="2" t="s">
        <v>468</v>
      </c>
      <c r="C26" s="37"/>
    </row>
    <row r="27" spans="1:3" x14ac:dyDescent="0.25">
      <c r="A27" s="35"/>
      <c r="B27" s="2" t="s">
        <v>469</v>
      </c>
      <c r="C27" s="37"/>
    </row>
    <row r="28" spans="1:3" x14ac:dyDescent="0.25">
      <c r="A28" s="35"/>
      <c r="B28" s="2" t="s">
        <v>470</v>
      </c>
      <c r="C28" s="37"/>
    </row>
    <row r="29" spans="1:3" x14ac:dyDescent="0.25">
      <c r="A29" s="35"/>
      <c r="B29" s="2" t="s">
        <v>471</v>
      </c>
      <c r="C29" s="37"/>
    </row>
    <row r="30" spans="1:3" x14ac:dyDescent="0.25">
      <c r="A30" s="35"/>
      <c r="B30" s="2" t="s">
        <v>472</v>
      </c>
      <c r="C30" s="37"/>
    </row>
    <row r="31" spans="1:3" x14ac:dyDescent="0.25">
      <c r="B31" s="43"/>
    </row>
  </sheetData>
  <conditionalFormatting sqref="B9:B13">
    <cfRule type="expression" dxfId="1" priority="1">
      <formula>$D$8="NIE"</formula>
    </cfRule>
  </conditionalFormatting>
  <dataValidations count="1">
    <dataValidation type="list" allowBlank="1" showInputMessage="1" showErrorMessage="1" sqref="D8" xr:uid="{00000000-0002-0000-0400-000000000000}">
      <formula1>"TAK,NIE"</formula1>
    </dataValidation>
  </dataValidations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5"/>
  <dimension ref="A1:D8"/>
  <sheetViews>
    <sheetView showGridLines="0" zoomScaleNormal="100" workbookViewId="0"/>
  </sheetViews>
  <sheetFormatPr defaultColWidth="9.109375" defaultRowHeight="13.2" x14ac:dyDescent="0.25"/>
  <cols>
    <col min="1" max="1" width="9.109375" style="2"/>
    <col min="2" max="3" width="9.109375" style="2" customWidth="1"/>
    <col min="4" max="16384" width="9.109375" style="2"/>
  </cols>
  <sheetData>
    <row r="1" spans="1:4" s="28" customFormat="1" x14ac:dyDescent="0.25">
      <c r="A1" s="31"/>
    </row>
    <row r="2" spans="1:4" s="32" customFormat="1" ht="18.75" customHeight="1" x14ac:dyDescent="0.3">
      <c r="B2" s="33" t="s">
        <v>507</v>
      </c>
    </row>
    <row r="4" spans="1:4" x14ac:dyDescent="0.25">
      <c r="B4" s="20" t="s">
        <v>473</v>
      </c>
    </row>
    <row r="5" spans="1:4" x14ac:dyDescent="0.25">
      <c r="B5" s="20" t="s">
        <v>540</v>
      </c>
    </row>
    <row r="7" spans="1:4" x14ac:dyDescent="0.25">
      <c r="B7" s="40" t="s">
        <v>441</v>
      </c>
      <c r="D7" s="41" t="s">
        <v>536</v>
      </c>
    </row>
    <row r="8" spans="1:4" x14ac:dyDescent="0.25">
      <c r="B8" s="20" t="s">
        <v>474</v>
      </c>
      <c r="D8" s="5"/>
    </row>
  </sheetData>
  <conditionalFormatting sqref="B8">
    <cfRule type="expression" dxfId="0" priority="1">
      <formula>$D$7="NIE"</formula>
    </cfRule>
  </conditionalFormatting>
  <dataValidations count="1">
    <dataValidation type="list" allowBlank="1" showInputMessage="1" showErrorMessage="1" sqref="D7" xr:uid="{00000000-0002-0000-0500-000000000000}">
      <formula1>"TAK,NIE"</formula1>
    </dataValidation>
  </dataValidations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6"/>
  <dimension ref="A1:C27"/>
  <sheetViews>
    <sheetView showGridLines="0" zoomScaleNormal="100" workbookViewId="0"/>
  </sheetViews>
  <sheetFormatPr defaultColWidth="9.109375" defaultRowHeight="13.2" x14ac:dyDescent="0.25"/>
  <cols>
    <col min="1" max="1" width="9.109375" style="2"/>
    <col min="2" max="2" width="14.109375" style="2" customWidth="1"/>
    <col min="3" max="16384" width="9.109375" style="2"/>
  </cols>
  <sheetData>
    <row r="1" spans="1:3" s="28" customFormat="1" x14ac:dyDescent="0.25">
      <c r="A1" s="31"/>
    </row>
    <row r="2" spans="1:3" s="32" customFormat="1" ht="18.75" customHeight="1" x14ac:dyDescent="0.3">
      <c r="B2" s="33" t="s">
        <v>506</v>
      </c>
    </row>
    <row r="4" spans="1:3" x14ac:dyDescent="0.25">
      <c r="B4" s="2" t="s">
        <v>475</v>
      </c>
    </row>
    <row r="5" spans="1:3" x14ac:dyDescent="0.25">
      <c r="B5" s="20" t="s">
        <v>476</v>
      </c>
    </row>
    <row r="6" spans="1:3" x14ac:dyDescent="0.25">
      <c r="B6" s="2" t="s">
        <v>477</v>
      </c>
    </row>
    <row r="8" spans="1:3" x14ac:dyDescent="0.25">
      <c r="B8" s="2" t="s">
        <v>529</v>
      </c>
    </row>
    <row r="9" spans="1:3" x14ac:dyDescent="0.25">
      <c r="B9" s="2" t="s">
        <v>528</v>
      </c>
    </row>
    <row r="11" spans="1:3" x14ac:dyDescent="0.25">
      <c r="B11" s="2" t="s">
        <v>535</v>
      </c>
    </row>
    <row r="12" spans="1:3" x14ac:dyDescent="0.25">
      <c r="B12" s="2" t="s">
        <v>530</v>
      </c>
    </row>
    <row r="13" spans="1:3" x14ac:dyDescent="0.25">
      <c r="B13" s="60" t="s">
        <v>531</v>
      </c>
      <c r="C13" s="42" t="s">
        <v>532</v>
      </c>
    </row>
    <row r="14" spans="1:3" x14ac:dyDescent="0.25">
      <c r="B14" s="35" t="s">
        <v>527</v>
      </c>
      <c r="C14" s="34" t="s">
        <v>533</v>
      </c>
    </row>
    <row r="15" spans="1:3" x14ac:dyDescent="0.25">
      <c r="B15" s="35" t="s">
        <v>511</v>
      </c>
      <c r="C15" s="61" t="s">
        <v>534</v>
      </c>
    </row>
    <row r="16" spans="1:3" x14ac:dyDescent="0.25">
      <c r="B16" s="2" t="s">
        <v>537</v>
      </c>
    </row>
    <row r="17" spans="2:2" x14ac:dyDescent="0.25">
      <c r="B17" s="2" t="s">
        <v>538</v>
      </c>
    </row>
    <row r="19" spans="2:2" x14ac:dyDescent="0.25">
      <c r="B19" s="44" t="s">
        <v>478</v>
      </c>
    </row>
    <row r="20" spans="2:2" x14ac:dyDescent="0.25">
      <c r="B20" s="30"/>
    </row>
    <row r="21" spans="2:2" x14ac:dyDescent="0.25">
      <c r="B21" s="30"/>
    </row>
    <row r="22" spans="2:2" x14ac:dyDescent="0.25">
      <c r="B22" s="30"/>
    </row>
    <row r="23" spans="2:2" x14ac:dyDescent="0.25">
      <c r="B23" s="30"/>
    </row>
    <row r="24" spans="2:2" x14ac:dyDescent="0.25">
      <c r="B24" s="30"/>
    </row>
    <row r="25" spans="2:2" x14ac:dyDescent="0.25">
      <c r="B25" s="30"/>
    </row>
    <row r="26" spans="2:2" x14ac:dyDescent="0.25">
      <c r="B26" s="30"/>
    </row>
    <row r="27" spans="2:2" x14ac:dyDescent="0.25">
      <c r="B27" s="30"/>
    </row>
  </sheetData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7">
    <pageSetUpPr fitToPage="1"/>
  </sheetPr>
  <dimension ref="A1:I42"/>
  <sheetViews>
    <sheetView showGridLines="0" zoomScaleNormal="100" workbookViewId="0"/>
  </sheetViews>
  <sheetFormatPr defaultColWidth="9.109375" defaultRowHeight="13.2" x14ac:dyDescent="0.25"/>
  <cols>
    <col min="1" max="2" width="9.109375" style="2"/>
    <col min="3" max="3" width="21" style="2" bestFit="1" customWidth="1"/>
    <col min="4" max="4" width="9.109375" style="2"/>
    <col min="5" max="5" width="8.6640625" style="2" bestFit="1" customWidth="1"/>
    <col min="6" max="16384" width="9.109375" style="2"/>
  </cols>
  <sheetData>
    <row r="1" spans="1:9" s="28" customFormat="1" x14ac:dyDescent="0.25">
      <c r="A1" s="31"/>
    </row>
    <row r="2" spans="1:9" s="32" customFormat="1" ht="18.75" customHeight="1" x14ac:dyDescent="0.3">
      <c r="B2" s="33" t="s">
        <v>505</v>
      </c>
    </row>
    <row r="4" spans="1:9" x14ac:dyDescent="0.25">
      <c r="B4" s="20" t="s">
        <v>479</v>
      </c>
    </row>
    <row r="5" spans="1:9" x14ac:dyDescent="0.25">
      <c r="B5" s="20" t="s">
        <v>480</v>
      </c>
    </row>
    <row r="8" spans="1:9" ht="15" customHeight="1" x14ac:dyDescent="0.25">
      <c r="C8" s="45" t="s">
        <v>481</v>
      </c>
      <c r="D8" s="39">
        <v>10</v>
      </c>
    </row>
    <row r="10" spans="1:9" x14ac:dyDescent="0.25">
      <c r="B10" s="10" t="s">
        <v>482</v>
      </c>
    </row>
    <row r="11" spans="1:9" ht="22.5" customHeight="1" x14ac:dyDescent="0.25">
      <c r="B11" s="63" t="s">
        <v>483</v>
      </c>
      <c r="C11" s="64"/>
      <c r="D11" s="64"/>
      <c r="E11" s="64"/>
      <c r="F11" s="64"/>
      <c r="G11" s="64"/>
      <c r="H11" s="64"/>
      <c r="I11" s="65"/>
    </row>
    <row r="12" spans="1:9" ht="22.5" customHeight="1" x14ac:dyDescent="0.25">
      <c r="B12" s="37"/>
      <c r="C12" s="28"/>
      <c r="D12" s="28"/>
      <c r="E12" s="28"/>
      <c r="F12" s="28"/>
      <c r="G12" s="46"/>
      <c r="H12" s="28"/>
      <c r="I12" s="47" t="str">
        <f ca="1">"Data: " &amp; TEXT(TODAY(),"d mmmm, rrrr")</f>
        <v>Data: 15 marzec, 2020</v>
      </c>
    </row>
    <row r="13" spans="1:9" ht="22.5" customHeight="1" x14ac:dyDescent="0.25">
      <c r="B13" s="37"/>
      <c r="C13" s="28"/>
      <c r="D13" s="28"/>
      <c r="E13" s="28"/>
      <c r="F13" s="28"/>
      <c r="G13" s="46"/>
      <c r="H13" s="28"/>
      <c r="I13" s="47" t="str">
        <f>"Sz.P.: " &amp; INDEX(C27:C36,D8)</f>
        <v>Sz.P.: Ildefons Konstanty</v>
      </c>
    </row>
    <row r="14" spans="1:9" ht="22.5" customHeight="1" x14ac:dyDescent="0.25">
      <c r="B14" s="48"/>
      <c r="C14" s="28"/>
      <c r="D14" s="28"/>
      <c r="E14" s="28"/>
      <c r="F14" s="28"/>
      <c r="G14" s="28"/>
      <c r="H14" s="28"/>
      <c r="I14" s="35"/>
    </row>
    <row r="15" spans="1:9" ht="22.5" customHeight="1" x14ac:dyDescent="0.25">
      <c r="B15" s="49" t="s">
        <v>484</v>
      </c>
      <c r="C15" s="28"/>
      <c r="D15" s="28"/>
      <c r="E15" s="28"/>
      <c r="F15" s="28"/>
      <c r="G15" s="28"/>
      <c r="H15" s="28"/>
      <c r="I15" s="35"/>
    </row>
    <row r="16" spans="1:9" ht="22.5" customHeight="1" x14ac:dyDescent="0.25">
      <c r="B16" s="49" t="s">
        <v>485</v>
      </c>
      <c r="C16" s="28"/>
      <c r="D16" s="28"/>
      <c r="E16" s="28"/>
      <c r="F16" s="28"/>
      <c r="G16" s="28"/>
      <c r="H16" s="28"/>
      <c r="I16" s="35"/>
    </row>
    <row r="17" spans="2:9" ht="22.5" customHeight="1" x14ac:dyDescent="0.25">
      <c r="B17" s="49" t="s">
        <v>486</v>
      </c>
      <c r="C17" s="28"/>
      <c r="D17" s="28"/>
      <c r="E17" s="28"/>
      <c r="F17" s="28"/>
      <c r="G17" s="28"/>
      <c r="H17" s="28"/>
      <c r="I17" s="35"/>
    </row>
    <row r="18" spans="2:9" ht="22.5" customHeight="1" x14ac:dyDescent="0.25">
      <c r="B18" s="37"/>
      <c r="C18" s="28"/>
      <c r="D18" s="28"/>
      <c r="E18" s="28"/>
      <c r="F18" s="28"/>
      <c r="G18" s="28"/>
      <c r="H18" s="28"/>
      <c r="I18" s="35"/>
    </row>
    <row r="19" spans="2:9" ht="22.5" customHeight="1" x14ac:dyDescent="0.25">
      <c r="B19" s="49" t="s">
        <v>487</v>
      </c>
      <c r="C19" s="28"/>
      <c r="D19" s="28"/>
      <c r="E19" s="50">
        <f>INDEX(D27:D36,D8)</f>
        <v>28</v>
      </c>
      <c r="F19" s="28"/>
      <c r="G19" s="28"/>
      <c r="H19" s="28"/>
      <c r="I19" s="35"/>
    </row>
    <row r="20" spans="2:9" ht="22.5" customHeight="1" x14ac:dyDescent="0.25">
      <c r="B20" s="49" t="s">
        <v>488</v>
      </c>
      <c r="C20" s="28"/>
      <c r="D20" s="28"/>
      <c r="E20" s="51">
        <f>INDEX(E27:E36,D8)</f>
        <v>14156</v>
      </c>
      <c r="F20" s="28"/>
      <c r="G20" s="28"/>
      <c r="H20" s="28"/>
      <c r="I20" s="35"/>
    </row>
    <row r="21" spans="2:9" ht="22.5" customHeight="1" x14ac:dyDescent="0.25">
      <c r="B21" s="37"/>
      <c r="C21" s="28"/>
      <c r="D21" s="28"/>
      <c r="E21" s="28"/>
      <c r="F21" s="28"/>
      <c r="G21" s="28"/>
      <c r="H21" s="28"/>
      <c r="I21" s="35"/>
    </row>
    <row r="22" spans="2:9" ht="22.5" customHeight="1" x14ac:dyDescent="0.25">
      <c r="B22" s="37"/>
      <c r="C22" s="28"/>
      <c r="D22" s="28"/>
      <c r="E22" s="28"/>
      <c r="F22" s="28"/>
      <c r="G22" s="28"/>
      <c r="H22" s="28"/>
      <c r="I22" s="47" t="s">
        <v>489</v>
      </c>
    </row>
    <row r="23" spans="2:9" ht="22.5" customHeight="1" x14ac:dyDescent="0.25">
      <c r="B23" s="52"/>
      <c r="C23" s="53"/>
      <c r="D23" s="53"/>
      <c r="E23" s="53"/>
      <c r="F23" s="53"/>
      <c r="G23" s="53"/>
      <c r="H23" s="53"/>
      <c r="I23" s="54" t="s">
        <v>490</v>
      </c>
    </row>
    <row r="24" spans="2:9" x14ac:dyDescent="0.25">
      <c r="B24" s="21"/>
    </row>
    <row r="25" spans="2:9" ht="14.4" x14ac:dyDescent="0.3">
      <c r="B25" s="10" t="s">
        <v>491</v>
      </c>
      <c r="C25" s="55"/>
      <c r="D25" s="55"/>
      <c r="E25" s="55"/>
      <c r="F25" s="55"/>
    </row>
    <row r="26" spans="2:9" x14ac:dyDescent="0.25">
      <c r="B26" s="38" t="s">
        <v>446</v>
      </c>
      <c r="C26" s="38" t="s">
        <v>492</v>
      </c>
      <c r="D26" s="38" t="s">
        <v>493</v>
      </c>
      <c r="E26" s="38" t="s">
        <v>494</v>
      </c>
    </row>
    <row r="27" spans="2:9" x14ac:dyDescent="0.25">
      <c r="B27" s="36">
        <v>1</v>
      </c>
      <c r="C27" s="36" t="s">
        <v>495</v>
      </c>
      <c r="D27" s="36">
        <v>23</v>
      </c>
      <c r="E27" s="56">
        <v>11020</v>
      </c>
    </row>
    <row r="28" spans="2:9" x14ac:dyDescent="0.25">
      <c r="B28" s="36">
        <v>2</v>
      </c>
      <c r="C28" s="36" t="s">
        <v>496</v>
      </c>
      <c r="D28" s="36">
        <v>41</v>
      </c>
      <c r="E28" s="56">
        <v>20877</v>
      </c>
    </row>
    <row r="29" spans="2:9" x14ac:dyDescent="0.25">
      <c r="B29" s="36">
        <v>3</v>
      </c>
      <c r="C29" s="36" t="s">
        <v>497</v>
      </c>
      <c r="D29" s="36">
        <v>17</v>
      </c>
      <c r="E29" s="56">
        <v>8150</v>
      </c>
    </row>
    <row r="30" spans="2:9" x14ac:dyDescent="0.25">
      <c r="B30" s="36">
        <v>4</v>
      </c>
      <c r="C30" s="36" t="s">
        <v>498</v>
      </c>
      <c r="D30" s="36">
        <v>25</v>
      </c>
      <c r="E30" s="56">
        <v>12699</v>
      </c>
    </row>
    <row r="31" spans="2:9" x14ac:dyDescent="0.25">
      <c r="B31" s="36">
        <v>5</v>
      </c>
      <c r="C31" s="36" t="s">
        <v>499</v>
      </c>
      <c r="D31" s="36">
        <v>37</v>
      </c>
      <c r="E31" s="56">
        <v>18996</v>
      </c>
    </row>
    <row r="32" spans="2:9" x14ac:dyDescent="0.25">
      <c r="B32" s="36">
        <v>6</v>
      </c>
      <c r="C32" s="36" t="s">
        <v>500</v>
      </c>
      <c r="D32" s="36">
        <v>29</v>
      </c>
      <c r="E32" s="56">
        <v>14013</v>
      </c>
    </row>
    <row r="33" spans="2:5" x14ac:dyDescent="0.25">
      <c r="B33" s="36">
        <v>7</v>
      </c>
      <c r="C33" s="36" t="s">
        <v>501</v>
      </c>
      <c r="D33" s="36">
        <v>31</v>
      </c>
      <c r="E33" s="56">
        <v>15504</v>
      </c>
    </row>
    <row r="34" spans="2:5" x14ac:dyDescent="0.25">
      <c r="B34" s="36">
        <v>8</v>
      </c>
      <c r="C34" s="36" t="s">
        <v>502</v>
      </c>
      <c r="D34" s="36">
        <v>40</v>
      </c>
      <c r="E34" s="56">
        <v>19564</v>
      </c>
    </row>
    <row r="35" spans="2:5" x14ac:dyDescent="0.25">
      <c r="B35" s="36">
        <v>9</v>
      </c>
      <c r="C35" s="36" t="s">
        <v>503</v>
      </c>
      <c r="D35" s="36">
        <v>39</v>
      </c>
      <c r="E35" s="56">
        <v>19470</v>
      </c>
    </row>
    <row r="36" spans="2:5" x14ac:dyDescent="0.25">
      <c r="B36" s="57">
        <v>10</v>
      </c>
      <c r="C36" s="57" t="s">
        <v>504</v>
      </c>
      <c r="D36" s="57">
        <v>28</v>
      </c>
      <c r="E36" s="58">
        <v>14156</v>
      </c>
    </row>
    <row r="37" spans="2:5" x14ac:dyDescent="0.25">
      <c r="B37" s="21"/>
    </row>
    <row r="38" spans="2:5" x14ac:dyDescent="0.25">
      <c r="B38" s="21"/>
    </row>
    <row r="39" spans="2:5" x14ac:dyDescent="0.25">
      <c r="B39" s="21"/>
    </row>
    <row r="40" spans="2:5" x14ac:dyDescent="0.25">
      <c r="B40" s="21"/>
    </row>
    <row r="41" spans="2:5" x14ac:dyDescent="0.25">
      <c r="B41" s="21"/>
    </row>
    <row r="42" spans="2:5" x14ac:dyDescent="0.25">
      <c r="B42" s="21"/>
    </row>
  </sheetData>
  <mergeCells count="1">
    <mergeCell ref="B11:I11"/>
  </mergeCells>
  <dataValidations count="1">
    <dataValidation type="list" allowBlank="1" showInputMessage="1" showErrorMessage="1" sqref="D8" xr:uid="{00000000-0002-0000-0700-000000000000}">
      <formula1>$B$27:$B$36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horizontalDpi="4294967293" r:id="rId1"/>
  <headerFooter alignWithMargins="0">
    <oddFooter>&amp;Lã LabMasters.pl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Nazwane zakresy</vt:lpstr>
      </vt:variant>
      <vt:variant>
        <vt:i4>2</vt:i4>
      </vt:variant>
    </vt:vector>
  </HeadingPairs>
  <TitlesOfParts>
    <vt:vector size="10" baseType="lpstr">
      <vt:lpstr>Samouczek</vt:lpstr>
      <vt:lpstr>Zadanie 1</vt:lpstr>
      <vt:lpstr>Zadanie 2</vt:lpstr>
      <vt:lpstr>Zadanie 3</vt:lpstr>
      <vt:lpstr>Zadanie 4</vt:lpstr>
      <vt:lpstr>Zadanie 5</vt:lpstr>
      <vt:lpstr>Zadanie 6</vt:lpstr>
      <vt:lpstr>Zadanie 7</vt:lpstr>
      <vt:lpstr>Samouczek!Obszar_wydruku</vt:lpstr>
      <vt:lpstr>'Zadanie 7'!Obszar_wydruku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Kusztelak</dc:creator>
  <cp:lastModifiedBy>Martin Bernstein</cp:lastModifiedBy>
  <cp:lastPrinted>2016-09-07T21:29:32Z</cp:lastPrinted>
  <dcterms:created xsi:type="dcterms:W3CDTF">2016-04-20T20:07:58Z</dcterms:created>
  <dcterms:modified xsi:type="dcterms:W3CDTF">2020-03-15T13:10:41Z</dcterms:modified>
</cp:coreProperties>
</file>